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Setup" sheetId="2" state="visible" r:id="rId4"/>
    <sheet name="Existing customers" sheetId="3" state="visible" r:id="rId5"/>
    <sheet name="Survey" sheetId="4" state="visible" r:id="rId6"/>
    <sheet name="Potential" sheetId="5" state="visible" r:id="rId7"/>
    <sheet name="Respondents" sheetId="6" state="visible" r:id="rId8"/>
    <sheet name="Entities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<sst xmlns="http://schemas.openxmlformats.org/spreadsheetml/2006/main" count="420" uniqueCount="386">
  <si>
    <t xml:space="preserve">DDA central procurement — savings and adoption</t>
  </si>
  <si>
    <t xml:space="preserve">Annual commitment — edit E4</t>
  </si>
  <si>
    <t xml:space="preserve">Enter 5,000, 8,000 or 10,000 users.</t>
  </si>
  <si>
    <t xml:space="preserve">Seats beyond existing users + Year 1 growth</t>
  </si>
  <si>
    <t xml:space="preserve">Survey share of this gap</t>
  </si>
  <si>
    <t xml:space="preserve">A1 uses current subscriptions; A2 shows expected Year 1 user growth. B/C are modeled opportunities. Support is separate.</t>
  </si>
  <si>
    <t xml:space="preserve">Savings source</t>
  </si>
  <si>
    <t xml:space="preserve">Year 1 users</t>
  </si>
  <si>
    <t xml:space="preserve">Year 1 benchmark AED</t>
  </si>
  <si>
    <t xml:space="preserve">Year 1 central AED</t>
  </si>
  <si>
    <t xml:space="preserve">Year 1 saving AED</t>
  </si>
  <si>
    <t xml:space="preserve">Five-year saving AED</t>
  </si>
  <si>
    <t xml:space="preserve">B uses the numerical survey minimum by default. B/C compare with list price until matched costs are supplied.</t>
  </si>
  <si>
    <t xml:space="preserve">Per user instruction, survey counts are added without an existing-user deduction. This is a modeling assumption.</t>
  </si>
  <si>
    <t xml:space="preserve">Survey user counts — current / expected usage</t>
  </si>
  <si>
    <t xml:space="preserve">Survey user band</t>
  </si>
  <si>
    <t xml:space="preserve">Responses</t>
  </si>
  <si>
    <t xml:space="preserve">Minimum users per entity</t>
  </si>
  <si>
    <t xml:space="preserve">Minimum total users</t>
  </si>
  <si>
    <t xml:space="preserve">Illustrative average</t>
  </si>
  <si>
    <t xml:space="preserve">Illustrative total users</t>
  </si>
  <si>
    <t xml:space="preserve">21 quantified responses</t>
  </si>
  <si>
    <t xml:space="preserve">Illustration uses band midpoints and 2,000 users for each &gt;1,000 response. It is not an observed user total.</t>
  </si>
  <si>
    <t xml:space="preserve">The 16 entities expressing demand add no extra quantified users here. Their user counts are not supplied.</t>
  </si>
  <si>
    <t xml:space="preserve">Path to the commitment and breadth of opportunity</t>
  </si>
  <si>
    <t xml:space="preserve">Existing customer users today</t>
  </si>
  <si>
    <t xml:space="preserve">Total entities</t>
  </si>
  <si>
    <t xml:space="preserve">Entities surveyed</t>
  </si>
  <si>
    <t xml:space="preserve">Survey users in the Year 1 plan</t>
  </si>
  <si>
    <t xml:space="preserve">Entities not surveyed</t>
  </si>
  <si>
    <t xml:space="preserve">Covered by existing + growth + survey</t>
  </si>
  <si>
    <t xml:space="preserve">Already use digital signatures</t>
  </si>
  <si>
    <t xml:space="preserve">Other-department users required</t>
  </si>
  <si>
    <t xml:space="preserve">Additional demand entities</t>
  </si>
  <si>
    <t xml:space="preserve">Users per unsurveyed entity (rounded up)</t>
  </si>
  <si>
    <t xml:space="preserve">Expect usage growth</t>
  </si>
  <si>
    <t xml:space="preserve">Employee-based potential users</t>
  </si>
  <si>
    <t xml:space="preserve">Growth driven by more users</t>
  </si>
  <si>
    <t xml:space="preserve">Demand: 10 current requirements + 6 future needs. Growth: 17/22 organizations; more users: 13/17 growth respondents.</t>
  </si>
  <si>
    <t xml:space="preserve">Separate annual support fee — AED</t>
  </si>
  <si>
    <t xml:space="preserve">Chart data</t>
  </si>
  <si>
    <t xml:space="preserve">Current subscription</t>
  </si>
  <si>
    <t xml:space="preserve">Central subscription</t>
  </si>
  <si>
    <t xml:space="preserve">Existing customers</t>
  </si>
  <si>
    <t xml:space="preserve">Adoption source</t>
  </si>
  <si>
    <t xml:space="preserve">Users</t>
  </si>
  <si>
    <t xml:space="preserve">Existing</t>
  </si>
  <si>
    <t xml:space="preserve">Existing growth (Year 1)</t>
  </si>
  <si>
    <t xml:space="preserve">Survey</t>
  </si>
  <si>
    <t xml:space="preserve">Other</t>
  </si>
  <si>
    <t xml:space="preserve">Unused</t>
  </si>
  <si>
    <t xml:space="preserve">Commitment, pricing and assumptions</t>
  </si>
  <si>
    <t xml:space="preserve">Annual commitment — from Summary</t>
  </si>
  <si>
    <t xml:space="preserve">Edit Summary E4 to change the commitment.</t>
  </si>
  <si>
    <t xml:space="preserve">Capacity check</t>
  </si>
  <si>
    <t xml:space="preserve">Regular Basic Price</t>
  </si>
  <si>
    <t xml:space="preserve">V2-S03. Subscription benchmark, not actual spending.</t>
  </si>
  <si>
    <t xml:space="preserve">Comparison period — years</t>
  </si>
  <si>
    <t xml:space="preserve">Five years, billed annually. Paid users grow from Year 2.</t>
  </si>
  <si>
    <t xml:space="preserve">Employee population</t>
  </si>
  <si>
    <t xml:space="preserve">V2-S05. User-supplied planning population.</t>
  </si>
  <si>
    <t xml:space="preserve">Potential adoption share</t>
  </si>
  <si>
    <t xml:space="preserve">V2-S05. Assumption; includes existing users.</t>
  </si>
  <si>
    <t xml:space="preserve">Baseline annual price escalation</t>
  </si>
  <si>
    <t xml:space="preserve">Optional assumption. Central unit prices stay fixed.</t>
  </si>
  <si>
    <t xml:space="preserve">Additional seats used beyond Year 1 existing</t>
  </si>
  <si>
    <t xml:space="preserve">Usage of remaining capacity after existing-customer growth.</t>
  </si>
  <si>
    <t xml:space="preserve">Selected tier</t>
  </si>
  <si>
    <t xml:space="preserve">Subscription discount</t>
  </si>
  <si>
    <t xml:space="preserve">Support rate</t>
  </si>
  <si>
    <t xml:space="preserve">Subscription AED/user/year</t>
  </si>
  <si>
    <t xml:space="preserve">Separate support AED/user/year</t>
  </si>
  <si>
    <t xml:space="preserve">Amber cells are editable assumptions. Blue numbers are inputs; green formulas link sheets.</t>
  </si>
  <si>
    <t xml:space="preserve">Existing-customer savings exclude support. Central support is added separately to the budget.</t>
  </si>
  <si>
    <t xml:space="preserve">Survey adoption is modeled explicitly. Savings against reported costs require matched respondents.</t>
  </si>
  <si>
    <t xml:space="preserve">Tier</t>
  </si>
  <si>
    <t xml:space="preserve">Minimum users</t>
  </si>
  <si>
    <t xml:space="preserve">Maximum users</t>
  </si>
  <si>
    <t xml:space="preserve">Discount</t>
  </si>
  <si>
    <t xml:space="preserve">Subscription AED/user</t>
  </si>
  <si>
    <t xml:space="preserve">Separate support AED/user</t>
  </si>
  <si>
    <t xml:space="preserve">Pricing source: V2-P04 accepted for this workbook by the user; endpoints from V2-S07.</t>
  </si>
  <si>
    <t xml:space="preserve">Above 12,000 starts at 12,001. A tier rate applies to the full committed pool, not marginal bands.</t>
  </si>
  <si>
    <t xml:space="preserve">Full-pool discounts create price drops at thresholds. Review the better commitment near each boundary.</t>
  </si>
  <si>
    <t xml:space="preserve">Scope and source notes</t>
  </si>
  <si>
    <t xml:space="preserve">All savings compare subscriptions only. Support is a separate charge; onboarding, tax and optional services are excluded.</t>
  </si>
  <si>
    <t xml:space="preserve">No deployment-specific support override is applied in this simplified tier model.</t>
  </si>
  <si>
    <t xml:space="preserve">Current support fees are not supplied. No all-in savings or complete project ROI is claimed.</t>
  </si>
  <si>
    <t xml:space="preserve">Employee scale context: DDA, GITEX Europe announcement, May 2025; over 76,000 Smart Employee users.</t>
  </si>
  <si>
    <t xml:space="preserve">https://www.digitaldubai.ae/newsroom/news/dubai-to-make-presence-felt-at-gitex-europe-x-ai-everything-2025-with-a-joint-pavilion-featuring-12-government-and-private-entities</t>
  </si>
  <si>
    <t xml:space="preserve">Change Summary E4 for 10K, 8K or 5K. Rates, customer savings, budget and charts update together.</t>
  </si>
  <si>
    <t xml:space="preserve">Workforce percentage is a planning assumption. Entity names do not establish user allocations.</t>
  </si>
  <si>
    <t xml:space="preserve">Adoption planning assumptions</t>
  </si>
  <si>
    <t xml:space="preserve">Total entities in scope</t>
  </si>
  <si>
    <t xml:space="preserve">User-supplied scope count; raw list has repeated rows.</t>
  </si>
  <si>
    <t xml:space="preserve">Existing Circularo entities</t>
  </si>
  <si>
    <t xml:space="preserve">Six distinct entities across seven supplied projects.</t>
  </si>
  <si>
    <t xml:space="preserve">Existing users deducted from survey — share</t>
  </si>
  <si>
    <t xml:space="preserve">User instruction: use full survey counts, no deduction.</t>
  </si>
  <si>
    <t xml:space="preserve">Survey estimate basis</t>
  </si>
  <si>
    <t xml:space="preserve">1 = numerical minimum; 2 = midpoint illustration.</t>
  </si>
  <si>
    <t xml:space="preserve">Five-year baseline price factor</t>
  </si>
  <si>
    <t xml:space="preserve">The default uses the survey numerical minimum. The illustration uses editable band averages on Survey, including the open band.</t>
  </si>
  <si>
    <t xml:space="preserve">Per user instruction, no existing users are deducted from the survey. The additive treatment is a modeling assumption.</t>
  </si>
  <si>
    <t xml:space="preserve">Current/expected survey users are an opportunity, not a purchase commitment. The 16 demand entities are not added as extra users.</t>
  </si>
  <si>
    <t xml:space="preserve">Other departments receive the residual seat target. Their required average is a feasibility test, not a demand forecast.</t>
  </si>
  <si>
    <t xml:space="preserve">User growth assumptions</t>
  </si>
  <si>
    <t xml:space="preserve">Existing customers — Year 1 growth</t>
  </si>
  <si>
    <t xml:space="preserve">V2-S13: user-reported Year 1 growth.</t>
  </si>
  <si>
    <t xml:space="preserve">All cohorts — annual growth, Years 2–5</t>
  </si>
  <si>
    <t xml:space="preserve">V2-S13: expected annual user growth.</t>
  </si>
  <si>
    <t xml:space="preserve">Paid volume rises with users above the initial annual minimum. The selected subscription and support rates remain fixed.</t>
  </si>
  <si>
    <t xml:space="preserve">Forecast counts are rounded to whole users by cohort each year and assumed billable for the full year.</t>
  </si>
  <si>
    <t xml:space="preserve">Existing growth uses the current weighted subscription price. Survey/other growth preserves each cohort’s Year 1 cost mix.</t>
  </si>
  <si>
    <t xml:space="preserve">These growth and baseline-price assumptions are modeled expectations, not newly signed subscriptions.</t>
  </si>
  <si>
    <t xml:space="preserve">Existing customers — subscription savings</t>
  </si>
  <si>
    <t xml:space="preserve">Annual commitment selected</t>
  </si>
  <si>
    <t xml:space="preserve">Source: user-supplied subscriptions (V2-S01) plus Rulers Court addition (V2-S12). Support is separate.</t>
  </si>
  <si>
    <t xml:space="preserve">Customer / project</t>
  </si>
  <si>
    <t xml:space="preserve">Current AED/user</t>
  </si>
  <si>
    <t xml:space="preserve">Central AED/user</t>
  </si>
  <si>
    <t xml:space="preserve">Current annual AED</t>
  </si>
  <si>
    <t xml:space="preserve">Central annual AED</t>
  </si>
  <si>
    <t xml:space="preserve">Annual saving AED</t>
  </si>
  <si>
    <t xml:space="preserve">Saving %</t>
  </si>
  <si>
    <t xml:space="preserve">Central support AED</t>
  </si>
  <si>
    <t xml:space="preserve">Digital Dubai Authority (VIP Project)</t>
  </si>
  <si>
    <t xml:space="preserve">Digital Dubai Authority</t>
  </si>
  <si>
    <t xml:space="preserve">Dubai Culture &amp; Arts Authority</t>
  </si>
  <si>
    <t xml:space="preserve">Dubai Electronic Security Center</t>
  </si>
  <si>
    <t xml:space="preserve">Ports, Customs and Free Zone Corporation (PCFC)</t>
  </si>
  <si>
    <t xml:space="preserve">Roads and Transport Authority (RTA)</t>
  </si>
  <si>
    <t xml:space="preserve">His Highness the Rulers Court</t>
  </si>
  <si>
    <t xml:space="preserve">Existing customer total</t>
  </si>
  <si>
    <t xml:space="preserve">Positive savings = lower subscription fees. Negative values show a subscription increase.</t>
  </si>
  <si>
    <t xml:space="preserve">Central support is shown separately. Current support is unknown and excluded from the savings comparison.</t>
  </si>
  <si>
    <t xml:space="preserve">These costs allocate the central rate to existing users; DDA still pays for the full annual commitment.</t>
  </si>
  <si>
    <t xml:space="preserve">Five-year savings hold current subscription prices and existing user counts flat.</t>
  </si>
  <si>
    <t xml:space="preserve">Entity #92 added by user: Rulers Court. Transaction limits not supplied; the original six projects are unlimited.</t>
  </si>
  <si>
    <t xml:space="preserve">Subscription comparison for charts</t>
  </si>
  <si>
    <t xml:space="preserve">Measure</t>
  </si>
  <si>
    <t xml:space="preserve">Current subscriptions</t>
  </si>
  <si>
    <t xml:space="preserve">Central subscriptions</t>
  </si>
  <si>
    <t xml:space="preserve">Survey — demand, costs and new customers</t>
  </si>
  <si>
    <t xml:space="preserve">Source: DDA internal survey, supplied by the user. Cost and user bands are unpaired current/expected responses.</t>
  </si>
  <si>
    <t xml:space="preserve">Annual system cost band</t>
  </si>
  <si>
    <t xml:space="preserve">Lower bound AED</t>
  </si>
  <si>
    <t xml:space="preserve">Assumed average AED</t>
  </si>
  <si>
    <t xml:space="preserve">Estimated total AED</t>
  </si>
  <si>
    <t xml:space="preserve">Lower-bound total AED</t>
  </si>
  <si>
    <t xml:space="preserve">Less than AED 50,000</t>
  </si>
  <si>
    <t xml:space="preserve">AED 50,001–100,000</t>
  </si>
  <si>
    <t xml:space="preserve">AED 100,001–250,000</t>
  </si>
  <si>
    <t xml:space="preserve">AED 250,001–500,000</t>
  </si>
  <si>
    <t xml:space="preserve">More than AED 2,000,000</t>
  </si>
  <si>
    <t xml:space="preserve">Not available / unknown</t>
  </si>
  <si>
    <t xml:space="preserve">Total responses / quantified costs</t>
  </si>
  <si>
    <t xml:space="preserve">Selected averages are assumptions. The open band has no reported ceiling; AED 2.5m is an editable illustration.</t>
  </si>
  <si>
    <t xml:space="preserve">The unknown response is from the earlier full survey. Quantified costs cover 21 of 22 responses.</t>
  </si>
  <si>
    <t xml:space="preserve">Digital signature user band</t>
  </si>
  <si>
    <t xml:space="preserve">Assumed average users</t>
  </si>
  <si>
    <t xml:space="preserve">Estimated users</t>
  </si>
  <si>
    <t xml:space="preserve">1–50 users</t>
  </si>
  <si>
    <t xml:space="preserve">51–100 users</t>
  </si>
  <si>
    <t xml:space="preserve">101–500 users</t>
  </si>
  <si>
    <t xml:space="preserve">More than 1,000 users</t>
  </si>
  <si>
    <t xml:space="preserve">Other / unspecified</t>
  </si>
  <si>
    <t xml:space="preserve">Total responses / quantified users</t>
  </si>
  <si>
    <t xml:space="preserve">Midpoints are estimates. The open user band uses 2,000 as an editable assumption; the unknown is excluded.</t>
  </si>
  <si>
    <t xml:space="preserve">Summary adds full survey user counts as instructed. Unpaired reported cost totals are not used to claim subscription savings.</t>
  </si>
  <si>
    <t xml:space="preserve">Identified new-customer comparison</t>
  </si>
  <si>
    <t xml:space="preserve">Comparable new entities</t>
  </si>
  <si>
    <t xml:space="preserve">Comparable new users</t>
  </si>
  <si>
    <t xml:space="preserve">Current / expected subscriptions AED</t>
  </si>
  <si>
    <t xml:space="preserve">Central subscriptions AED</t>
  </si>
  <si>
    <t xml:space="preserve">Annual subscription saving AED</t>
  </si>
  <si>
    <t xml:space="preserve">Subscription saving %</t>
  </si>
  <si>
    <t xml:space="preserve">Five-year subscription saving AED</t>
  </si>
  <si>
    <t xml:space="preserve">Entities with current costs</t>
  </si>
  <si>
    <t xml:space="preserve">Entities with expected costs</t>
  </si>
  <si>
    <t xml:space="preserve">Data status</t>
  </si>
  <si>
    <t xml:space="preserve">New-customer savings use matched subscription costs, explicit non-customer status and no duplicate entity names.</t>
  </si>
  <si>
    <t xml:space="preserve">Survey estimates are neither confirmed new demand nor a funded allocation of the annual commitment.</t>
  </si>
  <si>
    <t xml:space="preserve">Current/expected system costs may include support, transactions or other services. Scope must be matched first.</t>
  </si>
  <si>
    <t xml:space="preserve">Survey reach and demand signals</t>
  </si>
  <si>
    <t xml:space="preserve">Current requirement — additional entities</t>
  </si>
  <si>
    <t xml:space="preserve">Future demand — additional entities</t>
  </si>
  <si>
    <t xml:space="preserve">Total additional demand entities</t>
  </si>
  <si>
    <t xml:space="preserve">Expect growth — organizations</t>
  </si>
  <si>
    <t xml:space="preserve">Growth-question responses</t>
  </si>
  <si>
    <t xml:space="preserve">Share expecting growth</t>
  </si>
  <si>
    <t xml:space="preserve">Growth driven by more users — responses</t>
  </si>
  <si>
    <t xml:space="preserve">Respondents expecting growth</t>
  </si>
  <si>
    <t xml:space="preserve">Share citing more users</t>
  </si>
  <si>
    <t xml:space="preserve">Survey coverage</t>
  </si>
  <si>
    <t xml:space="preserve">Source: original user-supplied DDA survey Q1, Q5, Q6 and Q7. Scope updated to 92 with the user-supplied Rulers Court addition (V2-S12).</t>
  </si>
  <si>
    <t xml:space="preserve">17/22 and 13/17 are respondent shares, not user growth rates. Q6 allows multiple selections.</t>
  </si>
  <si>
    <t xml:space="preserve">Of the 16 demand entities, 10 have a current requirement and six may need the service in the future.</t>
  </si>
  <si>
    <t xml:space="preserve">Overall potential and commitment economics</t>
  </si>
  <si>
    <t xml:space="preserve">The employee-based potential includes existing and survey users. It is not an additional cohort to add to them.</t>
  </si>
  <si>
    <t xml:space="preserve">Demand and capacity</t>
  </si>
  <si>
    <t xml:space="preserve">Employee planning population</t>
  </si>
  <si>
    <t xml:space="preserve">Assumed adoption share</t>
  </si>
  <si>
    <t xml:space="preserve">Potential signature users</t>
  </si>
  <si>
    <t xml:space="preserve">Annual committed users</t>
  </si>
  <si>
    <t xml:space="preserve">Existing customer users</t>
  </si>
  <si>
    <t xml:space="preserve">Matched new-customer users</t>
  </si>
  <si>
    <t xml:space="preserve">Known / expected users including growth</t>
  </si>
  <si>
    <t xml:space="preserve">Commitment still to allocate</t>
  </si>
  <si>
    <t xml:space="preserve">Capacity / usage check</t>
  </si>
  <si>
    <t xml:space="preserve">Identified users above commitment</t>
  </si>
  <si>
    <t xml:space="preserve">Commitment / estimated potential</t>
  </si>
  <si>
    <t xml:space="preserve">Potential beyond commitment</t>
  </si>
  <si>
    <t xml:space="preserve">Capacity beyond Year 1 existing</t>
  </si>
  <si>
    <t xml:space="preserve">Additional seats assumed in use</t>
  </si>
  <si>
    <t xml:space="preserve">Existing growth — additional Year 1 users</t>
  </si>
  <si>
    <t xml:space="preserve">Selected commitment — users and AED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</si>
  <si>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</si>
  <si>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</si>
  <si>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</si>
  <si>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</si>
  <si>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</si>
  <si>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Five-year AED total</t>
  </si>
  <si>
    <t xml:space="preserve">Existing users — growth rate</t>
  </si>
  <si>
    <t xml:space="preserve">Survey / Other — growth rate</t>
  </si>
  <si>
    <t xml:space="preserve">Existing users including growth</t>
  </si>
  <si>
    <t xml:space="preserve">Survey users</t>
  </si>
  <si>
    <t xml:space="preserve">Other users</t>
  </si>
  <si>
    <t xml:space="preserve">Total users in use</t>
  </si>
  <si>
    <t xml:space="preserve">Paid subscription users</t>
  </si>
  <si>
    <t xml:space="preserve">Locked subscription AED/user/year</t>
  </si>
  <si>
    <t xml:space="preserve">Existing — subscription benchmark AED</t>
  </si>
  <si>
    <t xml:space="preserve">Survey — subscription benchmark AED</t>
  </si>
  <si>
    <t xml:space="preserve">Other — subscription benchmark AED</t>
  </si>
  <si>
    <t xml:space="preserve">Combined subscription benchmark AED</t>
  </si>
  <si>
    <t xml:space="preserve">Central subscription AED</t>
  </si>
  <si>
    <t xml:space="preserve">Subscription savings AED</t>
  </si>
  <si>
    <t xml:space="preserve">Separate support AED — not compared</t>
  </si>
  <si>
    <t xml:space="preserve">At full estimated potential — separate scale illustration</t>
  </si>
  <si>
    <t xml:space="preserve">Potential users</t>
  </si>
  <si>
    <t xml:space="preserve">Applicable subscription discount</t>
  </si>
  <si>
    <t xml:space="preserve">Separate support rate</t>
  </si>
  <si>
    <t xml:space="preserve">Annual subscription AED</t>
  </si>
  <si>
    <t xml:space="preserve">Separate annual support AED</t>
  </si>
  <si>
    <t xml:space="preserve">Subscription benchmark AED</t>
  </si>
  <si>
    <t xml:space="preserve">Full potential assumes adoption across the planning population. It is not an additional purchase or a timing forecast.</t>
  </si>
  <si>
    <t xml:space="preserve">The entity source contains aliases and repeat project rows. Do not treat raw row counts as unique eligible entities.</t>
  </si>
  <si>
    <t xml:space="preserve">Adoption plan for the selected commitment</t>
  </si>
  <si>
    <t xml:space="preserve">Seats beyond Year 1 existing users</t>
  </si>
  <si>
    <t xml:space="preserve">Survey numerical minimum users</t>
  </si>
  <si>
    <t xml:space="preserve">Survey illustrative users</t>
  </si>
  <si>
    <t xml:space="preserve">Assumed existing-user overlap</t>
  </si>
  <si>
    <t xml:space="preserve">Selected survey users before deduction</t>
  </si>
  <si>
    <t xml:space="preserve">Survey users after selected deduction</t>
  </si>
  <si>
    <t xml:space="preserve">Survey seats in selected commitment</t>
  </si>
  <si>
    <t xml:space="preserve">Other departments — required used seats</t>
  </si>
  <si>
    <t xml:space="preserve">Unused committed seats</t>
  </si>
  <si>
    <t xml:space="preserve">Capacity beyond quantified survey</t>
  </si>
  <si>
    <t xml:space="preserve">Unsurveyed entities — illustrative pool</t>
  </si>
  <si>
    <t xml:space="preserve">Required users per unsurveyed entity</t>
  </si>
  <si>
    <t xml:space="preserve">Survey share of additional seats</t>
  </si>
  <si>
    <t xml:space="preserve">Adoption allocation status</t>
  </si>
  <si>
    <t xml:space="preserve">Matched survey users</t>
  </si>
  <si>
    <t xml:space="preserve">Matched other-department users</t>
  </si>
  <si>
    <t xml:space="preserve">Matched survey subscriptions AED</t>
  </si>
  <si>
    <t xml:space="preserve">A1. Existing customers — current users</t>
  </si>
  <si>
    <t xml:space="preserve">A2. Existing customers — Year 1 growth</t>
  </si>
  <si>
    <t xml:space="preserve">B. Survey-based opportunity</t>
  </si>
  <si>
    <t xml:space="preserve">C. Other departments — adoption target</t>
  </si>
  <si>
    <t xml:space="preserve">Selected commitment total</t>
  </si>
  <si>
    <t xml:space="preserve">A1 uses supplied subscriptions. A2 assumes the same weighted unit price for growth. B/C use list until matched costs arrive.</t>
  </si>
  <si>
    <t xml:space="preserve">B uses current/expected user-band counts. Per user instruction, the default adds the full survey count without overlap deduction.</t>
  </si>
  <si>
    <t xml:space="preserve">Other-department seats are a residual target, not surveyed demand. Existing Year 1 growth is shown separately; Years 2–5 grow all cohorts at the selected annual rate.</t>
  </si>
  <si>
    <t xml:space="preserve">The 16 entities expressing interest support the demand case but add no quantified seats here; their user counts are unknown.</t>
  </si>
  <si>
    <t xml:space="preserve">Forecast user counts are full-year billable estimates. Paid volume grows at the locked unit price; support is separate.</t>
  </si>
  <si>
    <t xml:space="preserve">Unused committed seats stay in C subscription cost and produce no assumed baseline spending. Support remains separate.</t>
  </si>
  <si>
    <t xml:space="preserve">Reconciliation to selected annual model</t>
  </si>
  <si>
    <t xml:space="preserve">Survey respondents — comparable subscription inputs</t>
  </si>
  <si>
    <t xml:space="preserve">Enter each entity once. Only rows marked Ready and Existing Circularo? = No feed new-customer savings.</t>
  </si>
  <si>
    <t xml:space="preserve">Entity</t>
  </si>
  <si>
    <t xml:space="preserve">Existing Circularo?</t>
  </si>
  <si>
    <t xml:space="preserve">Reported system cost AED/year</t>
  </si>
  <si>
    <t xml:space="preserve">Comparable subscription AED/year</t>
  </si>
  <si>
    <t xml:space="preserve">Cost basis</t>
  </si>
  <si>
    <t xml:space="preserve">Central subscription AED/year</t>
  </si>
  <si>
    <t xml:space="preserve">Input status</t>
  </si>
  <si>
    <t xml:space="preserve">Source / cost scope</t>
  </si>
  <si>
    <t xml:space="preserve">Demand cohort</t>
  </si>
  <si>
    <t xml:space="preserve">Keep reported system costs in column F. Enter column G only when the comparable subscription component is known.</t>
  </si>
  <si>
    <t xml:space="preserve">Do not treat support-inclusive costs as subscriptions. Unknown or incomplete rows remain outside savings totals.</t>
  </si>
  <si>
    <t xml:space="preserve">Expected costs are forecasts, not actual spend. Both are identified in the Survey summary.</t>
  </si>
  <si>
    <t xml:space="preserve">Respondent-level data is pending from the user. Blank cells are missing inputs, not zero-cost customers.</t>
  </si>
  <si>
    <t xml:space="preserve">Demand cohort assigns each matched row once to the adoption plan. Cost basis separately identifies actual or expected costs.</t>
  </si>
  <si>
    <t xml:space="preserve">Potential entities — supplied source list</t>
  </si>
  <si>
    <t xml:space="preserve">Original source: dda departments, columns A:B only. Entity #92 added from user instruction, V2-S12.</t>
  </si>
  <si>
    <t xml:space="preserve">Source #</t>
  </si>
  <si>
    <t xml:space="preserve">Source entity name</t>
  </si>
  <si>
    <t xml:space="preserve">Addition source</t>
  </si>
  <si>
    <t xml:space="preserve">Central Grievance Committee</t>
  </si>
  <si>
    <t xml:space="preserve">Community Development Authority</t>
  </si>
  <si>
    <t xml:space="preserve">Dubai Courts</t>
  </si>
  <si>
    <t xml:space="preserve">Department of Economic Development</t>
  </si>
  <si>
    <t xml:space="preserve">Department of Economy and Tourism</t>
  </si>
  <si>
    <t xml:space="preserve">Department of Finance</t>
  </si>
  <si>
    <t xml:space="preserve">Department of Tourism and Commerce Marketing </t>
  </si>
  <si>
    <t xml:space="preserve">Directorate General of Dubai Civil Defense</t>
  </si>
  <si>
    <t xml:space="preserve">Dubai Academic Health Corporation</t>
  </si>
  <si>
    <t xml:space="preserve">Dubai Air Navigation Services</t>
  </si>
  <si>
    <t xml:space="preserve">Dubai Airport Freezone</t>
  </si>
  <si>
    <t xml:space="preserve">Dubai Airports</t>
  </si>
  <si>
    <t xml:space="preserve">Dubai Chambers</t>
  </si>
  <si>
    <t xml:space="preserve">Dubai Civil Aviaition Authority</t>
  </si>
  <si>
    <t xml:space="preserve">Dubai Civil Defence</t>
  </si>
  <si>
    <t xml:space="preserve">Dubai Corporation for Ambulances Services</t>
  </si>
  <si>
    <t xml:space="preserve">Dubai Corporation for Aviation Engineering Projects</t>
  </si>
  <si>
    <t xml:space="preserve">Dubai Customs</t>
  </si>
  <si>
    <t xml:space="preserve">Dubai Duty Free</t>
  </si>
  <si>
    <t xml:space="preserve">Dubai Economy and Tourism</t>
  </si>
  <si>
    <t xml:space="preserve">Dubai Electricity &amp; Water Authority (DEWA)</t>
  </si>
  <si>
    <t xml:space="preserve">Dubai Export Development Coroporation</t>
  </si>
  <si>
    <t xml:space="preserve">Dubai Financial Market (DFM)</t>
  </si>
  <si>
    <t xml:space="preserve">Dubai Foundation for Women and Children</t>
  </si>
  <si>
    <t xml:space="preserve">Dubai Future Foundation</t>
  </si>
  <si>
    <t xml:space="preserve">Dubai Government Human Resource Department</t>
  </si>
  <si>
    <t xml:space="preserve">Dubai Government Workshop</t>
  </si>
  <si>
    <t xml:space="preserve">Dubai Health</t>
  </si>
  <si>
    <t xml:space="preserve">Dubai Health Authority (DHA)</t>
  </si>
  <si>
    <t xml:space="preserve">Dubai International Financial Centre (DIFC)</t>
  </si>
  <si>
    <t xml:space="preserve">Dubai Islamic Economy Development Centre</t>
  </si>
  <si>
    <t xml:space="preserve">Dubai Judicial Institute</t>
  </si>
  <si>
    <t xml:space="preserve">Dubai Land Department (DLD)</t>
  </si>
  <si>
    <t xml:space="preserve">Dubai Maritime City Authority</t>
  </si>
  <si>
    <t xml:space="preserve">Dubai Media Council</t>
  </si>
  <si>
    <t xml:space="preserve">Dubai Media Inc</t>
  </si>
  <si>
    <t xml:space="preserve">Dubai Municipality</t>
  </si>
  <si>
    <t xml:space="preserve">Dubai Petroleum</t>
  </si>
  <si>
    <t xml:space="preserve">Dubai Police</t>
  </si>
  <si>
    <t xml:space="preserve">Dubai Public Prosecution</t>
  </si>
  <si>
    <t xml:space="preserve">Dubai Silicon Oasis Authority</t>
  </si>
  <si>
    <t xml:space="preserve">Dubai South</t>
  </si>
  <si>
    <t xml:space="preserve">Dubai Sports Council</t>
  </si>
  <si>
    <t xml:space="preserve">Dubai Statistics Center</t>
  </si>
  <si>
    <t xml:space="preserve">Dubai Women Establishment</t>
  </si>
  <si>
    <t xml:space="preserve">Economic Security Center of Dubai</t>
  </si>
  <si>
    <t xml:space="preserve">Emirates International Accreditation Centre (eiac)</t>
  </si>
  <si>
    <t xml:space="preserve">Endowment And Minor Trust Foundation</t>
  </si>
  <si>
    <t xml:space="preserve">Financial Audit Authority</t>
  </si>
  <si>
    <t xml:space="preserve">General Directorate of Residency and Forigners Affairs - Dubai</t>
  </si>
  <si>
    <t xml:space="preserve">Hamdan Bin Mohammed Smart University</t>
  </si>
  <si>
    <t xml:space="preserve">International City for Humanitarian Services</t>
  </si>
  <si>
    <t xml:space="preserve">Investment Corporation of Dubai</t>
  </si>
  <si>
    <t xml:space="preserve">Islamic Affairs &amp; Charitable Activities Department (Awqaf Dubai)</t>
  </si>
  <si>
    <t xml:space="preserve">Jabel Ali Free Zone</t>
  </si>
  <si>
    <t xml:space="preserve">Khbrati</t>
  </si>
  <si>
    <t xml:space="preserve">Knowledge and Human Development Authority</t>
  </si>
  <si>
    <t xml:space="preserve">Knowledge Fund Foundation</t>
  </si>
  <si>
    <t xml:space="preserve">Mohamed Bin Rashid Space Centre</t>
  </si>
  <si>
    <t xml:space="preserve">Mohammed Bin Rashid Al Maktoum Knowledge Foundation</t>
  </si>
  <si>
    <t xml:space="preserve">Mohammed Bin Rashid Al Maktoum Library Foundation</t>
  </si>
  <si>
    <t xml:space="preserve">Mohammed Bin Rashid Housing Establishment</t>
  </si>
  <si>
    <t xml:space="preserve">Mohammed Bin Rashid School of Government</t>
  </si>
  <si>
    <t xml:space="preserve">National Bonds</t>
  </si>
  <si>
    <t xml:space="preserve">Nedaa - Professional Communication Corporation</t>
  </si>
  <si>
    <t xml:space="preserve">Professional Communication Corporation 'Nedaa'</t>
  </si>
  <si>
    <t xml:space="preserve">Protocol Department</t>
  </si>
  <si>
    <t xml:space="preserve">Public Prosecution</t>
  </si>
  <si>
    <t xml:space="preserve">Security Industry Regulatory Authority</t>
  </si>
  <si>
    <t xml:space="preserve">State Security - Dubai</t>
  </si>
  <si>
    <t xml:space="preserve">Supreme Council of Energy Dubai</t>
  </si>
  <si>
    <t xml:space="preserve">Supreme Legislation Committee</t>
  </si>
  <si>
    <t xml:space="preserve">The Executive Council - Dubai</t>
  </si>
  <si>
    <t xml:space="preserve">The Governement of Dubai Human Resources Department</t>
  </si>
  <si>
    <t xml:space="preserve">The Government of Dubai Legal Affairs Department</t>
  </si>
  <si>
    <t xml:space="preserve">The Government of Dubai Media Office</t>
  </si>
  <si>
    <t xml:space="preserve">The Supreme Legislation Committee</t>
  </si>
  <si>
    <t xml:space="preserve">Trakhees Corporation</t>
  </si>
  <si>
    <t xml:space="preserve">UAE Food Bank</t>
  </si>
  <si>
    <t xml:space="preserve">Visit Dubai</t>
  </si>
  <si>
    <t xml:space="preserve">Emirates Integrated Telecommunications Company (du)</t>
  </si>
  <si>
    <t xml:space="preserve">Mohammed Bin Rashid Al Maktoum Global Initiatives</t>
  </si>
  <si>
    <t xml:space="preserve">Mohammed Bin Rashid Centre for Government Innovation - Dubai</t>
  </si>
  <si>
    <t xml:space="preserve">Sheikh Zayed Housing Programme</t>
  </si>
  <si>
    <t xml:space="preserve">Dubai Healthcare City Authority</t>
  </si>
  <si>
    <t xml:space="preserve">User, 21 Sep 2026 (V2-S12)</t>
  </si>
  <si>
    <t xml:space="preserve">Name rows</t>
  </si>
  <si>
    <t xml:space="preserve">Raw rows include duplicates/aliases. This list does not establish funded users or a unique eligible entity count.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</si>
</sst>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–"/>
    <numFmt numFmtId="166" formatCode="#,##0"/>
    <numFmt numFmtId="167" formatCode="0.0%;\(0.0%\);\–"/>
    <numFmt numFmtId="168" formatCode="#,##0.0"/>
    <numFmt numFmtId="169" formatCode="0.0,,"/>
    <numFmt numFmtId="170" formatCode="#,##0.00;\(#,##0.00\);\–"/>
    <numFmt numFmtId="171" formatCode="0.000"/>
    <numFmt numFmtId="172" formatCode="0.0"/>
    <numFmt numFmtId="173" formatCode="0.00"/>
  </numFmts>
  <fonts count="2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43247"/>
      <name val="Arial"/>
      <family val="0"/>
      <charset val="1"/>
    </font>
    <font>
      <b val="true"/>
      <sz val="16"/>
      <color rgb="FF1D009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66708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43247"/>
      <name val="Arial"/>
      <family val="0"/>
      <charset val="1"/>
    </font>
    <font>
      <b val="true"/>
      <sz val="11"/>
      <color rgb="FF1D009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0.5"/>
      <color rgb="FF000000"/>
      <name val="Arial"/>
      <family val="2"/>
    </font>
    <font>
      <sz val="8.25"/>
      <color rgb="FF000000"/>
      <name val="Arial"/>
      <family val="2"/>
    </font>
    <font>
      <sz val="11"/>
      <color rgb="FF0000FF"/>
      <name val="Arial"/>
      <family val="0"/>
      <charset val="1"/>
    </font>
    <font>
      <sz val="10"/>
      <color rgb="FF243247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1CC"/>
        <bgColor rgb="FFFDE9E7"/>
      </patternFill>
    </fill>
    <fill>
      <patternFill patternType="solid">
        <fgColor rgb="FF1D0090"/>
        <bgColor rgb="FF000080"/>
      </patternFill>
    </fill>
    <fill>
      <patternFill patternType="solid">
        <fgColor rgb="FFF4EFFF"/>
        <bgColor rgb="FFFDE9E7"/>
      </patternFill>
    </fill>
    <fill>
      <patternFill patternType="solid">
        <fgColor rgb="FFFFFFFF"/>
        <bgColor rgb="FFF4E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7000FF"/>
      </bottom>
      <diagonal/>
    </border>
    <border diagonalUp="false" diagonalDown="false">
      <left/>
      <right/>
      <top style="thin">
        <color rgb="FFB6A6D8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2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9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9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9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1"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D0090"/>
      <rgbColor rgb="FF808000"/>
      <rgbColor rgb="FF7000FF"/>
      <rgbColor rgb="FF008080"/>
      <rgbColor rgb="FFCCCCCC"/>
      <rgbColor rgb="FF8B8B8B"/>
      <rgbColor rgb="FF9999FF"/>
      <rgbColor rgb="FF993366"/>
      <rgbColor rgb="FFFFF1CC"/>
      <rgbColor rgb="FFF4E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B6A6D8"/>
      <rgbColor rgb="FFFFCC99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39966"/>
      <rgbColor rgb="FF003300"/>
      <rgbColor rgb="FF333300"/>
      <rgbColor rgb="FFB42318"/>
      <rgbColor rgb="FF993366"/>
      <rgbColor rgb="FF333399"/>
      <rgbColor rgb="FF2432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5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Existing subscriptions (AED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"Current subscription"</c:f>
              <c:strCache>
                <c:ptCount val="1"/>
                <c:pt idx="0">
                  <c:v>Current subscription</c:v>
                </c:pt>
              </c:strCache>
            </c:strRef>
          </c:tx>
          <c:spPr>
            <a:solidFill>
              <a:srgbClr val="1D00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Summary!$C$59</c:f>
              <c:strCache>
                <c:ptCount val="1"/>
                <c:pt idx="0">
                  <c:v>Existing customers</c:v>
                </c:pt>
              </c:strCache>
            </c:strRef>
          </c:cat>
          <c:val>
            <c:numRef>
              <c:f>Summary!$D$59</c:f>
              <c:numCache>
                <c:formatCode>#,##0;\(#,##0\);\–</c:formatCode>
                <c:ptCount val="1"/>
                <c:pt idx="0">
                  <c:v>1929169.75</c:v>
                </c:pt>
              </c:numCache>
            </c:numRef>
          </c:val>
        </c:ser>
        <c:ser>
          <c:idx val="1"/>
          <c:order val="1"/>
          <c:tx>
            <c:strRef>
              <c:f>"Central subscription"</c:f>
              <c:strCache>
                <c:ptCount val="1"/>
                <c:pt idx="0">
                  <c:v>Central subscription</c:v>
                </c:pt>
              </c:strCache>
            </c:strRef>
          </c:tx>
          <c:spPr>
            <a:solidFill>
              <a:srgbClr val="7000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Summary!$C$59</c:f>
              <c:strCache>
                <c:ptCount val="1"/>
                <c:pt idx="0">
                  <c:v>Existing customers</c:v>
                </c:pt>
              </c:strCache>
            </c:strRef>
          </c:cat>
          <c:val>
            <c:numRef>
              <c:f>Summary!$E$59</c:f>
              <c:numCache>
                <c:formatCode>#,##0;\(#,##0\);\–</c:formatCode>
                <c:ptCount val="1"/>
                <c:pt idx="0">
                  <c:v>1739025</c:v>
                </c:pt>
              </c:numCache>
            </c:numRef>
          </c:val>
        </c:ser>
        <c:gapWidth val="150"/>
        <c:overlap val="0"/>
        <c:axId val="27764030"/>
        <c:axId val="96082093"/>
      </c:barChart>
      <c:catAx>
        <c:axId val="2776403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96082093"/>
        <c:crosses val="autoZero"/>
        <c:auto val="1"/>
        <c:lblAlgn val="ctr"/>
        <c:lblOffset val="100"/>
        <c:noMultiLvlLbl val="0"/>
      </c:catAx>
      <c:valAx>
        <c:axId val="9608209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27764030"/>
        <c:crosses val="autoZero"/>
        <c:crossBetween val="between"/>
      </c:valAx>
      <c:spPr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825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5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Path to the selected commitment (users)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"Users"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rgbClr val="1D00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Summary!$C$62:$C$66</c:f>
              <c:strCache>
                <c:ptCount val="5"/>
                <c:pt idx="0">
                  <c:v>Existing</c:v>
                </c:pt>
                <c:pt idx="1">
                  <c:v>Existing growth (Year 1)</c:v>
                </c:pt>
                <c:pt idx="2">
                  <c:v>Survey</c:v>
                </c:pt>
                <c:pt idx="3">
                  <c:v>Other</c:v>
                </c:pt>
                <c:pt idx="4">
                  <c:v>Unused</c:v>
                </c:pt>
              </c:strCache>
            </c:strRef>
          </c:cat>
          <c:val>
            <c:numRef>
              <c:f>Summary!$D$62:$D$66</c:f>
              <c:numCache>
                <c:formatCode>#,##0;\(#,##0\);\–</c:formatCode>
                <c:ptCount val="5"/>
                <c:pt idx="0">
                  <c:v>1310</c:v>
                </c:pt>
                <c:pt idx="1">
                  <c:v>262</c:v>
                </c:pt>
                <c:pt idx="2">
                  <c:v>4921</c:v>
                </c:pt>
                <c:pt idx="3">
                  <c:v>1507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2385325"/>
        <c:axId val="17470758"/>
      </c:barChart>
      <c:catAx>
        <c:axId val="238532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17470758"/>
        <c:crosses val="autoZero"/>
        <c:auto val="1"/>
        <c:lblAlgn val="ctr"/>
        <c:lblOffset val="100"/>
        <c:noMultiLvlLbl val="0"/>
      </c:catAx>
      <c:valAx>
        <c:axId val="1747075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2385325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40</xdr:row>
      <xdr:rowOff>0</xdr:rowOff>
    </xdr:from>
    <xdr:to>
      <xdr:col>5</xdr:col>
      <xdr:colOff>1338840</xdr:colOff>
      <xdr:row>55</xdr:row>
      <xdr:rowOff>317160</xdr:rowOff>
    </xdr:to>
    <xdr:graphicFrame>
      <xdr:nvGraphicFramePr>
        <xdr:cNvPr id="1" name="Chart"/>
        <xdr:cNvGraphicFramePr/>
      </xdr:nvGraphicFramePr>
      <xdr:xfrm>
        <a:off x="423000" y="13957200"/>
        <a:ext cx="7471080" cy="507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40</xdr:row>
      <xdr:rowOff>0</xdr:rowOff>
    </xdr:from>
    <xdr:to>
      <xdr:col>9</xdr:col>
      <xdr:colOff>1338840</xdr:colOff>
      <xdr:row>55</xdr:row>
      <xdr:rowOff>317160</xdr:rowOff>
    </xdr:to>
    <xdr:graphicFrame>
      <xdr:nvGraphicFramePr>
        <xdr:cNvPr id="2" name="Chart"/>
        <xdr:cNvGraphicFramePr/>
      </xdr:nvGraphicFramePr>
      <xdr:xfrm>
        <a:off x="6555240" y="13957200"/>
        <a:ext cx="6695640" cy="507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0090"/>
    <pageSetUpPr fitToPage="false"/>
  </sheetPr>
  <dimension ref="A1:J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9"/>
    <col collapsed="false" customWidth="true" hidden="false" outlineLevel="0" max="10" min="4" style="0" width="19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</row>
    <row r="2" customFormat="false" ht="25" hidden="false" customHeight="true" outlineLevel="0" collapsed="false">
      <c r="A2" s="1"/>
      <c r="B2" s="1"/>
      <c r="C2" s="3" t="s">
        <v>0</v>
      </c>
      <c r="D2" s="2"/>
      <c r="E2" s="2"/>
      <c r="F2" s="2"/>
      <c r="G2" s="2"/>
      <c r="H2" s="2"/>
      <c r="I2" s="2"/>
      <c r="J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</row>
    <row r="4" customFormat="false" ht="25" hidden="false" customHeight="true" outlineLevel="0" collapsed="false">
      <c r="A4" s="1"/>
      <c r="B4" s="1"/>
      <c r="C4" s="1" t="s">
        <v>1</v>
      </c>
      <c r="D4" s="2"/>
      <c r="E4" s="6" t="n">
        <v>8000</v>
      </c>
      <c r="F4" s="2"/>
      <c r="G4" s="7" t="s">
        <v>2</v>
      </c>
      <c r="H4" s="2"/>
      <c r="I4" s="2"/>
      <c r="J4" s="2"/>
    </row>
    <row r="5" customFormat="false" ht="25" hidden="false" customHeight="true" outlineLevel="0" collapsed="false">
      <c r="A5" s="1"/>
      <c r="B5" s="1"/>
      <c r="C5" s="1" t="s">
        <v>3</v>
      </c>
      <c r="D5" s="2"/>
      <c r="E5" s="2" t="n">
        <f aca="false">Potential!E65</f>
        <v>6428</v>
      </c>
      <c r="F5" s="2"/>
      <c r="G5" s="2" t="s">
        <v>4</v>
      </c>
      <c r="H5" s="2"/>
      <c r="I5" s="8" t="n">
        <f aca="false">Potential!E77</f>
        <v>0.765556938394524</v>
      </c>
      <c r="J5" s="2"/>
    </row>
    <row r="6" customFormat="false" ht="25" hidden="false" customHeight="true" outlineLevel="0" collapsed="false">
      <c r="A6" s="1"/>
      <c r="B6" s="1"/>
      <c r="C6" s="9" t="s">
        <v>5</v>
      </c>
      <c r="D6" s="2"/>
      <c r="E6" s="2"/>
      <c r="F6" s="2"/>
      <c r="G6" s="2"/>
      <c r="H6" s="2"/>
      <c r="I6" s="2"/>
      <c r="J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</row>
    <row r="8" customFormat="false" ht="40" hidden="false" customHeight="true" outlineLevel="0" collapsed="false">
      <c r="A8" s="1"/>
      <c r="B8" s="1"/>
      <c r="C8" s="10" t="s">
        <v>6</v>
      </c>
      <c r="D8" s="11" t="s">
        <v>7</v>
      </c>
      <c r="E8" s="11" t="s">
        <v>8</v>
      </c>
      <c r="F8" s="11" t="s">
        <v>9</v>
      </c>
      <c r="G8" s="11" t="s">
        <v>10</v>
      </c>
      <c r="H8" s="11" t="s">
        <v>11</v>
      </c>
      <c r="I8" s="2"/>
      <c r="J8" s="2"/>
    </row>
    <row r="9" customFormat="false" ht="38" hidden="false" customHeight="true" outlineLevel="0" collapsed="false">
      <c r="A9" s="1"/>
      <c r="B9" s="1"/>
      <c r="C9" s="12" t="str">
        <f aca="false">Potential!C87</f>
        <v>A1. Existing customers — current users</v>
      </c>
      <c r="D9" s="2" t="n">
        <f aca="false">Potential!D87</f>
        <v>1310</v>
      </c>
      <c r="E9" s="2" t="n">
        <f aca="false">Potential!E87</f>
        <v>1929169.75</v>
      </c>
      <c r="F9" s="2" t="n">
        <f aca="false">Potential!F87</f>
        <v>1739025</v>
      </c>
      <c r="G9" s="2" t="n">
        <f aca="false">Potential!G87</f>
        <v>190144.75</v>
      </c>
      <c r="H9" s="2" t="n">
        <f aca="false">Potential!H87</f>
        <v>1051118.24268448</v>
      </c>
      <c r="I9" s="2"/>
      <c r="J9" s="2"/>
    </row>
    <row r="10" customFormat="false" ht="38" hidden="false" customHeight="true" outlineLevel="0" collapsed="false">
      <c r="A10" s="1"/>
      <c r="B10" s="1"/>
      <c r="C10" s="12" t="str">
        <f aca="false">Potential!C88</f>
        <v>A2. Existing customers — Year 1 growth</v>
      </c>
      <c r="D10" s="2" t="n">
        <f aca="false">Potential!D88</f>
        <v>262</v>
      </c>
      <c r="E10" s="2" t="n">
        <f aca="false">Potential!E88</f>
        <v>385833.95</v>
      </c>
      <c r="F10" s="2" t="n">
        <f aca="false">Potential!F88</f>
        <v>347805</v>
      </c>
      <c r="G10" s="2" t="n">
        <f aca="false">Potential!G88</f>
        <v>38028.9500000001</v>
      </c>
      <c r="H10" s="2" t="n">
        <f aca="false">Potential!H88</f>
        <v>210223.648536896</v>
      </c>
      <c r="I10" s="2"/>
      <c r="J10" s="2"/>
    </row>
    <row r="11" customFormat="false" ht="38" hidden="false" customHeight="true" outlineLevel="0" collapsed="false">
      <c r="A11" s="1"/>
      <c r="B11" s="1"/>
      <c r="C11" s="12" t="str">
        <f aca="false">Potential!C89</f>
        <v>B. Survey-based opportunity</v>
      </c>
      <c r="D11" s="2" t="n">
        <f aca="false">Potential!D89</f>
        <v>4921</v>
      </c>
      <c r="E11" s="2" t="n">
        <f aca="false">Potential!E89</f>
        <v>14516950</v>
      </c>
      <c r="F11" s="2" t="n">
        <f aca="false">Potential!F89</f>
        <v>6532627.5</v>
      </c>
      <c r="G11" s="2" t="n">
        <f aca="false">Potential!G89</f>
        <v>7984322.5</v>
      </c>
      <c r="H11" s="2" t="n">
        <f aca="false">Potential!H89</f>
        <v>44115775</v>
      </c>
      <c r="I11" s="2"/>
      <c r="J11" s="2"/>
    </row>
    <row r="12" customFormat="false" ht="38" hidden="false" customHeight="true" outlineLevel="0" collapsed="false">
      <c r="A12" s="1"/>
      <c r="B12" s="1"/>
      <c r="C12" s="12" t="str">
        <f aca="false">Potential!C90</f>
        <v>C. Other departments — adoption target</v>
      </c>
      <c r="D12" s="2" t="n">
        <f aca="false">Potential!D90</f>
        <v>1507</v>
      </c>
      <c r="E12" s="2" t="n">
        <f aca="false">Potential!E90</f>
        <v>4445650</v>
      </c>
      <c r="F12" s="2" t="n">
        <f aca="false">Potential!F90</f>
        <v>2000542.5</v>
      </c>
      <c r="G12" s="2" t="n">
        <f aca="false">Potential!G90</f>
        <v>2445107.5</v>
      </c>
      <c r="H12" s="2" t="n">
        <f aca="false">Potential!H90</f>
        <v>13507312.5</v>
      </c>
      <c r="I12" s="2"/>
      <c r="J12" s="2"/>
    </row>
    <row r="13" customFormat="false" ht="38" hidden="false" customHeight="true" outlineLevel="0" collapsed="false">
      <c r="A13" s="1"/>
      <c r="B13" s="1"/>
      <c r="C13" s="13" t="str">
        <f aca="false">Potential!C91</f>
        <v>Selected commitment total</v>
      </c>
      <c r="D13" s="14" t="n">
        <f aca="false">Potential!D91</f>
        <v>8000</v>
      </c>
      <c r="E13" s="14" t="n">
        <f aca="false">Potential!E91</f>
        <v>21277603.7</v>
      </c>
      <c r="F13" s="14" t="n">
        <f aca="false">Potential!F91</f>
        <v>10620000</v>
      </c>
      <c r="G13" s="14" t="n">
        <f aca="false">Potential!G91</f>
        <v>10657603.7</v>
      </c>
      <c r="H13" s="14" t="n">
        <f aca="false">Potential!H91</f>
        <v>58884429.3912214</v>
      </c>
      <c r="I13" s="2"/>
      <c r="J13" s="2"/>
    </row>
    <row r="14" customFormat="false" ht="25" hidden="false" customHeight="true" outlineLevel="0" collapsed="false">
      <c r="A14" s="1"/>
      <c r="B14" s="1"/>
      <c r="C14" s="9" t="s">
        <v>12</v>
      </c>
      <c r="D14" s="2"/>
      <c r="E14" s="2"/>
      <c r="F14" s="2"/>
      <c r="G14" s="2"/>
      <c r="H14" s="2"/>
      <c r="I14" s="2"/>
      <c r="J14" s="2"/>
    </row>
    <row r="15" customFormat="false" ht="25" hidden="false" customHeight="true" outlineLevel="0" collapsed="false">
      <c r="A15" s="1"/>
      <c r="B15" s="1"/>
      <c r="C15" s="9" t="s">
        <v>13</v>
      </c>
      <c r="D15" s="2"/>
      <c r="E15" s="2"/>
      <c r="F15" s="2"/>
      <c r="G15" s="2"/>
      <c r="H15" s="2"/>
      <c r="I15" s="2"/>
      <c r="J15" s="2"/>
    </row>
    <row r="16" customFormat="false" ht="25" hidden="false" customHeight="true" outlineLevel="0" collapsed="false">
      <c r="A16" s="1"/>
      <c r="B16" s="1"/>
      <c r="C16" s="1"/>
      <c r="D16" s="2"/>
      <c r="E16" s="2"/>
      <c r="F16" s="2"/>
      <c r="G16" s="2"/>
      <c r="H16" s="2"/>
      <c r="I16" s="2"/>
      <c r="J16" s="2"/>
    </row>
    <row r="17" customFormat="false" ht="27" hidden="false" customHeight="true" outlineLevel="0" collapsed="false">
      <c r="A17" s="1"/>
      <c r="B17" s="1"/>
      <c r="C17" s="15" t="s">
        <v>14</v>
      </c>
      <c r="D17" s="16"/>
      <c r="E17" s="16"/>
      <c r="F17" s="16"/>
      <c r="G17" s="16"/>
      <c r="H17" s="16"/>
      <c r="I17" s="2"/>
      <c r="J17" s="2"/>
    </row>
    <row r="18" customFormat="false" ht="40" hidden="false" customHeight="true" outlineLevel="0" collapsed="false">
      <c r="A18" s="1"/>
      <c r="B18" s="1"/>
      <c r="C18" s="10" t="s">
        <v>15</v>
      </c>
      <c r="D18" s="11" t="s">
        <v>16</v>
      </c>
      <c r="E18" s="11" t="s">
        <v>17</v>
      </c>
      <c r="F18" s="11" t="s">
        <v>18</v>
      </c>
      <c r="G18" s="11" t="s">
        <v>19</v>
      </c>
      <c r="H18" s="11" t="s">
        <v>20</v>
      </c>
      <c r="I18" s="2"/>
      <c r="J18" s="2"/>
    </row>
    <row r="19" customFormat="false" ht="25" hidden="false" customHeight="true" outlineLevel="0" collapsed="false">
      <c r="A19" s="1"/>
      <c r="B19" s="1"/>
      <c r="C19" s="1" t="str">
        <f aca="false">Survey!C22</f>
        <v>1–50 users</v>
      </c>
      <c r="D19" s="2" t="n">
        <f aca="false">Survey!D22</f>
        <v>6</v>
      </c>
      <c r="E19" s="2" t="n">
        <f aca="false">Survey!E22</f>
        <v>1</v>
      </c>
      <c r="F19" s="2" t="n">
        <f aca="false">Survey!H22</f>
        <v>6</v>
      </c>
      <c r="G19" s="17" t="n">
        <f aca="false">Survey!F22</f>
        <v>25.5</v>
      </c>
      <c r="H19" s="17" t="n">
        <f aca="false">Survey!G22</f>
        <v>153</v>
      </c>
      <c r="I19" s="2"/>
      <c r="J19" s="2"/>
    </row>
    <row r="20" customFormat="false" ht="25" hidden="false" customHeight="true" outlineLevel="0" collapsed="false">
      <c r="A20" s="1"/>
      <c r="B20" s="1"/>
      <c r="C20" s="1" t="str">
        <f aca="false">Survey!C23</f>
        <v>51–100 users</v>
      </c>
      <c r="D20" s="2" t="n">
        <f aca="false">Survey!D23</f>
        <v>4</v>
      </c>
      <c r="E20" s="2" t="n">
        <f aca="false">Survey!E23</f>
        <v>51</v>
      </c>
      <c r="F20" s="2" t="n">
        <f aca="false">Survey!H23</f>
        <v>204</v>
      </c>
      <c r="G20" s="17" t="n">
        <f aca="false">Survey!F23</f>
        <v>75.5</v>
      </c>
      <c r="H20" s="17" t="n">
        <f aca="false">Survey!G23</f>
        <v>302</v>
      </c>
      <c r="I20" s="2"/>
      <c r="J20" s="2"/>
    </row>
    <row r="21" customFormat="false" ht="25" hidden="false" customHeight="true" outlineLevel="0" collapsed="false">
      <c r="A21" s="1"/>
      <c r="B21" s="1"/>
      <c r="C21" s="1" t="str">
        <f aca="false">Survey!C24</f>
        <v>101–500 users</v>
      </c>
      <c r="D21" s="2" t="n">
        <f aca="false">Survey!D24</f>
        <v>7</v>
      </c>
      <c r="E21" s="2" t="n">
        <f aca="false">Survey!E24</f>
        <v>101</v>
      </c>
      <c r="F21" s="2" t="n">
        <f aca="false">Survey!H24</f>
        <v>707</v>
      </c>
      <c r="G21" s="17" t="n">
        <f aca="false">Survey!F24</f>
        <v>300.5</v>
      </c>
      <c r="H21" s="17" t="n">
        <f aca="false">Survey!G24</f>
        <v>2103.5</v>
      </c>
      <c r="I21" s="2"/>
      <c r="J21" s="2"/>
    </row>
    <row r="22" customFormat="false" ht="25" hidden="false" customHeight="true" outlineLevel="0" collapsed="false">
      <c r="A22" s="1"/>
      <c r="B22" s="1"/>
      <c r="C22" s="1" t="str">
        <f aca="false">Survey!C25</f>
        <v>More than 1,000 users</v>
      </c>
      <c r="D22" s="2" t="n">
        <f aca="false">Survey!D25</f>
        <v>4</v>
      </c>
      <c r="E22" s="2" t="n">
        <f aca="false">Survey!E25</f>
        <v>1001</v>
      </c>
      <c r="F22" s="2" t="n">
        <f aca="false">Survey!H25</f>
        <v>4004</v>
      </c>
      <c r="G22" s="17" t="n">
        <f aca="false">Survey!F25</f>
        <v>2000</v>
      </c>
      <c r="H22" s="17" t="n">
        <f aca="false">Survey!G25</f>
        <v>8000</v>
      </c>
      <c r="I22" s="2"/>
      <c r="J22" s="2"/>
    </row>
    <row r="23" customFormat="false" ht="25" hidden="false" customHeight="true" outlineLevel="0" collapsed="false">
      <c r="A23" s="1"/>
      <c r="B23" s="1"/>
      <c r="C23" s="13" t="s">
        <v>21</v>
      </c>
      <c r="D23" s="14" t="n">
        <f aca="false">SUM(D19:D22)</f>
        <v>21</v>
      </c>
      <c r="E23" s="14"/>
      <c r="F23" s="14" t="n">
        <f aca="false">SUM(F19:F22)</f>
        <v>4921</v>
      </c>
      <c r="G23" s="18"/>
      <c r="H23" s="18" t="n">
        <f aca="false">SUM(H19:H22)</f>
        <v>10558.5</v>
      </c>
      <c r="I23" s="2"/>
      <c r="J23" s="2"/>
    </row>
    <row r="24" customFormat="false" ht="25" hidden="false" customHeight="true" outlineLevel="0" collapsed="false">
      <c r="A24" s="1"/>
      <c r="B24" s="1"/>
      <c r="C24" s="1"/>
      <c r="D24" s="2"/>
      <c r="E24" s="2"/>
      <c r="F24" s="2"/>
      <c r="G24" s="2"/>
      <c r="H24" s="2"/>
      <c r="I24" s="2"/>
      <c r="J24" s="2"/>
    </row>
    <row r="25" customFormat="false" ht="25" hidden="false" customHeight="true" outlineLevel="0" collapsed="false">
      <c r="A25" s="1"/>
      <c r="B25" s="1"/>
      <c r="C25" s="9" t="s">
        <v>22</v>
      </c>
      <c r="D25" s="2"/>
      <c r="E25" s="2"/>
      <c r="F25" s="2"/>
      <c r="G25" s="2"/>
      <c r="H25" s="2"/>
      <c r="I25" s="2"/>
      <c r="J25" s="2"/>
    </row>
    <row r="26" customFormat="false" ht="25" hidden="false" customHeight="true" outlineLevel="0" collapsed="false">
      <c r="A26" s="1"/>
      <c r="B26" s="1"/>
      <c r="C26" s="9" t="s">
        <v>23</v>
      </c>
      <c r="D26" s="2"/>
      <c r="E26" s="2"/>
      <c r="F26" s="2"/>
      <c r="G26" s="2"/>
      <c r="H26" s="2"/>
      <c r="I26" s="2"/>
      <c r="J26" s="2"/>
    </row>
    <row r="27" customFormat="false" ht="25" hidden="false" customHeight="true" outlineLevel="0" collapsed="false">
      <c r="A27" s="1"/>
      <c r="B27" s="1"/>
      <c r="C27" s="1"/>
      <c r="D27" s="2"/>
      <c r="E27" s="2"/>
      <c r="F27" s="2"/>
      <c r="G27" s="2"/>
      <c r="H27" s="2"/>
      <c r="I27" s="2"/>
      <c r="J27" s="2"/>
    </row>
    <row r="28" customFormat="false" ht="27" hidden="false" customHeight="true" outlineLevel="0" collapsed="false">
      <c r="A28" s="1"/>
      <c r="B28" s="1"/>
      <c r="C28" s="15" t="s">
        <v>24</v>
      </c>
      <c r="D28" s="16"/>
      <c r="E28" s="16"/>
      <c r="F28" s="16"/>
      <c r="G28" s="16"/>
      <c r="H28" s="16"/>
      <c r="I28" s="16"/>
      <c r="J28" s="2"/>
    </row>
    <row r="29" customFormat="false" ht="25" hidden="false" customHeight="true" outlineLevel="0" collapsed="false">
      <c r="A29" s="1"/>
      <c r="B29" s="1"/>
      <c r="C29" s="1" t="s">
        <v>25</v>
      </c>
      <c r="D29" s="2"/>
      <c r="E29" s="2" t="n">
        <f aca="false">Potential!E14</f>
        <v>1310</v>
      </c>
      <c r="F29" s="2"/>
      <c r="G29" s="2" t="s">
        <v>26</v>
      </c>
      <c r="H29" s="2"/>
      <c r="I29" s="2" t="n">
        <f aca="false">Setup!E54</f>
        <v>92</v>
      </c>
      <c r="J29" s="2"/>
    </row>
    <row r="30" customFormat="false" ht="25" hidden="false" customHeight="true" outlineLevel="0" collapsed="false">
      <c r="A30" s="1"/>
      <c r="B30" s="1"/>
      <c r="C30" s="1" t="str">
        <f aca="false">"Existing growth — Year 1 ("&amp;TEXT(Setup!E67,"0%")&amp;")"</f>
        <v>Existing growth — Year 1 (20%)</v>
      </c>
      <c r="D30" s="2"/>
      <c r="E30" s="2" t="n">
        <f aca="false">Potential!E23</f>
        <v>262</v>
      </c>
      <c r="F30" s="2"/>
      <c r="G30" s="2" t="s">
        <v>27</v>
      </c>
      <c r="H30" s="2"/>
      <c r="I30" s="2" t="n">
        <f aca="false">Survey!E54</f>
        <v>38</v>
      </c>
      <c r="J30" s="2"/>
    </row>
    <row r="31" customFormat="false" ht="25" hidden="false" customHeight="true" outlineLevel="0" collapsed="false">
      <c r="A31" s="1"/>
      <c r="B31" s="1"/>
      <c r="C31" s="1" t="s">
        <v>28</v>
      </c>
      <c r="D31" s="2"/>
      <c r="E31" s="2" t="n">
        <f aca="false">Potential!E71</f>
        <v>4921</v>
      </c>
      <c r="F31" s="2"/>
      <c r="G31" s="2" t="s">
        <v>29</v>
      </c>
      <c r="H31" s="2"/>
      <c r="I31" s="2" t="n">
        <f aca="false">Survey!E66</f>
        <v>54</v>
      </c>
      <c r="J31" s="2"/>
    </row>
    <row r="32" customFormat="false" ht="25" hidden="false" customHeight="true" outlineLevel="0" collapsed="false">
      <c r="A32" s="1"/>
      <c r="B32" s="1"/>
      <c r="C32" s="1" t="s">
        <v>30</v>
      </c>
      <c r="D32" s="2"/>
      <c r="E32" s="8" t="n">
        <f aca="false">SUM(Potential!D87:D89)/Setup!E5</f>
        <v>0.811625</v>
      </c>
      <c r="F32" s="2"/>
      <c r="G32" s="2" t="s">
        <v>31</v>
      </c>
      <c r="H32" s="2"/>
      <c r="I32" s="2" t="n">
        <f aca="false">Survey!E55</f>
        <v>21</v>
      </c>
      <c r="J32" s="2"/>
    </row>
    <row r="33" customFormat="false" ht="25" hidden="false" customHeight="true" outlineLevel="0" collapsed="false">
      <c r="A33" s="1"/>
      <c r="B33" s="1"/>
      <c r="C33" s="1" t="s">
        <v>32</v>
      </c>
      <c r="D33" s="2"/>
      <c r="E33" s="2" t="n">
        <f aca="false">Potential!E72</f>
        <v>1507</v>
      </c>
      <c r="F33" s="2"/>
      <c r="G33" s="2" t="s">
        <v>33</v>
      </c>
      <c r="H33" s="2"/>
      <c r="I33" s="2" t="n">
        <f aca="false">Survey!E58</f>
        <v>16</v>
      </c>
      <c r="J33" s="2"/>
    </row>
    <row r="34" customFormat="false" ht="25" hidden="false" customHeight="true" outlineLevel="0" collapsed="false">
      <c r="A34" s="1"/>
      <c r="B34" s="1"/>
      <c r="C34" s="1" t="s">
        <v>34</v>
      </c>
      <c r="D34" s="2"/>
      <c r="E34" s="2" t="n">
        <f aca="false">ROUNDUP(Potential!E76,0)</f>
        <v>28</v>
      </c>
      <c r="F34" s="2"/>
      <c r="G34" s="2" t="s">
        <v>35</v>
      </c>
      <c r="H34" s="2"/>
      <c r="I34" s="8" t="n">
        <f aca="false">Survey!E61</f>
        <v>0.772727272727273</v>
      </c>
      <c r="J34" s="2"/>
    </row>
    <row r="35" customFormat="false" ht="25" hidden="false" customHeight="true" outlineLevel="0" collapsed="false">
      <c r="A35" s="1"/>
      <c r="B35" s="1"/>
      <c r="C35" s="1" t="s">
        <v>36</v>
      </c>
      <c r="D35" s="2"/>
      <c r="E35" s="2" t="n">
        <f aca="false">Potential!E11</f>
        <v>15200</v>
      </c>
      <c r="F35" s="2"/>
      <c r="G35" s="2" t="s">
        <v>37</v>
      </c>
      <c r="H35" s="2"/>
      <c r="I35" s="8" t="n">
        <f aca="false">Survey!E64</f>
        <v>0.764705882352941</v>
      </c>
      <c r="J35" s="2"/>
    </row>
    <row r="36" customFormat="false" ht="25" hidden="false" customHeight="true" outlineLevel="0" collapsed="false">
      <c r="A36" s="1"/>
      <c r="B36" s="1"/>
      <c r="C36" s="1"/>
      <c r="D36" s="2"/>
      <c r="E36" s="2"/>
      <c r="F36" s="2"/>
      <c r="G36" s="2"/>
      <c r="H36" s="2"/>
      <c r="I36" s="2"/>
      <c r="J36" s="2"/>
    </row>
    <row r="37" customFormat="false" ht="25" hidden="false" customHeight="true" outlineLevel="0" collapsed="false">
      <c r="A37" s="1"/>
      <c r="B37" s="1"/>
      <c r="C37" s="9" t="s">
        <v>38</v>
      </c>
      <c r="D37" s="2"/>
      <c r="E37" s="2"/>
      <c r="F37" s="2"/>
      <c r="G37" s="2"/>
      <c r="H37" s="2"/>
      <c r="I37" s="2"/>
      <c r="J37" s="2"/>
    </row>
    <row r="38" customFormat="false" ht="25" hidden="false" customHeight="true" outlineLevel="0" collapsed="false">
      <c r="A38" s="1"/>
      <c r="B38" s="1"/>
      <c r="C38" s="1" t="s">
        <v>39</v>
      </c>
      <c r="D38" s="2"/>
      <c r="E38" s="2" t="n">
        <f aca="false">Potential!D41</f>
        <v>1699200</v>
      </c>
      <c r="F38" s="2"/>
      <c r="G38" s="2"/>
      <c r="H38" s="2"/>
      <c r="I38" s="2"/>
      <c r="J38" s="2"/>
    </row>
    <row r="39" customFormat="false" ht="25" hidden="false" customHeight="true" outlineLevel="0" collapsed="false">
      <c r="A39" s="1"/>
      <c r="B39" s="1"/>
      <c r="C39" s="9" t="str">
        <f aca="false">"Years 2–5: "&amp;TEXT(Setup!E68,"0%")&amp;" annual user growth, paid at the locked unit price. Full-year billing assumed; support remains separate."</f>
        <v>Years 2–5: 5% annual user growth, paid at the locked unit price. Full-year billing assumed; support remains separate.</v>
      </c>
      <c r="D39" s="2"/>
      <c r="E39" s="2"/>
      <c r="F39" s="2"/>
      <c r="G39" s="2"/>
      <c r="H39" s="2"/>
      <c r="I39" s="2"/>
      <c r="J39" s="2"/>
    </row>
    <row r="40" customFormat="false" ht="25" hidden="false" customHeight="true" outlineLevel="0" collapsed="false">
      <c r="A40" s="1"/>
      <c r="B40" s="1"/>
      <c r="C40" s="1"/>
      <c r="D40" s="2"/>
      <c r="E40" s="2"/>
      <c r="F40" s="2"/>
      <c r="G40" s="2"/>
      <c r="H40" s="2"/>
      <c r="I40" s="2"/>
      <c r="J40" s="2"/>
    </row>
    <row r="41" customFormat="false" ht="25" hidden="false" customHeight="true" outlineLevel="0" collapsed="false">
      <c r="A41" s="1"/>
      <c r="B41" s="1"/>
      <c r="C41" s="1"/>
      <c r="D41" s="2"/>
      <c r="E41" s="2"/>
      <c r="F41" s="2"/>
      <c r="G41" s="2"/>
      <c r="H41" s="2"/>
      <c r="I41" s="2"/>
      <c r="J41" s="2"/>
    </row>
    <row r="42" customFormat="false" ht="25" hidden="false" customHeight="true" outlineLevel="0" collapsed="false">
      <c r="A42" s="1"/>
      <c r="B42" s="1"/>
      <c r="C42" s="1"/>
      <c r="D42" s="2"/>
      <c r="E42" s="2"/>
      <c r="F42" s="2"/>
      <c r="G42" s="2"/>
      <c r="H42" s="2"/>
      <c r="I42" s="2"/>
      <c r="J42" s="2"/>
    </row>
    <row r="43" customFormat="false" ht="25" hidden="false" customHeight="true" outlineLevel="0" collapsed="false">
      <c r="A43" s="1"/>
      <c r="B43" s="1"/>
      <c r="C43" s="1"/>
      <c r="D43" s="2"/>
      <c r="E43" s="2"/>
      <c r="F43" s="2"/>
      <c r="G43" s="2"/>
      <c r="H43" s="2"/>
      <c r="I43" s="2"/>
      <c r="J43" s="2"/>
    </row>
    <row r="44" customFormat="false" ht="25" hidden="false" customHeight="true" outlineLevel="0" collapsed="false">
      <c r="A44" s="1"/>
      <c r="B44" s="1"/>
      <c r="C44" s="1"/>
      <c r="D44" s="2"/>
      <c r="E44" s="2"/>
      <c r="F44" s="2"/>
      <c r="G44" s="2"/>
      <c r="H44" s="2"/>
      <c r="I44" s="2"/>
      <c r="J44" s="2"/>
    </row>
    <row r="45" customFormat="false" ht="25" hidden="false" customHeight="true" outlineLevel="0" collapsed="false">
      <c r="A45" s="1"/>
      <c r="B45" s="1"/>
      <c r="C45" s="1"/>
      <c r="D45" s="2"/>
      <c r="E45" s="2"/>
      <c r="F45" s="2"/>
      <c r="G45" s="2"/>
      <c r="H45" s="2"/>
      <c r="I45" s="2"/>
      <c r="J45" s="2"/>
    </row>
    <row r="46" customFormat="false" ht="25" hidden="false" customHeight="true" outlineLevel="0" collapsed="false">
      <c r="A46" s="1"/>
      <c r="B46" s="1"/>
      <c r="C46" s="1"/>
      <c r="D46" s="2"/>
      <c r="E46" s="2"/>
      <c r="F46" s="2"/>
      <c r="G46" s="2"/>
      <c r="H46" s="2"/>
      <c r="I46" s="2"/>
      <c r="J46" s="2"/>
    </row>
    <row r="47" customFormat="false" ht="25" hidden="false" customHeight="true" outlineLevel="0" collapsed="false">
      <c r="A47" s="1"/>
      <c r="B47" s="1"/>
      <c r="C47" s="1"/>
      <c r="D47" s="2"/>
      <c r="E47" s="2"/>
      <c r="F47" s="2"/>
      <c r="G47" s="2"/>
      <c r="H47" s="2"/>
      <c r="I47" s="2"/>
      <c r="J47" s="2"/>
    </row>
    <row r="48" customFormat="false" ht="25" hidden="false" customHeight="true" outlineLevel="0" collapsed="false">
      <c r="A48" s="1"/>
      <c r="B48" s="1"/>
      <c r="C48" s="1"/>
      <c r="D48" s="2"/>
      <c r="E48" s="2"/>
      <c r="F48" s="2"/>
      <c r="G48" s="2"/>
      <c r="H48" s="2"/>
      <c r="I48" s="2"/>
      <c r="J48" s="2"/>
    </row>
    <row r="49" customFormat="false" ht="25" hidden="false" customHeight="true" outlineLevel="0" collapsed="false">
      <c r="A49" s="1"/>
      <c r="B49" s="1"/>
      <c r="C49" s="1"/>
      <c r="D49" s="2"/>
      <c r="E49" s="2"/>
      <c r="F49" s="2"/>
      <c r="G49" s="2"/>
      <c r="H49" s="2"/>
      <c r="I49" s="2"/>
      <c r="J49" s="2"/>
    </row>
    <row r="50" customFormat="false" ht="25" hidden="false" customHeight="true" outlineLevel="0" collapsed="false">
      <c r="A50" s="1"/>
      <c r="B50" s="1"/>
      <c r="C50" s="1"/>
      <c r="D50" s="2"/>
      <c r="E50" s="2"/>
      <c r="F50" s="2"/>
      <c r="G50" s="2"/>
      <c r="H50" s="2"/>
      <c r="I50" s="2"/>
      <c r="J50" s="2"/>
    </row>
    <row r="51" customFormat="false" ht="25" hidden="false" customHeight="true" outlineLevel="0" collapsed="false">
      <c r="A51" s="1"/>
      <c r="B51" s="1"/>
      <c r="C51" s="1"/>
      <c r="D51" s="2"/>
      <c r="E51" s="2"/>
      <c r="F51" s="2"/>
      <c r="G51" s="2"/>
      <c r="H51" s="2"/>
      <c r="I51" s="2"/>
      <c r="J51" s="2"/>
    </row>
    <row r="52" customFormat="false" ht="25" hidden="false" customHeight="true" outlineLevel="0" collapsed="false">
      <c r="A52" s="1"/>
      <c r="B52" s="1"/>
      <c r="C52" s="1"/>
      <c r="D52" s="2"/>
      <c r="E52" s="2"/>
      <c r="F52" s="2"/>
      <c r="G52" s="2"/>
      <c r="H52" s="2"/>
      <c r="I52" s="2"/>
      <c r="J52" s="2"/>
    </row>
    <row r="53" customFormat="false" ht="25" hidden="false" customHeight="true" outlineLevel="0" collapsed="false">
      <c r="A53" s="1"/>
      <c r="B53" s="1"/>
      <c r="C53" s="1"/>
      <c r="D53" s="2"/>
      <c r="E53" s="2"/>
      <c r="F53" s="2"/>
      <c r="G53" s="2"/>
      <c r="H53" s="2"/>
      <c r="I53" s="2"/>
      <c r="J53" s="2"/>
    </row>
    <row r="54" customFormat="false" ht="25" hidden="false" customHeight="true" outlineLevel="0" collapsed="false">
      <c r="A54" s="1"/>
      <c r="B54" s="1"/>
      <c r="C54" s="1"/>
      <c r="D54" s="2"/>
      <c r="E54" s="2"/>
      <c r="F54" s="2"/>
      <c r="G54" s="2"/>
      <c r="H54" s="2"/>
      <c r="I54" s="2"/>
      <c r="J54" s="2"/>
    </row>
    <row r="55" customFormat="false" ht="25" hidden="false" customHeight="true" outlineLevel="0" collapsed="false">
      <c r="A55" s="1"/>
      <c r="B55" s="1"/>
      <c r="C55" s="1"/>
      <c r="D55" s="2"/>
      <c r="E55" s="2"/>
      <c r="F55" s="2"/>
      <c r="G55" s="2"/>
      <c r="H55" s="2"/>
      <c r="I55" s="2"/>
      <c r="J55" s="2"/>
    </row>
    <row r="56" customFormat="false" ht="25" hidden="false" customHeight="true" outlineLevel="0" collapsed="false">
      <c r="A56" s="1"/>
      <c r="B56" s="1"/>
      <c r="C56" s="1"/>
      <c r="D56" s="2"/>
      <c r="E56" s="2"/>
      <c r="F56" s="2"/>
      <c r="G56" s="2"/>
      <c r="H56" s="2"/>
      <c r="I56" s="2"/>
      <c r="J56" s="2"/>
    </row>
    <row r="57" customFormat="false" ht="25" hidden="false" customHeight="true" outlineLevel="0" collapsed="false">
      <c r="A57" s="1"/>
      <c r="B57" s="1"/>
      <c r="C57" s="1"/>
      <c r="D57" s="2"/>
      <c r="E57" s="2"/>
      <c r="F57" s="2"/>
      <c r="G57" s="2"/>
      <c r="H57" s="2"/>
      <c r="I57" s="2"/>
      <c r="J57" s="2"/>
    </row>
    <row r="58" customFormat="false" ht="40" hidden="false" customHeight="true" outlineLevel="0" collapsed="false">
      <c r="A58" s="1"/>
      <c r="B58" s="1"/>
      <c r="C58" s="10" t="s">
        <v>40</v>
      </c>
      <c r="D58" s="11" t="s">
        <v>41</v>
      </c>
      <c r="E58" s="11" t="s">
        <v>42</v>
      </c>
      <c r="F58" s="2"/>
      <c r="G58" s="2"/>
      <c r="H58" s="2"/>
      <c r="I58" s="2"/>
      <c r="J58" s="2"/>
    </row>
    <row r="59" customFormat="false" ht="25" hidden="false" customHeight="true" outlineLevel="0" collapsed="false">
      <c r="A59" s="1"/>
      <c r="B59" s="1"/>
      <c r="C59" s="1" t="s">
        <v>43</v>
      </c>
      <c r="D59" s="19" t="n">
        <f aca="false">'Existing customers'!G16</f>
        <v>1929169.75</v>
      </c>
      <c r="E59" s="19" t="n">
        <f aca="false">'Existing customers'!H16</f>
        <v>1739025</v>
      </c>
      <c r="F59" s="2"/>
      <c r="G59" s="2"/>
      <c r="H59" s="2"/>
      <c r="I59" s="2"/>
      <c r="J59" s="2"/>
    </row>
    <row r="60" customFormat="false" ht="25" hidden="false" customHeight="true" outlineLevel="0" collapsed="false">
      <c r="A60" s="1"/>
      <c r="B60" s="1"/>
      <c r="C60" s="1"/>
      <c r="D60" s="2"/>
      <c r="E60" s="2"/>
      <c r="F60" s="2"/>
      <c r="G60" s="2"/>
      <c r="H60" s="2"/>
      <c r="I60" s="2"/>
      <c r="J60" s="2"/>
    </row>
    <row r="61" customFormat="false" ht="40" hidden="false" customHeight="true" outlineLevel="0" collapsed="false">
      <c r="A61" s="1"/>
      <c r="B61" s="1"/>
      <c r="C61" s="10" t="s">
        <v>44</v>
      </c>
      <c r="D61" s="11" t="s">
        <v>45</v>
      </c>
      <c r="E61" s="2"/>
      <c r="F61" s="2"/>
      <c r="G61" s="2"/>
      <c r="H61" s="2"/>
      <c r="I61" s="2"/>
      <c r="J61" s="2"/>
    </row>
    <row r="62" customFormat="false" ht="25" hidden="false" customHeight="true" outlineLevel="0" collapsed="false">
      <c r="A62" s="1"/>
      <c r="B62" s="1"/>
      <c r="C62" s="1" t="s">
        <v>46</v>
      </c>
      <c r="D62" s="19" t="n">
        <f aca="false">Potential!E14</f>
        <v>1310</v>
      </c>
      <c r="E62" s="2"/>
      <c r="F62" s="2"/>
      <c r="G62" s="2"/>
      <c r="H62" s="2"/>
      <c r="I62" s="2"/>
      <c r="J62" s="2"/>
    </row>
    <row r="63" customFormat="false" ht="25" hidden="false" customHeight="true" outlineLevel="0" collapsed="false">
      <c r="A63" s="1"/>
      <c r="B63" s="1"/>
      <c r="C63" s="1" t="s">
        <v>47</v>
      </c>
      <c r="D63" s="19" t="n">
        <f aca="false">Potential!E23</f>
        <v>262</v>
      </c>
      <c r="E63" s="2"/>
      <c r="F63" s="2"/>
      <c r="G63" s="2"/>
      <c r="H63" s="2"/>
      <c r="I63" s="2"/>
      <c r="J63" s="2"/>
    </row>
    <row r="64" customFormat="false" ht="25" hidden="false" customHeight="true" outlineLevel="0" collapsed="false">
      <c r="A64" s="1"/>
      <c r="B64" s="1"/>
      <c r="C64" s="1" t="s">
        <v>48</v>
      </c>
      <c r="D64" s="19" t="n">
        <f aca="false">Potential!E71</f>
        <v>4921</v>
      </c>
      <c r="E64" s="2"/>
      <c r="F64" s="2"/>
      <c r="G64" s="2"/>
      <c r="H64" s="2"/>
      <c r="I64" s="2"/>
      <c r="J64" s="2"/>
    </row>
    <row r="65" customFormat="false" ht="25" hidden="false" customHeight="true" outlineLevel="0" collapsed="false">
      <c r="A65" s="1"/>
      <c r="B65" s="1"/>
      <c r="C65" s="1" t="s">
        <v>49</v>
      </c>
      <c r="D65" s="19" t="n">
        <f aca="false">Potential!E72</f>
        <v>1507</v>
      </c>
      <c r="E65" s="2"/>
      <c r="F65" s="2"/>
      <c r="G65" s="2"/>
      <c r="H65" s="2"/>
      <c r="I65" s="2"/>
      <c r="J65" s="2"/>
    </row>
    <row r="66" customFormat="false" ht="25" hidden="false" customHeight="true" outlineLevel="0" collapsed="false">
      <c r="A66" s="1"/>
      <c r="B66" s="1"/>
      <c r="C66" s="1" t="s">
        <v>50</v>
      </c>
      <c r="D66" s="19" t="n">
        <f aca="false">Potential!E73</f>
        <v>0</v>
      </c>
      <c r="E66" s="2"/>
      <c r="F66" s="2"/>
      <c r="G66" s="2"/>
      <c r="H66" s="2"/>
      <c r="I66" s="2"/>
      <c r="J66" s="2"/>
    </row>
    <row r="67" customFormat="false" ht="25" hidden="false" customHeight="true" outlineLevel="0" collapsed="false">
      <c r="A67" s="1"/>
      <c r="B67" s="1"/>
      <c r="C67" s="1"/>
      <c r="D67" s="2"/>
      <c r="E67" s="2"/>
      <c r="F67" s="2"/>
      <c r="G67" s="2"/>
      <c r="H67" s="2"/>
      <c r="I67" s="2"/>
      <c r="J67" s="2"/>
    </row>
    <row r="68" customFormat="false" ht="25" hidden="false" customHeight="true" outlineLevel="0" collapsed="false">
      <c r="A68" s="1"/>
      <c r="B68" s="1"/>
      <c r="C68" s="1"/>
      <c r="D68" s="2"/>
      <c r="E68" s="2"/>
      <c r="F68" s="2"/>
      <c r="G68" s="2"/>
      <c r="H68" s="2"/>
      <c r="I68" s="2"/>
      <c r="J68" s="2"/>
    </row>
  </sheetData>
  <conditionalFormatting sqref="G9:H13">
    <cfRule type="cellIs" priority="2" operator="lessThan" aboveAverage="0" equalAverage="0" bottom="0" percent="0" rank="0" text="" dxfId="0">
      <formula>0</formula>
    </cfRule>
  </conditionalFormatting>
  <dataValidations count="1">
    <dataValidation allowBlank="false" errorStyle="stop" operator="greaterThanOrEqual" showDropDown="false" showErrorMessage="false" showInputMessage="false" sqref="E4" type="whole">
      <formula1>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00FF"/>
    <pageSetUpPr fitToPage="false"/>
  </sheetPr>
  <dimension ref="A1:K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9"/>
    <col collapsed="false" customWidth="true" hidden="false" outlineLevel="0" max="11" min="4" style="0" width="19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  <c r="K1" s="2"/>
    </row>
    <row r="2" customFormat="false" ht="25" hidden="false" customHeight="true" outlineLevel="0" collapsed="false">
      <c r="A2" s="1"/>
      <c r="B2" s="1"/>
      <c r="C2" s="3" t="s">
        <v>51</v>
      </c>
      <c r="D2" s="2"/>
      <c r="E2" s="2"/>
      <c r="F2" s="2"/>
      <c r="G2" s="2"/>
      <c r="H2" s="2"/>
      <c r="I2" s="2"/>
      <c r="J2" s="2"/>
      <c r="K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  <c r="K3" s="2"/>
    </row>
    <row r="4" customFormat="false" ht="25" hidden="false" customHeight="true" outlineLevel="0" collapsed="false">
      <c r="A4" s="1"/>
      <c r="B4" s="1"/>
      <c r="C4" s="1"/>
      <c r="D4" s="2"/>
      <c r="E4" s="2"/>
      <c r="F4" s="2"/>
      <c r="G4" s="2"/>
      <c r="H4" s="2"/>
      <c r="I4" s="2"/>
      <c r="J4" s="2"/>
      <c r="K4" s="2"/>
    </row>
    <row r="5" customFormat="false" ht="25" hidden="false" customHeight="true" outlineLevel="0" collapsed="false">
      <c r="A5" s="1"/>
      <c r="B5" s="1"/>
      <c r="C5" s="1" t="s">
        <v>52</v>
      </c>
      <c r="D5" s="2"/>
      <c r="E5" s="20" t="n">
        <f aca="false">Summary!E4</f>
        <v>8000</v>
      </c>
      <c r="F5" s="2"/>
      <c r="G5" s="2" t="s">
        <v>53</v>
      </c>
      <c r="H5" s="2"/>
      <c r="I5" s="2"/>
      <c r="J5" s="2"/>
      <c r="K5" s="2"/>
    </row>
    <row r="6" customFormat="false" ht="25" hidden="false" customHeight="true" outlineLevel="0" collapsed="false">
      <c r="A6" s="1"/>
      <c r="B6" s="1"/>
      <c r="C6" s="1" t="s">
        <v>54</v>
      </c>
      <c r="D6" s="2"/>
      <c r="E6" s="19" t="str">
        <f aca="false">IF(E5&lt;ROUND('Existing customers'!D16*(1+E67),0),"Below existing users","Ready")</f>
        <v>Ready</v>
      </c>
      <c r="F6" s="2"/>
      <c r="G6" s="2"/>
      <c r="H6" s="2"/>
      <c r="I6" s="2"/>
      <c r="J6" s="2"/>
      <c r="K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  <c r="K7" s="2"/>
    </row>
    <row r="8" customFormat="false" ht="25" hidden="false" customHeight="true" outlineLevel="0" collapsed="false">
      <c r="A8" s="1"/>
      <c r="B8" s="1"/>
      <c r="C8" s="1" t="s">
        <v>55</v>
      </c>
      <c r="D8" s="2"/>
      <c r="E8" s="21" t="n">
        <v>2950</v>
      </c>
      <c r="F8" s="2"/>
      <c r="G8" s="22" t="s">
        <v>56</v>
      </c>
      <c r="H8" s="2"/>
      <c r="I8" s="2"/>
      <c r="J8" s="2"/>
      <c r="K8" s="2"/>
    </row>
    <row r="9" customFormat="false" ht="25" hidden="false" customHeight="true" outlineLevel="0" collapsed="false">
      <c r="A9" s="1"/>
      <c r="B9" s="1"/>
      <c r="C9" s="1" t="s">
        <v>57</v>
      </c>
      <c r="D9" s="2"/>
      <c r="E9" s="23" t="n">
        <v>5</v>
      </c>
      <c r="F9" s="2"/>
      <c r="G9" s="22" t="s">
        <v>58</v>
      </c>
      <c r="H9" s="2"/>
      <c r="I9" s="2"/>
      <c r="J9" s="2"/>
      <c r="K9" s="2"/>
    </row>
    <row r="10" customFormat="false" ht="25" hidden="false" customHeight="true" outlineLevel="0" collapsed="false">
      <c r="A10" s="1"/>
      <c r="B10" s="1"/>
      <c r="C10" s="1" t="s">
        <v>59</v>
      </c>
      <c r="D10" s="2"/>
      <c r="E10" s="24" t="n">
        <v>76000</v>
      </c>
      <c r="F10" s="2"/>
      <c r="G10" s="22" t="s">
        <v>60</v>
      </c>
      <c r="H10" s="2"/>
      <c r="I10" s="2"/>
      <c r="J10" s="2"/>
      <c r="K10" s="2"/>
    </row>
    <row r="11" customFormat="false" ht="25" hidden="false" customHeight="true" outlineLevel="0" collapsed="false">
      <c r="A11" s="1"/>
      <c r="B11" s="1"/>
      <c r="C11" s="1" t="s">
        <v>61</v>
      </c>
      <c r="D11" s="2"/>
      <c r="E11" s="25" t="n">
        <v>0.2</v>
      </c>
      <c r="F11" s="2"/>
      <c r="G11" s="22" t="s">
        <v>62</v>
      </c>
      <c r="H11" s="2"/>
      <c r="I11" s="2"/>
      <c r="J11" s="2"/>
      <c r="K11" s="2"/>
    </row>
    <row r="12" customFormat="false" ht="25" hidden="false" customHeight="true" outlineLevel="0" collapsed="false">
      <c r="A12" s="1"/>
      <c r="B12" s="1"/>
      <c r="C12" s="1" t="s">
        <v>63</v>
      </c>
      <c r="D12" s="2"/>
      <c r="E12" s="25" t="n">
        <v>0</v>
      </c>
      <c r="F12" s="2"/>
      <c r="G12" s="22" t="s">
        <v>64</v>
      </c>
      <c r="H12" s="2"/>
      <c r="I12" s="2"/>
      <c r="J12" s="2"/>
      <c r="K12" s="2"/>
    </row>
    <row r="13" customFormat="false" ht="25" hidden="false" customHeight="true" outlineLevel="0" collapsed="false">
      <c r="A13" s="1"/>
      <c r="B13" s="1"/>
      <c r="C13" s="1" t="s">
        <v>65</v>
      </c>
      <c r="D13" s="2"/>
      <c r="E13" s="25" t="n">
        <v>1</v>
      </c>
      <c r="F13" s="2"/>
      <c r="G13" s="22" t="s">
        <v>66</v>
      </c>
      <c r="H13" s="2"/>
      <c r="I13" s="2"/>
      <c r="J13" s="2"/>
      <c r="K13" s="2"/>
    </row>
    <row r="14" customFormat="false" ht="25" hidden="false" customHeight="true" outlineLevel="0" collapsed="false">
      <c r="A14" s="1"/>
      <c r="B14" s="1"/>
      <c r="C14" s="1"/>
      <c r="D14" s="2"/>
      <c r="E14" s="2"/>
      <c r="F14" s="2"/>
      <c r="G14" s="2"/>
      <c r="H14" s="2"/>
      <c r="I14" s="2"/>
      <c r="J14" s="2"/>
      <c r="K14" s="2"/>
    </row>
    <row r="15" customFormat="false" ht="25" hidden="false" customHeight="true" outlineLevel="0" collapsed="false">
      <c r="A15" s="1"/>
      <c r="B15" s="1"/>
      <c r="C15" s="1" t="s">
        <v>67</v>
      </c>
      <c r="D15" s="2"/>
      <c r="E15" s="26" t="n">
        <f aca="false">MATCH(E5,D27:D33,1)</f>
        <v>5</v>
      </c>
      <c r="F15" s="2"/>
      <c r="G15" s="2"/>
      <c r="H15" s="2"/>
      <c r="I15" s="2"/>
      <c r="J15" s="2"/>
      <c r="K15" s="2"/>
    </row>
    <row r="16" customFormat="false" ht="25" hidden="false" customHeight="true" outlineLevel="0" collapsed="false">
      <c r="A16" s="1"/>
      <c r="B16" s="1"/>
      <c r="C16" s="1" t="s">
        <v>68</v>
      </c>
      <c r="D16" s="2"/>
      <c r="E16" s="27" t="n">
        <f aca="false">INDEX(F27:F33,E15)</f>
        <v>0.55</v>
      </c>
      <c r="F16" s="2"/>
      <c r="G16" s="2"/>
      <c r="H16" s="2"/>
      <c r="I16" s="2"/>
      <c r="J16" s="2"/>
      <c r="K16" s="2"/>
    </row>
    <row r="17" customFormat="false" ht="25" hidden="false" customHeight="true" outlineLevel="0" collapsed="false">
      <c r="A17" s="1"/>
      <c r="B17" s="1"/>
      <c r="C17" s="1" t="s">
        <v>69</v>
      </c>
      <c r="D17" s="2"/>
      <c r="E17" s="27" t="n">
        <f aca="false">INDEX(G27:G33,E15)</f>
        <v>0.16</v>
      </c>
      <c r="F17" s="2"/>
      <c r="G17" s="2"/>
      <c r="H17" s="2"/>
      <c r="I17" s="2"/>
      <c r="J17" s="2"/>
      <c r="K17" s="2"/>
    </row>
    <row r="18" customFormat="false" ht="25" hidden="false" customHeight="true" outlineLevel="0" collapsed="false">
      <c r="A18" s="1"/>
      <c r="B18" s="1"/>
      <c r="C18" s="1" t="s">
        <v>70</v>
      </c>
      <c r="D18" s="2"/>
      <c r="E18" s="28" t="n">
        <f aca="false">INDEX(H27:H33,E15)</f>
        <v>1327.5</v>
      </c>
      <c r="F18" s="2"/>
      <c r="G18" s="2"/>
      <c r="H18" s="2"/>
      <c r="I18" s="2"/>
      <c r="J18" s="2"/>
      <c r="K18" s="2"/>
    </row>
    <row r="19" customFormat="false" ht="25" hidden="false" customHeight="true" outlineLevel="0" collapsed="false">
      <c r="A19" s="1"/>
      <c r="B19" s="1"/>
      <c r="C19" s="1" t="s">
        <v>71</v>
      </c>
      <c r="D19" s="2"/>
      <c r="E19" s="28" t="n">
        <f aca="false">INDEX(I27:I33,E15)</f>
        <v>212.4</v>
      </c>
      <c r="F19" s="2"/>
      <c r="G19" s="2"/>
      <c r="H19" s="2"/>
      <c r="I19" s="2"/>
      <c r="J19" s="2"/>
      <c r="K19" s="2"/>
    </row>
    <row r="20" customFormat="false" ht="25" hidden="false" customHeight="true" outlineLevel="0" collapsed="false">
      <c r="A20" s="1"/>
      <c r="B20" s="1"/>
      <c r="C20" s="1"/>
      <c r="D20" s="2"/>
      <c r="E20" s="2"/>
      <c r="F20" s="2"/>
      <c r="G20" s="2"/>
      <c r="H20" s="2"/>
      <c r="I20" s="2"/>
      <c r="J20" s="2"/>
      <c r="K20" s="2"/>
    </row>
    <row r="21" customFormat="false" ht="25" hidden="false" customHeight="true" outlineLevel="0" collapsed="false">
      <c r="A21" s="1"/>
      <c r="B21" s="1"/>
      <c r="C21" s="9" t="s">
        <v>72</v>
      </c>
      <c r="D21" s="2"/>
      <c r="E21" s="2"/>
      <c r="F21" s="2"/>
      <c r="G21" s="2"/>
      <c r="H21" s="2"/>
      <c r="I21" s="2"/>
      <c r="J21" s="2"/>
      <c r="K21" s="2"/>
    </row>
    <row r="22" customFormat="false" ht="25" hidden="false" customHeight="true" outlineLevel="0" collapsed="false">
      <c r="A22" s="1"/>
      <c r="B22" s="1"/>
      <c r="C22" s="9" t="s">
        <v>73</v>
      </c>
      <c r="D22" s="2"/>
      <c r="E22" s="2"/>
      <c r="F22" s="2"/>
      <c r="G22" s="2"/>
      <c r="H22" s="2"/>
      <c r="I22" s="2"/>
      <c r="J22" s="2"/>
      <c r="K22" s="2"/>
    </row>
    <row r="23" customFormat="false" ht="25" hidden="false" customHeight="true" outlineLevel="0" collapsed="false">
      <c r="A23" s="1"/>
      <c r="B23" s="1"/>
      <c r="C23" s="9" t="s">
        <v>74</v>
      </c>
      <c r="D23" s="2"/>
      <c r="E23" s="2"/>
      <c r="F23" s="2"/>
      <c r="G23" s="2"/>
      <c r="H23" s="2"/>
      <c r="I23" s="2"/>
      <c r="J23" s="2"/>
      <c r="K23" s="2"/>
    </row>
    <row r="24" customFormat="false" ht="25" hidden="false" customHeight="true" outlineLevel="0" collapsed="false">
      <c r="A24" s="1"/>
      <c r="B24" s="1"/>
      <c r="C24" s="1"/>
      <c r="D24" s="2"/>
      <c r="E24" s="2"/>
      <c r="F24" s="2"/>
      <c r="G24" s="2"/>
      <c r="H24" s="2"/>
      <c r="I24" s="2"/>
      <c r="J24" s="2"/>
      <c r="K24" s="2"/>
    </row>
    <row r="25" customFormat="false" ht="25" hidden="false" customHeight="true" outlineLevel="0" collapsed="false">
      <c r="A25" s="1"/>
      <c r="B25" s="1"/>
      <c r="C25" s="1"/>
      <c r="D25" s="2"/>
      <c r="E25" s="2"/>
      <c r="F25" s="2"/>
      <c r="G25" s="2"/>
      <c r="H25" s="2"/>
      <c r="I25" s="2"/>
      <c r="J25" s="2"/>
      <c r="K25" s="2"/>
    </row>
    <row r="26" customFormat="false" ht="40" hidden="false" customHeight="true" outlineLevel="0" collapsed="false">
      <c r="A26" s="1"/>
      <c r="B26" s="1"/>
      <c r="C26" s="10" t="s">
        <v>75</v>
      </c>
      <c r="D26" s="11" t="s">
        <v>76</v>
      </c>
      <c r="E26" s="11" t="s">
        <v>77</v>
      </c>
      <c r="F26" s="11" t="s">
        <v>78</v>
      </c>
      <c r="G26" s="11" t="s">
        <v>69</v>
      </c>
      <c r="H26" s="11" t="s">
        <v>79</v>
      </c>
      <c r="I26" s="11" t="s">
        <v>80</v>
      </c>
      <c r="J26" s="2"/>
      <c r="K26" s="2"/>
    </row>
    <row r="27" customFormat="false" ht="25" hidden="false" customHeight="true" outlineLevel="0" collapsed="false">
      <c r="A27" s="1"/>
      <c r="B27" s="1"/>
      <c r="C27" s="1" t="n">
        <v>1</v>
      </c>
      <c r="D27" s="24" t="n">
        <v>1</v>
      </c>
      <c r="E27" s="24" t="n">
        <v>1000</v>
      </c>
      <c r="F27" s="25" t="n">
        <v>0.25</v>
      </c>
      <c r="G27" s="25" t="n">
        <v>0.25</v>
      </c>
      <c r="H27" s="28" t="n">
        <f aca="false">$E$8*(1-F27)</f>
        <v>2212.5</v>
      </c>
      <c r="I27" s="28" t="n">
        <f aca="false">H27*G27</f>
        <v>553.125</v>
      </c>
      <c r="J27" s="2"/>
      <c r="K27" s="2"/>
    </row>
    <row r="28" customFormat="false" ht="25" hidden="false" customHeight="true" outlineLevel="0" collapsed="false">
      <c r="A28" s="1"/>
      <c r="B28" s="1"/>
      <c r="C28" s="1" t="n">
        <v>2</v>
      </c>
      <c r="D28" s="24" t="n">
        <v>1001</v>
      </c>
      <c r="E28" s="24" t="n">
        <v>1999</v>
      </c>
      <c r="F28" s="25" t="n">
        <v>0.3</v>
      </c>
      <c r="G28" s="25" t="n">
        <v>0.22</v>
      </c>
      <c r="H28" s="28" t="n">
        <f aca="false">$E$8*(1-F28)</f>
        <v>2065</v>
      </c>
      <c r="I28" s="28" t="n">
        <f aca="false">H28*G28</f>
        <v>454.3</v>
      </c>
      <c r="J28" s="2"/>
      <c r="K28" s="2"/>
    </row>
    <row r="29" customFormat="false" ht="25" hidden="false" customHeight="true" outlineLevel="0" collapsed="false">
      <c r="A29" s="1"/>
      <c r="B29" s="1"/>
      <c r="C29" s="1" t="n">
        <v>3</v>
      </c>
      <c r="D29" s="24" t="n">
        <v>2000</v>
      </c>
      <c r="E29" s="24" t="n">
        <v>4999</v>
      </c>
      <c r="F29" s="25" t="n">
        <v>0.4</v>
      </c>
      <c r="G29" s="25" t="n">
        <v>0.2</v>
      </c>
      <c r="H29" s="28" t="n">
        <f aca="false">$E$8*(1-F29)</f>
        <v>1770</v>
      </c>
      <c r="I29" s="28" t="n">
        <f aca="false">H29*G29</f>
        <v>354</v>
      </c>
      <c r="J29" s="2"/>
      <c r="K29" s="2"/>
    </row>
    <row r="30" customFormat="false" ht="25" hidden="false" customHeight="true" outlineLevel="0" collapsed="false">
      <c r="A30" s="1"/>
      <c r="B30" s="1"/>
      <c r="C30" s="1" t="n">
        <v>4</v>
      </c>
      <c r="D30" s="24" t="n">
        <v>5000</v>
      </c>
      <c r="E30" s="24" t="n">
        <v>7999</v>
      </c>
      <c r="F30" s="25" t="n">
        <v>0.5</v>
      </c>
      <c r="G30" s="25" t="n">
        <v>0.18</v>
      </c>
      <c r="H30" s="28" t="n">
        <f aca="false">$E$8*(1-F30)</f>
        <v>1475</v>
      </c>
      <c r="I30" s="28" t="n">
        <f aca="false">H30*G30</f>
        <v>265.5</v>
      </c>
      <c r="J30" s="2"/>
      <c r="K30" s="2"/>
    </row>
    <row r="31" customFormat="false" ht="25" hidden="false" customHeight="true" outlineLevel="0" collapsed="false">
      <c r="A31" s="1"/>
      <c r="B31" s="1"/>
      <c r="C31" s="1" t="n">
        <v>5</v>
      </c>
      <c r="D31" s="24" t="n">
        <v>8000</v>
      </c>
      <c r="E31" s="24" t="n">
        <v>9999</v>
      </c>
      <c r="F31" s="25" t="n">
        <v>0.55</v>
      </c>
      <c r="G31" s="25" t="n">
        <v>0.16</v>
      </c>
      <c r="H31" s="28" t="n">
        <f aca="false">$E$8*(1-F31)</f>
        <v>1327.5</v>
      </c>
      <c r="I31" s="28" t="n">
        <f aca="false">H31*G31</f>
        <v>212.4</v>
      </c>
      <c r="J31" s="2"/>
      <c r="K31" s="2"/>
    </row>
    <row r="32" customFormat="false" ht="25" hidden="false" customHeight="true" outlineLevel="0" collapsed="false">
      <c r="A32" s="1"/>
      <c r="B32" s="1"/>
      <c r="C32" s="1" t="n">
        <v>6</v>
      </c>
      <c r="D32" s="24" t="n">
        <v>10000</v>
      </c>
      <c r="E32" s="24" t="n">
        <v>12000</v>
      </c>
      <c r="F32" s="25" t="n">
        <v>0.6</v>
      </c>
      <c r="G32" s="25" t="n">
        <v>0.14</v>
      </c>
      <c r="H32" s="28" t="n">
        <f aca="false">$E$8*(1-F32)</f>
        <v>1180</v>
      </c>
      <c r="I32" s="28" t="n">
        <f aca="false">H32*G32</f>
        <v>165.2</v>
      </c>
      <c r="J32" s="2"/>
      <c r="K32" s="2"/>
    </row>
    <row r="33" customFormat="false" ht="25" hidden="false" customHeight="true" outlineLevel="0" collapsed="false">
      <c r="A33" s="1"/>
      <c r="B33" s="1"/>
      <c r="C33" s="1" t="n">
        <v>7</v>
      </c>
      <c r="D33" s="24" t="n">
        <v>12001</v>
      </c>
      <c r="E33" s="24"/>
      <c r="F33" s="25" t="n">
        <v>0.65</v>
      </c>
      <c r="G33" s="25" t="n">
        <v>0.12</v>
      </c>
      <c r="H33" s="28" t="n">
        <f aca="false">$E$8*(1-F33)</f>
        <v>1032.5</v>
      </c>
      <c r="I33" s="28" t="n">
        <f aca="false">H33*G33</f>
        <v>123.9</v>
      </c>
      <c r="J33" s="2"/>
      <c r="K33" s="2"/>
    </row>
    <row r="34" customFormat="false" ht="25" hidden="false" customHeight="true" outlineLevel="0" collapsed="false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</row>
    <row r="35" customFormat="false" ht="25" hidden="false" customHeight="true" outlineLevel="0" collapsed="false">
      <c r="A35" s="1"/>
      <c r="B35" s="1"/>
      <c r="C35" s="9" t="s">
        <v>81</v>
      </c>
      <c r="D35" s="2"/>
      <c r="E35" s="2"/>
      <c r="F35" s="2"/>
      <c r="G35" s="2"/>
      <c r="H35" s="2"/>
      <c r="I35" s="2"/>
      <c r="J35" s="2"/>
      <c r="K35" s="2"/>
    </row>
    <row r="36" customFormat="false" ht="25" hidden="false" customHeight="true" outlineLevel="0" collapsed="false">
      <c r="A36" s="1"/>
      <c r="B36" s="1"/>
      <c r="C36" s="9" t="s">
        <v>82</v>
      </c>
      <c r="D36" s="2"/>
      <c r="E36" s="2"/>
      <c r="F36" s="2"/>
      <c r="G36" s="2"/>
      <c r="H36" s="2"/>
      <c r="I36" s="2"/>
      <c r="J36" s="2"/>
      <c r="K36" s="2"/>
    </row>
    <row r="37" customFormat="false" ht="25" hidden="false" customHeight="true" outlineLevel="0" collapsed="false">
      <c r="A37" s="1"/>
      <c r="B37" s="1"/>
      <c r="C37" s="9" t="s">
        <v>83</v>
      </c>
      <c r="D37" s="2"/>
      <c r="E37" s="2"/>
      <c r="F37" s="2"/>
      <c r="G37" s="2"/>
      <c r="H37" s="2"/>
      <c r="I37" s="2"/>
      <c r="J37" s="2"/>
      <c r="K37" s="2"/>
    </row>
    <row r="38" customFormat="false" ht="25" hidden="false" customHeight="true" outlineLevel="0" collapsed="false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</row>
    <row r="39" customFormat="false" ht="25" hidden="false" customHeight="true" outlineLevel="0" collapsed="false">
      <c r="A39" s="1"/>
      <c r="B39" s="1"/>
      <c r="C39" s="1"/>
      <c r="D39" s="2"/>
      <c r="E39" s="2"/>
      <c r="F39" s="2"/>
      <c r="G39" s="2"/>
      <c r="H39" s="2"/>
      <c r="I39" s="2"/>
      <c r="J39" s="2"/>
      <c r="K39" s="2"/>
    </row>
    <row r="40" customFormat="false" ht="27" hidden="false" customHeight="true" outlineLevel="0" collapsed="false">
      <c r="A40" s="1"/>
      <c r="B40" s="1"/>
      <c r="C40" s="15" t="s">
        <v>84</v>
      </c>
      <c r="D40" s="16"/>
      <c r="E40" s="16"/>
      <c r="F40" s="16"/>
      <c r="G40" s="16"/>
      <c r="H40" s="16"/>
      <c r="I40" s="16"/>
      <c r="J40" s="2"/>
      <c r="K40" s="2"/>
    </row>
    <row r="41" customFormat="false" ht="25" hidden="false" customHeight="true" outlineLevel="0" collapsed="false">
      <c r="A41" s="1"/>
      <c r="B41" s="1"/>
      <c r="C41" s="1"/>
      <c r="D41" s="2"/>
      <c r="E41" s="2"/>
      <c r="F41" s="2"/>
      <c r="G41" s="2"/>
      <c r="H41" s="2"/>
      <c r="I41" s="2"/>
      <c r="J41" s="2"/>
      <c r="K41" s="2"/>
    </row>
    <row r="42" customFormat="false" ht="25" hidden="false" customHeight="true" outlineLevel="0" collapsed="false">
      <c r="A42" s="1"/>
      <c r="B42" s="1"/>
      <c r="C42" s="9" t="s">
        <v>85</v>
      </c>
      <c r="D42" s="2"/>
      <c r="E42" s="2"/>
      <c r="F42" s="2"/>
      <c r="G42" s="2"/>
      <c r="H42" s="2"/>
      <c r="I42" s="2"/>
      <c r="J42" s="2"/>
      <c r="K42" s="2"/>
    </row>
    <row r="43" customFormat="false" ht="25" hidden="false" customHeight="true" outlineLevel="0" collapsed="false">
      <c r="A43" s="1"/>
      <c r="B43" s="1"/>
      <c r="C43" s="9" t="s">
        <v>86</v>
      </c>
      <c r="D43" s="2"/>
      <c r="E43" s="2"/>
      <c r="F43" s="2"/>
      <c r="G43" s="2"/>
      <c r="H43" s="2"/>
      <c r="I43" s="2"/>
      <c r="J43" s="2"/>
      <c r="K43" s="2"/>
    </row>
    <row r="44" customFormat="false" ht="25" hidden="false" customHeight="true" outlineLevel="0" collapsed="false">
      <c r="A44" s="1"/>
      <c r="B44" s="1"/>
      <c r="C44" s="9" t="s">
        <v>87</v>
      </c>
      <c r="D44" s="2"/>
      <c r="E44" s="2"/>
      <c r="F44" s="2"/>
      <c r="G44" s="2"/>
      <c r="H44" s="2"/>
      <c r="I44" s="2"/>
      <c r="J44" s="2"/>
      <c r="K44" s="2"/>
    </row>
    <row r="45" customFormat="false" ht="25" hidden="false" customHeight="true" outlineLevel="0" collapsed="false">
      <c r="A45" s="1"/>
      <c r="B45" s="1"/>
      <c r="C45" s="9" t="s">
        <v>88</v>
      </c>
      <c r="D45" s="2"/>
      <c r="E45" s="2"/>
      <c r="F45" s="2"/>
      <c r="G45" s="2"/>
      <c r="H45" s="2"/>
      <c r="I45" s="2"/>
      <c r="J45" s="2"/>
      <c r="K45" s="2"/>
    </row>
    <row r="46" customFormat="false" ht="25" hidden="false" customHeight="true" outlineLevel="0" collapsed="false">
      <c r="A46" s="1"/>
      <c r="B46" s="1"/>
      <c r="C46" s="9" t="s">
        <v>89</v>
      </c>
      <c r="D46" s="2"/>
      <c r="E46" s="2"/>
      <c r="F46" s="2"/>
      <c r="G46" s="2"/>
      <c r="H46" s="2"/>
      <c r="I46" s="2"/>
      <c r="J46" s="2"/>
      <c r="K46" s="2"/>
    </row>
    <row r="47" customFormat="false" ht="25" hidden="false" customHeight="true" outlineLevel="0" collapsed="false">
      <c r="A47" s="1"/>
      <c r="B47" s="1"/>
      <c r="C47" s="1"/>
      <c r="D47" s="2"/>
      <c r="E47" s="2"/>
      <c r="F47" s="2"/>
      <c r="G47" s="2"/>
      <c r="H47" s="2"/>
      <c r="I47" s="2"/>
      <c r="J47" s="2"/>
      <c r="K47" s="2"/>
    </row>
    <row r="48" customFormat="false" ht="25" hidden="false" customHeight="true" outlineLevel="0" collapsed="false">
      <c r="A48" s="1"/>
      <c r="B48" s="1"/>
      <c r="C48" s="9" t="s">
        <v>90</v>
      </c>
      <c r="D48" s="2"/>
      <c r="E48" s="2"/>
      <c r="F48" s="2"/>
      <c r="G48" s="2"/>
      <c r="H48" s="2"/>
      <c r="I48" s="2"/>
      <c r="J48" s="2"/>
      <c r="K48" s="2"/>
    </row>
    <row r="49" customFormat="false" ht="25" hidden="false" customHeight="true" outlineLevel="0" collapsed="false">
      <c r="A49" s="1"/>
      <c r="B49" s="1"/>
      <c r="C49" s="9" t="s">
        <v>91</v>
      </c>
      <c r="D49" s="2"/>
      <c r="E49" s="2"/>
      <c r="F49" s="2"/>
      <c r="G49" s="2"/>
      <c r="H49" s="2"/>
      <c r="I49" s="2"/>
      <c r="J49" s="2"/>
      <c r="K49" s="2"/>
    </row>
    <row r="50" customFormat="false" ht="25" hidden="false" customHeight="true" outlineLevel="0" collapsed="false">
      <c r="A50" s="1"/>
      <c r="B50" s="1"/>
      <c r="C50" s="1"/>
      <c r="D50" s="2"/>
      <c r="E50" s="2"/>
      <c r="F50" s="2"/>
      <c r="G50" s="2"/>
      <c r="H50" s="2"/>
      <c r="I50" s="2"/>
      <c r="J50" s="2"/>
      <c r="K50" s="2"/>
    </row>
    <row r="51" customFormat="false" ht="25" hidden="false" customHeight="true" outlineLevel="0" collapsed="false">
      <c r="A51" s="1"/>
      <c r="B51" s="1"/>
      <c r="C51" s="1"/>
      <c r="D51" s="2"/>
      <c r="E51" s="2"/>
      <c r="F51" s="2"/>
      <c r="G51" s="2"/>
      <c r="H51" s="2"/>
      <c r="I51" s="2"/>
      <c r="J51" s="2"/>
      <c r="K51" s="2"/>
    </row>
    <row r="52" customFormat="false" ht="27" hidden="false" customHeight="true" outlineLevel="0" collapsed="false">
      <c r="A52" s="1"/>
      <c r="B52" s="1"/>
      <c r="C52" s="15" t="s">
        <v>92</v>
      </c>
      <c r="D52" s="16"/>
      <c r="E52" s="16"/>
      <c r="F52" s="16"/>
      <c r="G52" s="16"/>
      <c r="H52" s="16"/>
      <c r="I52" s="16"/>
      <c r="J52" s="2"/>
      <c r="K52" s="2"/>
    </row>
    <row r="53" customFormat="false" ht="25" hidden="false" customHeight="true" outlineLevel="0" collapsed="false">
      <c r="A53" s="1"/>
      <c r="B53" s="1"/>
      <c r="C53" s="1"/>
      <c r="D53" s="2"/>
      <c r="E53" s="2"/>
      <c r="F53" s="2"/>
      <c r="G53" s="2"/>
      <c r="H53" s="2"/>
      <c r="I53" s="2"/>
      <c r="J53" s="2"/>
      <c r="K53" s="2"/>
    </row>
    <row r="54" customFormat="false" ht="25" hidden="false" customHeight="true" outlineLevel="0" collapsed="false">
      <c r="A54" s="1"/>
      <c r="B54" s="1"/>
      <c r="C54" s="1" t="s">
        <v>93</v>
      </c>
      <c r="D54" s="2"/>
      <c r="E54" s="24" t="n">
        <v>92</v>
      </c>
      <c r="F54" s="2"/>
      <c r="G54" s="2" t="s">
        <v>94</v>
      </c>
      <c r="H54" s="2"/>
      <c r="I54" s="2"/>
      <c r="J54" s="2"/>
      <c r="K54" s="2"/>
    </row>
    <row r="55" customFormat="false" ht="25" hidden="false" customHeight="true" outlineLevel="0" collapsed="false">
      <c r="A55" s="1"/>
      <c r="B55" s="1"/>
      <c r="C55" s="1" t="s">
        <v>95</v>
      </c>
      <c r="D55" s="2"/>
      <c r="E55" s="29" t="n">
        <v>6</v>
      </c>
      <c r="F55" s="2"/>
      <c r="G55" s="2" t="s">
        <v>96</v>
      </c>
      <c r="H55" s="2"/>
      <c r="I55" s="2"/>
      <c r="J55" s="2"/>
      <c r="K55" s="2"/>
    </row>
    <row r="56" customFormat="false" ht="25" hidden="false" customHeight="true" outlineLevel="0" collapsed="false">
      <c r="A56" s="1"/>
      <c r="B56" s="1"/>
      <c r="C56" s="1" t="s">
        <v>97</v>
      </c>
      <c r="D56" s="2"/>
      <c r="E56" s="25" t="n">
        <v>0</v>
      </c>
      <c r="F56" s="2"/>
      <c r="G56" s="2" t="s">
        <v>98</v>
      </c>
      <c r="H56" s="2"/>
      <c r="I56" s="2"/>
      <c r="J56" s="2"/>
      <c r="K56" s="2"/>
    </row>
    <row r="57" customFormat="false" ht="25" hidden="false" customHeight="true" outlineLevel="0" collapsed="false">
      <c r="A57" s="1"/>
      <c r="B57" s="1"/>
      <c r="C57" s="1" t="s">
        <v>99</v>
      </c>
      <c r="D57" s="2"/>
      <c r="E57" s="24" t="n">
        <v>1</v>
      </c>
      <c r="F57" s="2"/>
      <c r="G57" s="2" t="s">
        <v>100</v>
      </c>
      <c r="H57" s="2"/>
      <c r="I57" s="2"/>
      <c r="J57" s="2"/>
      <c r="K57" s="2"/>
    </row>
    <row r="58" customFormat="false" ht="25" hidden="false" customHeight="true" outlineLevel="0" collapsed="false">
      <c r="A58" s="1"/>
      <c r="B58" s="1"/>
      <c r="C58" s="1" t="s">
        <v>101</v>
      </c>
      <c r="D58" s="2"/>
      <c r="E58" s="30" t="n">
        <f aca="false">IF(E12=0,E9,((1+E12)^E9-1)/E12)</f>
        <v>5</v>
      </c>
      <c r="F58" s="2"/>
      <c r="G58" s="2"/>
      <c r="H58" s="2"/>
      <c r="I58" s="2"/>
      <c r="J58" s="2"/>
      <c r="K58" s="2"/>
    </row>
    <row r="59" customFormat="false" ht="25" hidden="false" customHeight="true" outlineLevel="0" collapsed="false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</row>
    <row r="60" customFormat="false" ht="25" hidden="false" customHeight="true" outlineLevel="0" collapsed="false">
      <c r="A60" s="1"/>
      <c r="B60" s="1"/>
      <c r="C60" s="9" t="s">
        <v>102</v>
      </c>
      <c r="D60" s="2"/>
      <c r="E60" s="2"/>
      <c r="F60" s="2"/>
      <c r="G60" s="2"/>
      <c r="H60" s="2"/>
      <c r="I60" s="2"/>
      <c r="J60" s="2"/>
      <c r="K60" s="2"/>
    </row>
    <row r="61" customFormat="false" ht="25" hidden="false" customHeight="true" outlineLevel="0" collapsed="false">
      <c r="A61" s="1"/>
      <c r="B61" s="1"/>
      <c r="C61" s="9" t="s">
        <v>103</v>
      </c>
      <c r="D61" s="2"/>
      <c r="E61" s="2"/>
      <c r="F61" s="2"/>
      <c r="G61" s="2"/>
      <c r="H61" s="2"/>
      <c r="I61" s="2"/>
      <c r="J61" s="2"/>
      <c r="K61" s="2"/>
    </row>
    <row r="62" customFormat="false" ht="25" hidden="false" customHeight="true" outlineLevel="0" collapsed="false">
      <c r="A62" s="1"/>
      <c r="B62" s="1"/>
      <c r="C62" s="9" t="s">
        <v>104</v>
      </c>
      <c r="D62" s="2"/>
      <c r="E62" s="2"/>
      <c r="F62" s="2"/>
      <c r="G62" s="2"/>
      <c r="H62" s="2"/>
      <c r="I62" s="2"/>
      <c r="J62" s="2"/>
      <c r="K62" s="2"/>
    </row>
    <row r="63" customFormat="false" ht="25" hidden="false" customHeight="true" outlineLevel="0" collapsed="false">
      <c r="A63" s="1"/>
      <c r="B63" s="1"/>
      <c r="C63" s="9" t="s">
        <v>105</v>
      </c>
      <c r="D63" s="2"/>
      <c r="E63" s="2"/>
      <c r="F63" s="2"/>
      <c r="G63" s="2"/>
      <c r="H63" s="2"/>
      <c r="I63" s="2"/>
      <c r="J63" s="2"/>
      <c r="K63" s="2"/>
    </row>
    <row r="64" customFormat="false" ht="25" hidden="false" customHeight="true" outlineLevel="0" collapsed="false">
      <c r="A64" s="1"/>
      <c r="B64" s="1"/>
      <c r="C64" s="1"/>
      <c r="D64" s="2"/>
      <c r="E64" s="2"/>
      <c r="F64" s="2"/>
      <c r="G64" s="2"/>
      <c r="H64" s="2"/>
      <c r="I64" s="2"/>
      <c r="J64" s="2"/>
      <c r="K64" s="2"/>
    </row>
    <row r="65" customFormat="false" ht="27" hidden="false" customHeight="true" outlineLevel="0" collapsed="false">
      <c r="A65" s="1"/>
      <c r="B65" s="1"/>
      <c r="C65" s="15" t="s">
        <v>106</v>
      </c>
      <c r="D65" s="16"/>
      <c r="E65" s="16"/>
      <c r="F65" s="16"/>
      <c r="G65" s="16"/>
      <c r="H65" s="16"/>
      <c r="I65" s="16"/>
      <c r="J65" s="2"/>
      <c r="K65" s="2"/>
    </row>
    <row r="66" customFormat="false" ht="25" hidden="false" customHeight="true" outlineLevel="0" collapsed="false">
      <c r="A66" s="1"/>
      <c r="B66" s="1"/>
      <c r="C66" s="1"/>
      <c r="D66" s="2"/>
      <c r="E66" s="2"/>
      <c r="F66" s="2"/>
      <c r="G66" s="2"/>
      <c r="H66" s="2"/>
      <c r="I66" s="2"/>
      <c r="J66" s="2"/>
      <c r="K66" s="2"/>
    </row>
    <row r="67" customFormat="false" ht="25" hidden="false" customHeight="true" outlineLevel="0" collapsed="false">
      <c r="A67" s="1"/>
      <c r="B67" s="1"/>
      <c r="C67" s="1" t="s">
        <v>107</v>
      </c>
      <c r="D67" s="2"/>
      <c r="E67" s="25" t="n">
        <v>0.2</v>
      </c>
      <c r="F67" s="2"/>
      <c r="G67" s="2" t="s">
        <v>108</v>
      </c>
      <c r="H67" s="2"/>
      <c r="I67" s="2"/>
      <c r="J67" s="2"/>
      <c r="K67" s="2"/>
    </row>
    <row r="68" customFormat="false" ht="25" hidden="false" customHeight="true" outlineLevel="0" collapsed="false">
      <c r="A68" s="1"/>
      <c r="B68" s="1"/>
      <c r="C68" s="1" t="s">
        <v>109</v>
      </c>
      <c r="D68" s="2"/>
      <c r="E68" s="25" t="n">
        <v>0.05</v>
      </c>
      <c r="F68" s="2"/>
      <c r="G68" s="2" t="s">
        <v>110</v>
      </c>
      <c r="H68" s="2"/>
      <c r="I68" s="2"/>
      <c r="J68" s="2"/>
      <c r="K68" s="2"/>
    </row>
    <row r="69" customFormat="false" ht="25" hidden="false" customHeight="true" outlineLevel="0" collapsed="false">
      <c r="A69" s="1"/>
      <c r="B69" s="1"/>
      <c r="C69" s="1"/>
      <c r="D69" s="2"/>
      <c r="E69" s="2"/>
      <c r="F69" s="2"/>
      <c r="G69" s="2"/>
      <c r="H69" s="2"/>
      <c r="I69" s="2"/>
      <c r="J69" s="2"/>
      <c r="K69" s="2"/>
    </row>
    <row r="70" customFormat="false" ht="25" hidden="false" customHeight="true" outlineLevel="0" collapsed="false">
      <c r="A70" s="1"/>
      <c r="B70" s="1"/>
      <c r="C70" s="9" t="s">
        <v>111</v>
      </c>
      <c r="D70" s="2"/>
      <c r="E70" s="2"/>
      <c r="F70" s="2"/>
      <c r="G70" s="2"/>
      <c r="H70" s="2"/>
      <c r="I70" s="2"/>
      <c r="J70" s="2"/>
      <c r="K70" s="2"/>
    </row>
    <row r="71" customFormat="false" ht="25" hidden="false" customHeight="true" outlineLevel="0" collapsed="false">
      <c r="A71" s="1"/>
      <c r="B71" s="1"/>
      <c r="C71" s="9" t="s">
        <v>112</v>
      </c>
      <c r="D71" s="2"/>
      <c r="E71" s="2"/>
      <c r="F71" s="2"/>
      <c r="G71" s="2"/>
      <c r="H71" s="2"/>
      <c r="I71" s="2"/>
      <c r="J71" s="2"/>
      <c r="K71" s="2"/>
    </row>
    <row r="72" customFormat="false" ht="25" hidden="false" customHeight="true" outlineLevel="0" collapsed="false">
      <c r="A72" s="1"/>
      <c r="B72" s="1"/>
      <c r="C72" s="9" t="s">
        <v>113</v>
      </c>
      <c r="D72" s="2"/>
      <c r="E72" s="2"/>
      <c r="F72" s="2"/>
      <c r="G72" s="2"/>
      <c r="H72" s="2"/>
      <c r="I72" s="2"/>
      <c r="J72" s="2"/>
      <c r="K72" s="2"/>
    </row>
    <row r="73" customFormat="false" ht="25" hidden="false" customHeight="true" outlineLevel="0" collapsed="false">
      <c r="A73" s="1"/>
      <c r="B73" s="1"/>
      <c r="C73" s="9" t="s">
        <v>114</v>
      </c>
      <c r="D73" s="2"/>
      <c r="E73" s="2"/>
      <c r="F73" s="2"/>
      <c r="G73" s="2"/>
      <c r="H73" s="2"/>
      <c r="I73" s="2"/>
      <c r="J73" s="2"/>
      <c r="K73" s="2"/>
    </row>
    <row r="74" customFormat="false" ht="25" hidden="false" customHeight="true" outlineLevel="0" collapsed="false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</row>
  </sheetData>
  <conditionalFormatting sqref="E6">
    <cfRule type="containsText" priority="2" operator="containsText" aboveAverage="0" equalAverage="0" bottom="0" percent="0" rank="0" text="Below" dxfId="1">
      <formula>NOT(ISERROR(SEARCH("Below",E6)))</formula>
    </cfRule>
  </conditionalFormatting>
  <dataValidations count="8">
    <dataValidation allowBlank="false" errorStyle="stop" operator="greaterThanOrEqual" showDropDown="false" showErrorMessage="false" showInputMessage="false" sqref="E5" type="whole">
      <formula1>1</formula1>
      <formula2>0</formula2>
    </dataValidation>
    <dataValidation allowBlank="false" errorStyle="stop" operator="equal" showDropDown="false" showErrorMessage="false" showInputMessage="false" sqref="E9" type="whole">
      <formula1>5</formula1>
      <formula2>0</formula2>
    </dataValidation>
    <dataValidation allowBlank="false" errorStyle="stop" operator="between" showDropDown="false" showErrorMessage="false" showInputMessage="false" sqref="E11" type="decimal">
      <formula1>0</formula1>
      <formula2>1</formula2>
    </dataValidation>
    <dataValidation allowBlank="false" errorStyle="stop" operator="between" showDropDown="false" showErrorMessage="false" showInputMessage="false" sqref="E13" type="decimal">
      <formula1>0</formula1>
      <formula2>1</formula2>
    </dataValidation>
    <dataValidation allowBlank="false" errorStyle="stop" operator="between" showDropDown="false" showErrorMessage="false" showInputMessage="false" sqref="E56" type="decimal">
      <formula1>0</formula1>
      <formula2>1</formula2>
    </dataValidation>
    <dataValidation allowBlank="false" errorStyle="stop" operator="between" showDropDown="false" showErrorMessage="false" showInputMessage="false" sqref="E57" type="whole">
      <formula1>1</formula1>
      <formula2>2</formula2>
    </dataValidation>
    <dataValidation allowBlank="false" errorStyle="stop" operator="between" showDropDown="false" showErrorMessage="false" showInputMessage="false" sqref="E67" type="decimal">
      <formula1>0</formula1>
      <formula2>1</formula2>
    </dataValidation>
    <dataValidation allowBlank="false" errorStyle="stop" operator="between" showDropDown="false" showErrorMessage="false" showInputMessage="false" sqref="E68" type="decimal">
      <formula1>0</formula1>
      <formula2>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51"/>
    <col collapsed="false" customWidth="true" hidden="false" outlineLevel="0" max="4" min="4" style="0" width="12"/>
    <col collapsed="false" customWidth="true" hidden="false" outlineLevel="0" max="6" min="5" style="0" width="18"/>
    <col collapsed="false" customWidth="true" hidden="false" outlineLevel="0" max="10" min="7" style="0" width="20"/>
    <col collapsed="false" customWidth="true" hidden="false" outlineLevel="0" max="11" min="11" style="0" width="15"/>
    <col collapsed="false" customWidth="true" hidden="false" outlineLevel="0" max="12" min="12" style="0" width="22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</row>
    <row r="2" customFormat="false" ht="25" hidden="false" customHeight="true" outlineLevel="0" collapsed="false">
      <c r="A2" s="1"/>
      <c r="B2" s="1"/>
      <c r="C2" s="3" t="s">
        <v>115</v>
      </c>
      <c r="D2" s="2"/>
      <c r="E2" s="2"/>
      <c r="F2" s="2"/>
      <c r="G2" s="2"/>
      <c r="H2" s="2"/>
      <c r="I2" s="2"/>
      <c r="J2" s="2"/>
      <c r="K2" s="2"/>
      <c r="L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  <c r="K3" s="2"/>
      <c r="L3" s="2"/>
    </row>
    <row r="4" customFormat="false" ht="25" hidden="false" customHeight="true" outlineLevel="0" collapsed="false">
      <c r="A4" s="1"/>
      <c r="B4" s="1"/>
      <c r="C4" s="1" t="s">
        <v>116</v>
      </c>
      <c r="D4" s="2"/>
      <c r="E4" s="31" t="n">
        <f aca="false">Setup!E5</f>
        <v>8000</v>
      </c>
      <c r="F4" s="2"/>
      <c r="G4" s="2"/>
      <c r="H4" s="2"/>
      <c r="I4" s="2"/>
      <c r="J4" s="2"/>
      <c r="K4" s="2"/>
      <c r="L4" s="2"/>
    </row>
    <row r="5" customFormat="false" ht="25" hidden="false" customHeight="true" outlineLevel="0" collapsed="false">
      <c r="A5" s="1"/>
      <c r="B5" s="1"/>
      <c r="C5" s="1"/>
      <c r="D5" s="2"/>
      <c r="E5" s="2"/>
      <c r="F5" s="2"/>
      <c r="G5" s="2"/>
      <c r="H5" s="2"/>
      <c r="I5" s="2"/>
      <c r="J5" s="2"/>
      <c r="K5" s="2"/>
      <c r="L5" s="2"/>
    </row>
    <row r="6" customFormat="false" ht="25" hidden="false" customHeight="true" outlineLevel="0" collapsed="false">
      <c r="A6" s="1"/>
      <c r="B6" s="1"/>
      <c r="C6" s="9" t="s">
        <v>117</v>
      </c>
      <c r="D6" s="2"/>
      <c r="E6" s="2"/>
      <c r="F6" s="2"/>
      <c r="G6" s="2"/>
      <c r="H6" s="2"/>
      <c r="I6" s="2"/>
      <c r="J6" s="2"/>
      <c r="K6" s="2"/>
      <c r="L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  <c r="K7" s="2"/>
      <c r="L7" s="2"/>
    </row>
    <row r="8" customFormat="false" ht="40" hidden="false" customHeight="true" outlineLevel="0" collapsed="false">
      <c r="A8" s="1"/>
      <c r="B8" s="1"/>
      <c r="C8" s="10" t="s">
        <v>118</v>
      </c>
      <c r="D8" s="11" t="s">
        <v>45</v>
      </c>
      <c r="E8" s="11" t="s">
        <v>119</v>
      </c>
      <c r="F8" s="11" t="s">
        <v>120</v>
      </c>
      <c r="G8" s="11" t="s">
        <v>121</v>
      </c>
      <c r="H8" s="11" t="s">
        <v>122</v>
      </c>
      <c r="I8" s="11" t="s">
        <v>123</v>
      </c>
      <c r="J8" s="11" t="s">
        <v>11</v>
      </c>
      <c r="K8" s="11" t="s">
        <v>124</v>
      </c>
      <c r="L8" s="11" t="s">
        <v>125</v>
      </c>
    </row>
    <row r="9" customFormat="false" ht="42" hidden="false" customHeight="true" outlineLevel="0" collapsed="false">
      <c r="A9" s="1"/>
      <c r="B9" s="1"/>
      <c r="C9" s="12" t="s">
        <v>126</v>
      </c>
      <c r="D9" s="24" t="n">
        <v>50</v>
      </c>
      <c r="E9" s="21" t="n">
        <v>1850.94</v>
      </c>
      <c r="F9" s="32" t="n">
        <f aca="false">Setup!$E$18</f>
        <v>1327.5</v>
      </c>
      <c r="G9" s="28" t="n">
        <f aca="false">D9*E9</f>
        <v>92547</v>
      </c>
      <c r="H9" s="28" t="n">
        <f aca="false">D9*F9</f>
        <v>66375</v>
      </c>
      <c r="I9" s="28" t="n">
        <f aca="false">G9-H9</f>
        <v>26172</v>
      </c>
      <c r="J9" s="32" t="n">
        <f aca="false">I9*Setup!$E$9</f>
        <v>130860</v>
      </c>
      <c r="K9" s="27" t="n">
        <f aca="false">IF(G9=0,"n.a.",I9/G9)</f>
        <v>0.282796849168531</v>
      </c>
      <c r="L9" s="32" t="n">
        <f aca="false">H9*Setup!$E$17</f>
        <v>10620</v>
      </c>
    </row>
    <row r="10" customFormat="false" ht="42" hidden="false" customHeight="true" outlineLevel="0" collapsed="false">
      <c r="A10" s="1"/>
      <c r="B10" s="1"/>
      <c r="C10" s="12" t="s">
        <v>127</v>
      </c>
      <c r="D10" s="24" t="n">
        <v>100</v>
      </c>
      <c r="E10" s="21" t="n">
        <v>2212.5</v>
      </c>
      <c r="F10" s="32" t="n">
        <f aca="false">Setup!$E$18</f>
        <v>1327.5</v>
      </c>
      <c r="G10" s="28" t="n">
        <f aca="false">D10*E10</f>
        <v>221250</v>
      </c>
      <c r="H10" s="28" t="n">
        <f aca="false">D10*F10</f>
        <v>132750</v>
      </c>
      <c r="I10" s="28" t="n">
        <f aca="false">G10-H10</f>
        <v>88500</v>
      </c>
      <c r="J10" s="32" t="n">
        <f aca="false">I10*Setup!$E$9</f>
        <v>442500</v>
      </c>
      <c r="K10" s="27" t="n">
        <f aca="false">IF(G10=0,"n.a.",I10/G10)</f>
        <v>0.4</v>
      </c>
      <c r="L10" s="32" t="n">
        <f aca="false">H10*Setup!$E$17</f>
        <v>21240</v>
      </c>
    </row>
    <row r="11" customFormat="false" ht="42" hidden="false" customHeight="true" outlineLevel="0" collapsed="false">
      <c r="A11" s="1"/>
      <c r="B11" s="1"/>
      <c r="C11" s="12" t="s">
        <v>128</v>
      </c>
      <c r="D11" s="24" t="n">
        <v>25</v>
      </c>
      <c r="E11" s="21" t="n">
        <v>2212.48</v>
      </c>
      <c r="F11" s="32" t="n">
        <f aca="false">Setup!$E$18</f>
        <v>1327.5</v>
      </c>
      <c r="G11" s="28" t="n">
        <f aca="false">D11*E11</f>
        <v>55312</v>
      </c>
      <c r="H11" s="28" t="n">
        <f aca="false">D11*F11</f>
        <v>33187.5</v>
      </c>
      <c r="I11" s="28" t="n">
        <f aca="false">G11-H11</f>
        <v>22124.5</v>
      </c>
      <c r="J11" s="32" t="n">
        <f aca="false">I11*Setup!$E$9</f>
        <v>110622.5</v>
      </c>
      <c r="K11" s="27" t="n">
        <f aca="false">IF(G11=0,"n.a.",I11/G11)</f>
        <v>0.399994576222158</v>
      </c>
      <c r="L11" s="32" t="n">
        <f aca="false">H11*Setup!$E$17</f>
        <v>5310</v>
      </c>
    </row>
    <row r="12" customFormat="false" ht="42" hidden="false" customHeight="true" outlineLevel="0" collapsed="false">
      <c r="A12" s="1"/>
      <c r="B12" s="1"/>
      <c r="C12" s="12" t="s">
        <v>129</v>
      </c>
      <c r="D12" s="24" t="n">
        <v>60</v>
      </c>
      <c r="E12" s="21" t="n">
        <v>2507.5</v>
      </c>
      <c r="F12" s="32" t="n">
        <f aca="false">Setup!$E$18</f>
        <v>1327.5</v>
      </c>
      <c r="G12" s="28" t="n">
        <f aca="false">D12*E12</f>
        <v>150450</v>
      </c>
      <c r="H12" s="28" t="n">
        <f aca="false">D12*F12</f>
        <v>79650</v>
      </c>
      <c r="I12" s="28" t="n">
        <f aca="false">G12-H12</f>
        <v>70800</v>
      </c>
      <c r="J12" s="32" t="n">
        <f aca="false">I12*Setup!$E$9</f>
        <v>354000</v>
      </c>
      <c r="K12" s="27" t="n">
        <f aca="false">IF(G12=0,"n.a.",I12/G12)</f>
        <v>0.470588235294118</v>
      </c>
      <c r="L12" s="32" t="n">
        <f aca="false">H12*Setup!$E$17</f>
        <v>12744</v>
      </c>
    </row>
    <row r="13" customFormat="false" ht="42" hidden="false" customHeight="true" outlineLevel="0" collapsed="false">
      <c r="A13" s="1"/>
      <c r="B13" s="1"/>
      <c r="C13" s="12" t="s">
        <v>130</v>
      </c>
      <c r="D13" s="24" t="n">
        <v>25</v>
      </c>
      <c r="E13" s="21" t="n">
        <v>2159.43</v>
      </c>
      <c r="F13" s="32" t="n">
        <f aca="false">Setup!$E$18</f>
        <v>1327.5</v>
      </c>
      <c r="G13" s="28" t="n">
        <f aca="false">D13*E13</f>
        <v>53985.75</v>
      </c>
      <c r="H13" s="28" t="n">
        <f aca="false">D13*F13</f>
        <v>33187.5</v>
      </c>
      <c r="I13" s="28" t="n">
        <f aca="false">G13-H13</f>
        <v>20798.25</v>
      </c>
      <c r="J13" s="32" t="n">
        <f aca="false">I13*Setup!$E$9</f>
        <v>103991.25</v>
      </c>
      <c r="K13" s="27" t="n">
        <f aca="false">IF(G13=0,"n.a.",I13/G13)</f>
        <v>0.385254442144455</v>
      </c>
      <c r="L13" s="32" t="n">
        <f aca="false">H13*Setup!$E$17</f>
        <v>5310</v>
      </c>
    </row>
    <row r="14" customFormat="false" ht="42" hidden="false" customHeight="true" outlineLevel="0" collapsed="false">
      <c r="A14" s="1"/>
      <c r="B14" s="1"/>
      <c r="C14" s="12" t="s">
        <v>131</v>
      </c>
      <c r="D14" s="24" t="n">
        <v>1000</v>
      </c>
      <c r="E14" s="21" t="n">
        <v>1245</v>
      </c>
      <c r="F14" s="32" t="n">
        <f aca="false">Setup!$E$18</f>
        <v>1327.5</v>
      </c>
      <c r="G14" s="28" t="n">
        <f aca="false">D14*E14</f>
        <v>1245000</v>
      </c>
      <c r="H14" s="28" t="n">
        <f aca="false">D14*F14</f>
        <v>1327500</v>
      </c>
      <c r="I14" s="28" t="n">
        <f aca="false">G14-H14</f>
        <v>-82499.9999999998</v>
      </c>
      <c r="J14" s="32" t="n">
        <f aca="false">I14*Setup!$E$9</f>
        <v>-412499.999999999</v>
      </c>
      <c r="K14" s="27" t="n">
        <f aca="false">IF(G14=0,"n.a.",I14/G14)</f>
        <v>-0.0662650602409637</v>
      </c>
      <c r="L14" s="32" t="n">
        <f aca="false">H14*Setup!$E$17</f>
        <v>212400</v>
      </c>
    </row>
    <row r="15" customFormat="false" ht="42" hidden="false" customHeight="true" outlineLevel="0" collapsed="false">
      <c r="A15" s="1"/>
      <c r="B15" s="1"/>
      <c r="C15" s="12" t="s">
        <v>132</v>
      </c>
      <c r="D15" s="24" t="n">
        <v>50</v>
      </c>
      <c r="E15" s="21" t="n">
        <v>2212.5</v>
      </c>
      <c r="F15" s="32" t="n">
        <f aca="false">Setup!$E$18</f>
        <v>1327.5</v>
      </c>
      <c r="G15" s="28" t="n">
        <f aca="false">D15*E15</f>
        <v>110625</v>
      </c>
      <c r="H15" s="28" t="n">
        <f aca="false">D15*F15</f>
        <v>66375</v>
      </c>
      <c r="I15" s="28" t="n">
        <f aca="false">G15-H15</f>
        <v>44250</v>
      </c>
      <c r="J15" s="32" t="n">
        <f aca="false">I15*Setup!$E$9</f>
        <v>221250</v>
      </c>
      <c r="K15" s="27" t="n">
        <f aca="false">IF(G15=0,"n.a.",I15/G15)</f>
        <v>0.4</v>
      </c>
      <c r="L15" s="32" t="n">
        <f aca="false">H15*Setup!$E$17</f>
        <v>10620</v>
      </c>
    </row>
    <row r="16" customFormat="false" ht="25" hidden="false" customHeight="true" outlineLevel="0" collapsed="false">
      <c r="A16" s="1"/>
      <c r="B16" s="1"/>
      <c r="C16" s="13" t="s">
        <v>133</v>
      </c>
      <c r="D16" s="33" t="n">
        <f aca="false">SUM(D9:D15)</f>
        <v>1310</v>
      </c>
      <c r="E16" s="34"/>
      <c r="F16" s="34"/>
      <c r="G16" s="35" t="n">
        <f aca="false">SUM(G9:G15)</f>
        <v>1929169.75</v>
      </c>
      <c r="H16" s="35" t="n">
        <f aca="false">SUM(H9:H15)</f>
        <v>1739025</v>
      </c>
      <c r="I16" s="35" t="n">
        <f aca="false">SUM(I9:I15)</f>
        <v>190144.75</v>
      </c>
      <c r="J16" s="35" t="n">
        <f aca="false">SUM(J9:J15)</f>
        <v>950723.750000001</v>
      </c>
      <c r="K16" s="36" t="n">
        <f aca="false">I16/G16</f>
        <v>0.0985629958172423</v>
      </c>
      <c r="L16" s="35" t="n">
        <f aca="false">SUM(L9:L15)</f>
        <v>278244</v>
      </c>
    </row>
    <row r="17" customFormat="false" ht="25" hidden="false" customHeight="true" outlineLevel="0" collapsed="false">
      <c r="A17" s="1"/>
      <c r="B17" s="1"/>
      <c r="C17" s="1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25" hidden="false" customHeight="true" outlineLevel="0" collapsed="false">
      <c r="A18" s="1"/>
      <c r="B18" s="1"/>
      <c r="C18" s="9" t="s">
        <v>134</v>
      </c>
      <c r="D18" s="2"/>
      <c r="E18" s="2"/>
      <c r="F18" s="2"/>
      <c r="G18" s="2"/>
      <c r="H18" s="2"/>
      <c r="I18" s="2"/>
      <c r="J18" s="2"/>
      <c r="K18" s="2"/>
      <c r="L18" s="2"/>
    </row>
    <row r="19" customFormat="false" ht="25" hidden="false" customHeight="true" outlineLevel="0" collapsed="false">
      <c r="A19" s="1"/>
      <c r="B19" s="1"/>
      <c r="C19" s="9" t="s">
        <v>135</v>
      </c>
      <c r="D19" s="2"/>
      <c r="E19" s="2"/>
      <c r="F19" s="2"/>
      <c r="G19" s="2"/>
      <c r="H19" s="2"/>
      <c r="I19" s="2"/>
      <c r="J19" s="2"/>
      <c r="K19" s="2"/>
      <c r="L19" s="2"/>
    </row>
    <row r="20" customFormat="false" ht="25" hidden="false" customHeight="true" outlineLevel="0" collapsed="false">
      <c r="A20" s="1"/>
      <c r="B20" s="1"/>
      <c r="C20" s="9" t="s">
        <v>136</v>
      </c>
      <c r="D20" s="2"/>
      <c r="E20" s="2"/>
      <c r="F20" s="2"/>
      <c r="G20" s="2"/>
      <c r="H20" s="2"/>
      <c r="I20" s="2"/>
      <c r="J20" s="2"/>
      <c r="K20" s="2"/>
      <c r="L20" s="2"/>
    </row>
    <row r="21" customFormat="false" ht="25" hidden="false" customHeight="true" outlineLevel="0" collapsed="false">
      <c r="A21" s="1"/>
      <c r="B21" s="1"/>
      <c r="C21" s="9" t="s">
        <v>137</v>
      </c>
      <c r="D21" s="2"/>
      <c r="E21" s="2"/>
      <c r="F21" s="2"/>
      <c r="G21" s="2"/>
      <c r="H21" s="2"/>
      <c r="I21" s="2"/>
      <c r="J21" s="2"/>
      <c r="K21" s="2"/>
      <c r="L21" s="2"/>
    </row>
    <row r="22" customFormat="false" ht="25" hidden="false" customHeight="true" outlineLevel="0" collapsed="false">
      <c r="A22" s="1"/>
      <c r="B22" s="1"/>
      <c r="C22" s="9" t="s">
        <v>138</v>
      </c>
      <c r="D22" s="2"/>
      <c r="E22" s="2"/>
      <c r="F22" s="2"/>
      <c r="G22" s="2"/>
      <c r="H22" s="2"/>
      <c r="I22" s="2"/>
      <c r="J22" s="2"/>
      <c r="K22" s="2"/>
      <c r="L22" s="2"/>
    </row>
    <row r="23" customFormat="false" ht="25" hidden="false" customHeight="true" outlineLevel="0" collapsed="false">
      <c r="A23" s="1"/>
      <c r="B23" s="1"/>
      <c r="C23" s="1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27" hidden="false" customHeight="true" outlineLevel="0" collapsed="false">
      <c r="A24" s="1"/>
      <c r="B24" s="1"/>
      <c r="C24" s="15" t="s">
        <v>139</v>
      </c>
      <c r="D24" s="16"/>
      <c r="E24" s="16"/>
      <c r="F24" s="16"/>
      <c r="G24" s="2"/>
      <c r="H24" s="2"/>
      <c r="I24" s="2"/>
      <c r="J24" s="2"/>
      <c r="K24" s="2"/>
      <c r="L24" s="2"/>
    </row>
    <row r="25" customFormat="false" ht="40" hidden="false" customHeight="true" outlineLevel="0" collapsed="false">
      <c r="A25" s="1"/>
      <c r="B25" s="1"/>
      <c r="C25" s="10" t="s">
        <v>140</v>
      </c>
      <c r="D25" s="11" t="s">
        <v>141</v>
      </c>
      <c r="E25" s="11" t="s">
        <v>142</v>
      </c>
      <c r="F25" s="2"/>
      <c r="G25" s="2"/>
      <c r="H25" s="2"/>
      <c r="I25" s="2"/>
      <c r="J25" s="2"/>
      <c r="K25" s="2"/>
      <c r="L25" s="2"/>
    </row>
    <row r="26" customFormat="false" ht="25" hidden="false" customHeight="true" outlineLevel="0" collapsed="false">
      <c r="A26" s="1"/>
      <c r="B26" s="1"/>
      <c r="C26" s="1" t="s">
        <v>43</v>
      </c>
      <c r="D26" s="26" t="n">
        <f aca="false">G16</f>
        <v>1929169.75</v>
      </c>
      <c r="E26" s="26" t="n">
        <f aca="false">H16</f>
        <v>1739025</v>
      </c>
      <c r="F26" s="2"/>
      <c r="G26" s="2"/>
      <c r="H26" s="2"/>
      <c r="I26" s="2"/>
      <c r="J26" s="2"/>
      <c r="K26" s="2"/>
      <c r="L26" s="2"/>
    </row>
    <row r="27" customFormat="false" ht="25" hidden="false" customHeight="true" outlineLevel="0" collapsed="false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25" hidden="false" customHeight="true" outlineLevel="0" collapsed="false">
      <c r="A28" s="1"/>
      <c r="B28" s="1"/>
      <c r="C28" s="1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25" hidden="false" customHeight="true" outlineLevel="0" collapsed="false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25" hidden="false" customHeight="true" outlineLevel="0" collapsed="false">
      <c r="A30" s="1"/>
      <c r="B30" s="1"/>
      <c r="C30" s="1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25" hidden="false" customHeight="true" outlineLevel="0" collapsed="false">
      <c r="A31" s="1"/>
      <c r="B31" s="1"/>
      <c r="C31" s="1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25" hidden="false" customHeight="true" outlineLevel="0" collapsed="false">
      <c r="A32" s="1"/>
      <c r="B32" s="1"/>
      <c r="C32" s="1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25" hidden="false" customHeight="true" outlineLevel="0" collapsed="false">
      <c r="A33" s="1"/>
      <c r="B33" s="1"/>
      <c r="C33" s="1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25" hidden="false" customHeight="true" outlineLevel="0" collapsed="false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25" hidden="false" customHeight="true" outlineLevel="0" collapsed="false">
      <c r="A35" s="1"/>
      <c r="B35" s="1"/>
      <c r="C35" s="1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25" hidden="false" customHeight="true" outlineLevel="0" collapsed="false">
      <c r="A36" s="1"/>
      <c r="B36" s="1"/>
      <c r="C36" s="1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25" hidden="false" customHeight="true" outlineLevel="0" collapsed="false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25" hidden="false" customHeight="true" outlineLevel="0" collapsed="false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</row>
  </sheetData>
  <conditionalFormatting sqref="I9:K16">
    <cfRule type="cellIs" priority="2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9"/>
    <col collapsed="false" customWidth="true" hidden="false" outlineLevel="0" max="10" min="4" style="0" width="19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</row>
    <row r="2" customFormat="false" ht="25" hidden="false" customHeight="true" outlineLevel="0" collapsed="false">
      <c r="A2" s="1"/>
      <c r="B2" s="1"/>
      <c r="C2" s="3" t="s">
        <v>143</v>
      </c>
      <c r="D2" s="2"/>
      <c r="E2" s="2"/>
      <c r="F2" s="2"/>
      <c r="G2" s="2"/>
      <c r="H2" s="2"/>
      <c r="I2" s="2"/>
      <c r="J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</row>
    <row r="4" customFormat="false" ht="25" hidden="false" customHeight="true" outlineLevel="0" collapsed="false">
      <c r="A4" s="1"/>
      <c r="B4" s="1"/>
      <c r="C4" s="1" t="s">
        <v>116</v>
      </c>
      <c r="D4" s="2"/>
      <c r="E4" s="31" t="n">
        <f aca="false">Setup!E5</f>
        <v>8000</v>
      </c>
      <c r="F4" s="2"/>
      <c r="G4" s="2"/>
      <c r="H4" s="2"/>
      <c r="I4" s="2"/>
      <c r="J4" s="2"/>
    </row>
    <row r="5" customFormat="false" ht="25" hidden="false" customHeight="true" outlineLevel="0" collapsed="false">
      <c r="A5" s="1"/>
      <c r="B5" s="1"/>
      <c r="C5" s="1"/>
      <c r="D5" s="2"/>
      <c r="E5" s="2"/>
      <c r="F5" s="2"/>
      <c r="G5" s="2"/>
      <c r="H5" s="2"/>
      <c r="I5" s="2"/>
      <c r="J5" s="2"/>
    </row>
    <row r="6" customFormat="false" ht="25" hidden="false" customHeight="true" outlineLevel="0" collapsed="false">
      <c r="A6" s="1"/>
      <c r="B6" s="1"/>
      <c r="C6" s="9" t="s">
        <v>144</v>
      </c>
      <c r="D6" s="2"/>
      <c r="E6" s="2"/>
      <c r="F6" s="2"/>
      <c r="G6" s="2"/>
      <c r="H6" s="2"/>
      <c r="I6" s="2"/>
      <c r="J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</row>
    <row r="8" customFormat="false" ht="40" hidden="false" customHeight="true" outlineLevel="0" collapsed="false">
      <c r="A8" s="1"/>
      <c r="B8" s="1"/>
      <c r="C8" s="10" t="s">
        <v>145</v>
      </c>
      <c r="D8" s="11" t="s">
        <v>16</v>
      </c>
      <c r="E8" s="11" t="s">
        <v>146</v>
      </c>
      <c r="F8" s="11" t="s">
        <v>147</v>
      </c>
      <c r="G8" s="11" t="s">
        <v>148</v>
      </c>
      <c r="H8" s="11" t="s">
        <v>149</v>
      </c>
      <c r="I8" s="2"/>
      <c r="J8" s="2"/>
    </row>
    <row r="9" customFormat="false" ht="25" hidden="false" customHeight="true" outlineLevel="0" collapsed="false">
      <c r="A9" s="1"/>
      <c r="B9" s="1"/>
      <c r="C9" s="1" t="s">
        <v>150</v>
      </c>
      <c r="D9" s="2" t="n">
        <v>7</v>
      </c>
      <c r="E9" s="2" t="n">
        <v>0</v>
      </c>
      <c r="F9" s="21" t="n">
        <v>25000</v>
      </c>
      <c r="G9" s="26" t="n">
        <f aca="false">D9*F9</f>
        <v>175000</v>
      </c>
      <c r="H9" s="26" t="n">
        <f aca="false">D9*E9</f>
        <v>0</v>
      </c>
      <c r="I9" s="2"/>
      <c r="J9" s="2"/>
    </row>
    <row r="10" customFormat="false" ht="25" hidden="false" customHeight="true" outlineLevel="0" collapsed="false">
      <c r="A10" s="1"/>
      <c r="B10" s="1"/>
      <c r="C10" s="1" t="s">
        <v>151</v>
      </c>
      <c r="D10" s="2" t="n">
        <v>6</v>
      </c>
      <c r="E10" s="2" t="n">
        <v>50001</v>
      </c>
      <c r="F10" s="21" t="n">
        <v>75000.5</v>
      </c>
      <c r="G10" s="26" t="n">
        <f aca="false">D10*F10</f>
        <v>450003</v>
      </c>
      <c r="H10" s="26" t="n">
        <f aca="false">D10*E10</f>
        <v>300006</v>
      </c>
      <c r="I10" s="2"/>
      <c r="J10" s="2"/>
    </row>
    <row r="11" customFormat="false" ht="25" hidden="false" customHeight="true" outlineLevel="0" collapsed="false">
      <c r="A11" s="1"/>
      <c r="B11" s="1"/>
      <c r="C11" s="1" t="s">
        <v>152</v>
      </c>
      <c r="D11" s="2" t="n">
        <v>6</v>
      </c>
      <c r="E11" s="2" t="n">
        <v>100001</v>
      </c>
      <c r="F11" s="21" t="n">
        <v>175000.5</v>
      </c>
      <c r="G11" s="26" t="n">
        <f aca="false">D11*F11</f>
        <v>1050003</v>
      </c>
      <c r="H11" s="26" t="n">
        <f aca="false">D11*E11</f>
        <v>600006</v>
      </c>
      <c r="I11" s="2"/>
      <c r="J11" s="2"/>
    </row>
    <row r="12" customFormat="false" ht="25" hidden="false" customHeight="true" outlineLevel="0" collapsed="false">
      <c r="A12" s="1"/>
      <c r="B12" s="1"/>
      <c r="C12" s="1" t="s">
        <v>153</v>
      </c>
      <c r="D12" s="2" t="n">
        <v>1</v>
      </c>
      <c r="E12" s="2" t="n">
        <v>250001</v>
      </c>
      <c r="F12" s="21" t="n">
        <v>375000.5</v>
      </c>
      <c r="G12" s="26" t="n">
        <f aca="false">D12*F12</f>
        <v>375000.5</v>
      </c>
      <c r="H12" s="26" t="n">
        <f aca="false">D12*E12</f>
        <v>250001</v>
      </c>
      <c r="I12" s="2"/>
      <c r="J12" s="2"/>
    </row>
    <row r="13" customFormat="false" ht="25" hidden="false" customHeight="true" outlineLevel="0" collapsed="false">
      <c r="A13" s="1"/>
      <c r="B13" s="1"/>
      <c r="C13" s="1" t="s">
        <v>154</v>
      </c>
      <c r="D13" s="2" t="n">
        <v>1</v>
      </c>
      <c r="E13" s="2" t="n">
        <v>2000001</v>
      </c>
      <c r="F13" s="21" t="n">
        <v>2500000</v>
      </c>
      <c r="G13" s="26" t="n">
        <f aca="false">D13*F13</f>
        <v>2500000</v>
      </c>
      <c r="H13" s="26" t="n">
        <f aca="false">D13*E13</f>
        <v>2000001</v>
      </c>
      <c r="I13" s="2"/>
      <c r="J13" s="2"/>
    </row>
    <row r="14" customFormat="false" ht="25" hidden="false" customHeight="true" outlineLevel="0" collapsed="false">
      <c r="A14" s="1"/>
      <c r="B14" s="1"/>
      <c r="C14" s="1" t="s">
        <v>155</v>
      </c>
      <c r="D14" s="2" t="n">
        <v>1</v>
      </c>
      <c r="E14" s="2"/>
      <c r="F14" s="2"/>
      <c r="G14" s="2"/>
      <c r="H14" s="2"/>
      <c r="I14" s="2"/>
      <c r="J14" s="2"/>
    </row>
    <row r="15" customFormat="false" ht="25" hidden="false" customHeight="true" outlineLevel="0" collapsed="false">
      <c r="A15" s="1"/>
      <c r="B15" s="1"/>
      <c r="C15" s="13" t="s">
        <v>156</v>
      </c>
      <c r="D15" s="33" t="n">
        <f aca="false">SUM(D9:D14)</f>
        <v>22</v>
      </c>
      <c r="E15" s="14"/>
      <c r="F15" s="14"/>
      <c r="G15" s="33" t="n">
        <f aca="false">SUM(G9:G14)</f>
        <v>4550006.5</v>
      </c>
      <c r="H15" s="33" t="n">
        <f aca="false">SUM(H9:H14)</f>
        <v>3150014</v>
      </c>
      <c r="I15" s="2"/>
      <c r="J15" s="2"/>
    </row>
    <row r="16" customFormat="false" ht="25" hidden="false" customHeight="true" outlineLevel="0" collapsed="false">
      <c r="A16" s="1"/>
      <c r="B16" s="1"/>
      <c r="C16" s="1"/>
      <c r="D16" s="2"/>
      <c r="E16" s="2"/>
      <c r="F16" s="2"/>
      <c r="G16" s="2"/>
      <c r="H16" s="2"/>
      <c r="I16" s="2"/>
      <c r="J16" s="2"/>
    </row>
    <row r="17" customFormat="false" ht="25" hidden="false" customHeight="true" outlineLevel="0" collapsed="false">
      <c r="A17" s="1"/>
      <c r="B17" s="1"/>
      <c r="C17" s="9" t="s">
        <v>157</v>
      </c>
      <c r="D17" s="2"/>
      <c r="E17" s="2"/>
      <c r="F17" s="2"/>
      <c r="G17" s="2"/>
      <c r="H17" s="2"/>
      <c r="I17" s="2"/>
      <c r="J17" s="2"/>
    </row>
    <row r="18" customFormat="false" ht="25" hidden="false" customHeight="true" outlineLevel="0" collapsed="false">
      <c r="A18" s="1"/>
      <c r="B18" s="1"/>
      <c r="C18" s="9" t="s">
        <v>158</v>
      </c>
      <c r="D18" s="2"/>
      <c r="E18" s="2"/>
      <c r="F18" s="2"/>
      <c r="G18" s="2"/>
      <c r="H18" s="2"/>
      <c r="I18" s="2"/>
      <c r="J18" s="2"/>
    </row>
    <row r="19" customFormat="false" ht="25" hidden="false" customHeight="true" outlineLevel="0" collapsed="false">
      <c r="A19" s="1"/>
      <c r="B19" s="1"/>
      <c r="C19" s="1"/>
      <c r="D19" s="2"/>
      <c r="E19" s="2"/>
      <c r="F19" s="2"/>
      <c r="G19" s="2"/>
      <c r="H19" s="2"/>
      <c r="I19" s="2"/>
      <c r="J19" s="2"/>
    </row>
    <row r="20" customFormat="false" ht="25" hidden="false" customHeight="true" outlineLevel="0" collapsed="false">
      <c r="A20" s="1"/>
      <c r="B20" s="1"/>
      <c r="C20" s="1"/>
      <c r="D20" s="2"/>
      <c r="E20" s="2"/>
      <c r="F20" s="2"/>
      <c r="G20" s="2"/>
      <c r="H20" s="2"/>
      <c r="I20" s="2"/>
      <c r="J20" s="2"/>
    </row>
    <row r="21" customFormat="false" ht="40" hidden="false" customHeight="true" outlineLevel="0" collapsed="false">
      <c r="A21" s="1"/>
      <c r="B21" s="1"/>
      <c r="C21" s="10" t="s">
        <v>159</v>
      </c>
      <c r="D21" s="11" t="s">
        <v>16</v>
      </c>
      <c r="E21" s="11" t="s">
        <v>76</v>
      </c>
      <c r="F21" s="11" t="s">
        <v>160</v>
      </c>
      <c r="G21" s="11" t="s">
        <v>161</v>
      </c>
      <c r="H21" s="11" t="s">
        <v>18</v>
      </c>
      <c r="I21" s="2"/>
      <c r="J21" s="2"/>
    </row>
    <row r="22" customFormat="false" ht="25" hidden="false" customHeight="true" outlineLevel="0" collapsed="false">
      <c r="A22" s="1"/>
      <c r="B22" s="1"/>
      <c r="C22" s="1" t="s">
        <v>162</v>
      </c>
      <c r="D22" s="2" t="n">
        <v>6</v>
      </c>
      <c r="E22" s="2" t="n">
        <v>1</v>
      </c>
      <c r="F22" s="37" t="n">
        <v>25.5</v>
      </c>
      <c r="G22" s="38" t="n">
        <f aca="false">D22*F22</f>
        <v>153</v>
      </c>
      <c r="H22" s="26" t="n">
        <f aca="false">D22*E22</f>
        <v>6</v>
      </c>
      <c r="I22" s="2"/>
      <c r="J22" s="2"/>
    </row>
    <row r="23" customFormat="false" ht="25" hidden="false" customHeight="true" outlineLevel="0" collapsed="false">
      <c r="A23" s="1"/>
      <c r="B23" s="1"/>
      <c r="C23" s="1" t="s">
        <v>163</v>
      </c>
      <c r="D23" s="2" t="n">
        <v>4</v>
      </c>
      <c r="E23" s="2" t="n">
        <v>51</v>
      </c>
      <c r="F23" s="37" t="n">
        <v>75.5</v>
      </c>
      <c r="G23" s="38" t="n">
        <f aca="false">D23*F23</f>
        <v>302</v>
      </c>
      <c r="H23" s="26" t="n">
        <f aca="false">D23*E23</f>
        <v>204</v>
      </c>
      <c r="I23" s="2"/>
      <c r="J23" s="2"/>
    </row>
    <row r="24" customFormat="false" ht="25" hidden="false" customHeight="true" outlineLevel="0" collapsed="false">
      <c r="A24" s="1"/>
      <c r="B24" s="1"/>
      <c r="C24" s="1" t="s">
        <v>164</v>
      </c>
      <c r="D24" s="2" t="n">
        <v>7</v>
      </c>
      <c r="E24" s="2" t="n">
        <v>101</v>
      </c>
      <c r="F24" s="37" t="n">
        <v>300.5</v>
      </c>
      <c r="G24" s="38" t="n">
        <f aca="false">D24*F24</f>
        <v>2103.5</v>
      </c>
      <c r="H24" s="26" t="n">
        <f aca="false">D24*E24</f>
        <v>707</v>
      </c>
      <c r="I24" s="2"/>
      <c r="J24" s="2"/>
    </row>
    <row r="25" customFormat="false" ht="25" hidden="false" customHeight="true" outlineLevel="0" collapsed="false">
      <c r="A25" s="1"/>
      <c r="B25" s="1"/>
      <c r="C25" s="1" t="s">
        <v>165</v>
      </c>
      <c r="D25" s="2" t="n">
        <v>4</v>
      </c>
      <c r="E25" s="2" t="n">
        <v>1001</v>
      </c>
      <c r="F25" s="37" t="n">
        <v>2000</v>
      </c>
      <c r="G25" s="38" t="n">
        <f aca="false">D25*F25</f>
        <v>8000</v>
      </c>
      <c r="H25" s="26" t="n">
        <f aca="false">D25*E25</f>
        <v>4004</v>
      </c>
      <c r="I25" s="2"/>
      <c r="J25" s="2"/>
    </row>
    <row r="26" customFormat="false" ht="25" hidden="false" customHeight="true" outlineLevel="0" collapsed="false">
      <c r="A26" s="1"/>
      <c r="B26" s="1"/>
      <c r="C26" s="1" t="s">
        <v>166</v>
      </c>
      <c r="D26" s="2" t="n">
        <v>1</v>
      </c>
      <c r="E26" s="2"/>
      <c r="F26" s="17"/>
      <c r="G26" s="17"/>
      <c r="H26" s="2"/>
      <c r="I26" s="2"/>
      <c r="J26" s="2"/>
    </row>
    <row r="27" customFormat="false" ht="25" hidden="false" customHeight="true" outlineLevel="0" collapsed="false">
      <c r="A27" s="1"/>
      <c r="B27" s="1"/>
      <c r="C27" s="13" t="s">
        <v>167</v>
      </c>
      <c r="D27" s="33" t="n">
        <f aca="false">SUM(D22:D26)</f>
        <v>22</v>
      </c>
      <c r="E27" s="14"/>
      <c r="F27" s="18"/>
      <c r="G27" s="39" t="n">
        <f aca="false">SUM(G22:G26)</f>
        <v>10558.5</v>
      </c>
      <c r="H27" s="33" t="n">
        <f aca="false">SUM(H22:H26)</f>
        <v>4921</v>
      </c>
      <c r="I27" s="2"/>
      <c r="J27" s="2"/>
    </row>
    <row r="28" customFormat="false" ht="25" hidden="false" customHeight="true" outlineLevel="0" collapsed="false">
      <c r="A28" s="1"/>
      <c r="B28" s="1"/>
      <c r="C28" s="1"/>
      <c r="D28" s="2"/>
      <c r="E28" s="2"/>
      <c r="F28" s="2"/>
      <c r="G28" s="2"/>
      <c r="H28" s="2"/>
      <c r="I28" s="2"/>
      <c r="J28" s="2"/>
    </row>
    <row r="29" customFormat="false" ht="25" hidden="false" customHeight="true" outlineLevel="0" collapsed="false">
      <c r="A29" s="1"/>
      <c r="B29" s="1"/>
      <c r="C29" s="9" t="s">
        <v>168</v>
      </c>
      <c r="D29" s="2"/>
      <c r="E29" s="2"/>
      <c r="F29" s="2"/>
      <c r="G29" s="2"/>
      <c r="H29" s="2"/>
      <c r="I29" s="2"/>
      <c r="J29" s="2"/>
    </row>
    <row r="30" customFormat="false" ht="25" hidden="false" customHeight="true" outlineLevel="0" collapsed="false">
      <c r="A30" s="1"/>
      <c r="B30" s="1"/>
      <c r="C30" s="9" t="s">
        <v>169</v>
      </c>
      <c r="D30" s="2"/>
      <c r="E30" s="2"/>
      <c r="F30" s="2"/>
      <c r="G30" s="2"/>
      <c r="H30" s="2"/>
      <c r="I30" s="2"/>
      <c r="J30" s="2"/>
    </row>
    <row r="31" customFormat="false" ht="25" hidden="false" customHeight="true" outlineLevel="0" collapsed="false">
      <c r="A31" s="1"/>
      <c r="B31" s="1"/>
      <c r="C31" s="1"/>
      <c r="D31" s="2"/>
      <c r="E31" s="2"/>
      <c r="F31" s="2"/>
      <c r="G31" s="2"/>
      <c r="H31" s="2"/>
      <c r="I31" s="2"/>
      <c r="J31" s="2"/>
    </row>
    <row r="32" customFormat="false" ht="27" hidden="false" customHeight="true" outlineLevel="0" collapsed="false">
      <c r="A32" s="1"/>
      <c r="B32" s="1"/>
      <c r="C32" s="15" t="s">
        <v>170</v>
      </c>
      <c r="D32" s="16"/>
      <c r="E32" s="16"/>
      <c r="F32" s="16"/>
      <c r="G32" s="16"/>
      <c r="H32" s="16"/>
      <c r="I32" s="2"/>
      <c r="J32" s="2"/>
    </row>
    <row r="33" customFormat="false" ht="25" hidden="false" customHeight="true" outlineLevel="0" collapsed="false">
      <c r="A33" s="1"/>
      <c r="B33" s="1"/>
      <c r="C33" s="1"/>
      <c r="D33" s="2"/>
      <c r="E33" s="2"/>
      <c r="F33" s="2"/>
      <c r="G33" s="2"/>
      <c r="H33" s="2"/>
      <c r="I33" s="2"/>
      <c r="J33" s="2"/>
    </row>
    <row r="34" customFormat="false" ht="25" hidden="false" customHeight="true" outlineLevel="0" collapsed="false">
      <c r="A34" s="1"/>
      <c r="B34" s="1"/>
      <c r="C34" s="1" t="s">
        <v>171</v>
      </c>
      <c r="D34" s="2"/>
      <c r="E34" s="19" t="n">
        <f aca="false">COUNTIFS(Respondents!K9:K46,"Ready")</f>
        <v>0</v>
      </c>
      <c r="F34" s="2"/>
      <c r="G34" s="2"/>
      <c r="H34" s="2"/>
      <c r="I34" s="2"/>
      <c r="J34" s="2"/>
    </row>
    <row r="35" customFormat="false" ht="25" hidden="false" customHeight="true" outlineLevel="0" collapsed="false">
      <c r="A35" s="1"/>
      <c r="B35" s="1"/>
      <c r="C35" s="1" t="s">
        <v>172</v>
      </c>
      <c r="D35" s="2"/>
      <c r="E35" s="19" t="n">
        <f aca="false">SUMIFS(Respondents!E9:E46,Respondents!K9:K46,"Ready")</f>
        <v>0</v>
      </c>
      <c r="F35" s="2"/>
      <c r="G35" s="2"/>
      <c r="H35" s="2"/>
      <c r="I35" s="2"/>
      <c r="J35" s="2"/>
    </row>
    <row r="36" customFormat="false" ht="25" hidden="false" customHeight="true" outlineLevel="0" collapsed="false">
      <c r="A36" s="1"/>
      <c r="B36" s="1"/>
      <c r="C36" s="1" t="s">
        <v>173</v>
      </c>
      <c r="D36" s="2"/>
      <c r="E36" s="40" t="str">
        <f aca="false">IF(E34=0,"n.a.",SUMIFS(Respondents!G9:G46,Respondents!K9:K46,"Ready"))</f>
        <v>n.a.</v>
      </c>
      <c r="F36" s="2"/>
      <c r="G36" s="2"/>
      <c r="H36" s="2"/>
      <c r="I36" s="2"/>
      <c r="J36" s="2"/>
    </row>
    <row r="37" customFormat="false" ht="25" hidden="false" customHeight="true" outlineLevel="0" collapsed="false">
      <c r="A37" s="1"/>
      <c r="B37" s="1"/>
      <c r="C37" s="1" t="s">
        <v>174</v>
      </c>
      <c r="D37" s="2"/>
      <c r="E37" s="40" t="str">
        <f aca="false">IF(E34=0,"n.a.",SUMIFS(Respondents!I9:I46,Respondents!K9:K46,"Ready"))</f>
        <v>n.a.</v>
      </c>
      <c r="F37" s="2"/>
      <c r="G37" s="2"/>
      <c r="H37" s="2"/>
      <c r="I37" s="2"/>
      <c r="J37" s="2"/>
    </row>
    <row r="38" customFormat="false" ht="25" hidden="false" customHeight="true" outlineLevel="0" collapsed="false">
      <c r="A38" s="1"/>
      <c r="B38" s="1"/>
      <c r="C38" s="1" t="s">
        <v>175</v>
      </c>
      <c r="D38" s="2"/>
      <c r="E38" s="41" t="str">
        <f aca="false">IF(E34=0,"n.a.",E36-E37)</f>
        <v>n.a.</v>
      </c>
      <c r="F38" s="2"/>
      <c r="G38" s="2"/>
      <c r="H38" s="2"/>
      <c r="I38" s="2"/>
      <c r="J38" s="2"/>
    </row>
    <row r="39" customFormat="false" ht="25" hidden="false" customHeight="true" outlineLevel="0" collapsed="false">
      <c r="A39" s="1"/>
      <c r="B39" s="1"/>
      <c r="C39" s="1" t="s">
        <v>176</v>
      </c>
      <c r="D39" s="2"/>
      <c r="E39" s="42" t="str">
        <f aca="false">IF(OR(E34=0,E36=0),"n.a.",E38/E36)</f>
        <v>n.a.</v>
      </c>
      <c r="F39" s="2"/>
      <c r="G39" s="2"/>
      <c r="H39" s="2"/>
      <c r="I39" s="2"/>
      <c r="J39" s="2"/>
    </row>
    <row r="40" customFormat="false" ht="25" hidden="false" customHeight="true" outlineLevel="0" collapsed="false">
      <c r="A40" s="1"/>
      <c r="B40" s="1"/>
      <c r="C40" s="1" t="s">
        <v>177</v>
      </c>
      <c r="D40" s="2"/>
      <c r="E40" s="40" t="str">
        <f aca="false">IF(E34=0,"n.a.",E38*Setup!E9)</f>
        <v>n.a.</v>
      </c>
      <c r="F40" s="2"/>
      <c r="G40" s="2"/>
      <c r="H40" s="2"/>
      <c r="I40" s="2"/>
      <c r="J40" s="2"/>
    </row>
    <row r="41" customFormat="false" ht="25" hidden="false" customHeight="true" outlineLevel="0" collapsed="false">
      <c r="A41" s="1"/>
      <c r="B41" s="1"/>
      <c r="C41" s="1"/>
      <c r="D41" s="2"/>
      <c r="E41" s="2"/>
      <c r="F41" s="2"/>
      <c r="G41" s="2"/>
      <c r="H41" s="2"/>
      <c r="I41" s="2"/>
      <c r="J41" s="2"/>
    </row>
    <row r="42" customFormat="false" ht="25" hidden="false" customHeight="true" outlineLevel="0" collapsed="false">
      <c r="A42" s="1"/>
      <c r="B42" s="1"/>
      <c r="C42" s="1" t="s">
        <v>178</v>
      </c>
      <c r="D42" s="2"/>
      <c r="E42" s="19" t="n">
        <f aca="false">COUNTIFS(Respondents!K9:K46,"Ready",Respondents!H9:H46,"Current")</f>
        <v>0</v>
      </c>
      <c r="F42" s="2"/>
      <c r="G42" s="2"/>
      <c r="H42" s="2"/>
      <c r="I42" s="2"/>
      <c r="J42" s="2"/>
    </row>
    <row r="43" customFormat="false" ht="25" hidden="false" customHeight="true" outlineLevel="0" collapsed="false">
      <c r="A43" s="1"/>
      <c r="B43" s="1"/>
      <c r="C43" s="1" t="s">
        <v>179</v>
      </c>
      <c r="D43" s="2"/>
      <c r="E43" s="19" t="n">
        <f aca="false">COUNTIFS(Respondents!K9:K46,"Ready",Respondents!H9:H46,"Expected")</f>
        <v>0</v>
      </c>
      <c r="F43" s="2"/>
      <c r="G43" s="2"/>
      <c r="H43" s="2"/>
      <c r="I43" s="2"/>
      <c r="J43" s="2"/>
    </row>
    <row r="44" customFormat="false" ht="25" hidden="false" customHeight="true" outlineLevel="0" collapsed="false">
      <c r="A44" s="1"/>
      <c r="B44" s="1"/>
      <c r="C44" s="1" t="s">
        <v>180</v>
      </c>
      <c r="D44" s="2"/>
      <c r="E44" s="26" t="str">
        <f aca="false">IF(E34=0,"Awaiting respondent data","Matched rows only")</f>
        <v>Awaiting respondent data</v>
      </c>
      <c r="F44" s="2"/>
      <c r="G44" s="2"/>
      <c r="H44" s="2"/>
      <c r="I44" s="2"/>
      <c r="J44" s="2"/>
    </row>
    <row r="45" customFormat="false" ht="25" hidden="false" customHeight="true" outlineLevel="0" collapsed="false">
      <c r="A45" s="1"/>
      <c r="B45" s="1"/>
      <c r="C45" s="1"/>
      <c r="D45" s="2"/>
      <c r="E45" s="2"/>
      <c r="F45" s="2"/>
      <c r="G45" s="2"/>
      <c r="H45" s="2"/>
      <c r="I45" s="2"/>
      <c r="J45" s="2"/>
    </row>
    <row r="46" customFormat="false" ht="25" hidden="false" customHeight="true" outlineLevel="0" collapsed="false">
      <c r="A46" s="1"/>
      <c r="B46" s="1"/>
      <c r="C46" s="1"/>
      <c r="D46" s="2"/>
      <c r="E46" s="2"/>
      <c r="F46" s="2"/>
      <c r="G46" s="2"/>
      <c r="H46" s="2"/>
      <c r="I46" s="2"/>
      <c r="J46" s="2"/>
    </row>
    <row r="47" customFormat="false" ht="25" hidden="false" customHeight="true" outlineLevel="0" collapsed="false">
      <c r="A47" s="1"/>
      <c r="B47" s="1"/>
      <c r="C47" s="9" t="s">
        <v>181</v>
      </c>
      <c r="D47" s="2"/>
      <c r="E47" s="2"/>
      <c r="F47" s="2"/>
      <c r="G47" s="2"/>
      <c r="H47" s="2"/>
      <c r="I47" s="2"/>
      <c r="J47" s="2"/>
    </row>
    <row r="48" customFormat="false" ht="25" hidden="false" customHeight="true" outlineLevel="0" collapsed="false">
      <c r="A48" s="1"/>
      <c r="B48" s="1"/>
      <c r="C48" s="9" t="s">
        <v>182</v>
      </c>
      <c r="D48" s="2"/>
      <c r="E48" s="2"/>
      <c r="F48" s="2"/>
      <c r="G48" s="2"/>
      <c r="H48" s="2"/>
      <c r="I48" s="2"/>
      <c r="J48" s="2"/>
    </row>
    <row r="49" customFormat="false" ht="25" hidden="false" customHeight="true" outlineLevel="0" collapsed="false">
      <c r="A49" s="1"/>
      <c r="B49" s="1"/>
      <c r="C49" s="9" t="s">
        <v>183</v>
      </c>
      <c r="D49" s="2"/>
      <c r="E49" s="2"/>
      <c r="F49" s="2"/>
      <c r="G49" s="2"/>
      <c r="H49" s="2"/>
      <c r="I49" s="2"/>
      <c r="J49" s="2"/>
    </row>
    <row r="50" customFormat="false" ht="25" hidden="false" customHeight="true" outlineLevel="0" collapsed="false">
      <c r="A50" s="1"/>
      <c r="B50" s="1"/>
      <c r="C50" s="1"/>
      <c r="D50" s="2"/>
      <c r="E50" s="2"/>
      <c r="F50" s="2"/>
      <c r="G50" s="2"/>
      <c r="H50" s="2"/>
      <c r="I50" s="2"/>
      <c r="J50" s="2"/>
    </row>
    <row r="51" customFormat="false" ht="25" hidden="false" customHeight="true" outlineLevel="0" collapsed="false">
      <c r="A51" s="1"/>
      <c r="B51" s="1"/>
      <c r="C51" s="1"/>
      <c r="D51" s="2"/>
      <c r="E51" s="2"/>
      <c r="F51" s="2"/>
      <c r="G51" s="2"/>
      <c r="H51" s="2"/>
      <c r="I51" s="2"/>
      <c r="J51" s="2"/>
    </row>
    <row r="52" customFormat="false" ht="27" hidden="false" customHeight="true" outlineLevel="0" collapsed="false">
      <c r="A52" s="1"/>
      <c r="B52" s="1"/>
      <c r="C52" s="15" t="s">
        <v>184</v>
      </c>
      <c r="D52" s="16"/>
      <c r="E52" s="16"/>
      <c r="F52" s="16"/>
      <c r="G52" s="16"/>
      <c r="H52" s="16"/>
      <c r="I52" s="2"/>
      <c r="J52" s="2"/>
    </row>
    <row r="53" customFormat="false" ht="25" hidden="false" customHeight="true" outlineLevel="0" collapsed="false">
      <c r="A53" s="1"/>
      <c r="B53" s="1"/>
      <c r="C53" s="1"/>
      <c r="D53" s="2"/>
      <c r="E53" s="2"/>
      <c r="F53" s="2"/>
      <c r="G53" s="2"/>
      <c r="H53" s="2"/>
      <c r="I53" s="2"/>
      <c r="J53" s="2"/>
    </row>
    <row r="54" customFormat="false" ht="25" hidden="false" customHeight="true" outlineLevel="0" collapsed="false">
      <c r="A54" s="1"/>
      <c r="B54" s="1"/>
      <c r="C54" s="1" t="s">
        <v>27</v>
      </c>
      <c r="D54" s="2"/>
      <c r="E54" s="29" t="n">
        <v>38</v>
      </c>
      <c r="F54" s="2"/>
      <c r="G54" s="2"/>
      <c r="H54" s="2"/>
      <c r="I54" s="2"/>
      <c r="J54" s="2"/>
    </row>
    <row r="55" customFormat="false" ht="25" hidden="false" customHeight="true" outlineLevel="0" collapsed="false">
      <c r="A55" s="1"/>
      <c r="B55" s="1"/>
      <c r="C55" s="1" t="s">
        <v>31</v>
      </c>
      <c r="D55" s="2"/>
      <c r="E55" s="29" t="n">
        <v>21</v>
      </c>
      <c r="F55" s="2"/>
      <c r="G55" s="2"/>
      <c r="H55" s="2"/>
      <c r="I55" s="2"/>
      <c r="J55" s="2"/>
    </row>
    <row r="56" customFormat="false" ht="25" hidden="false" customHeight="true" outlineLevel="0" collapsed="false">
      <c r="A56" s="1"/>
      <c r="B56" s="1"/>
      <c r="C56" s="1" t="s">
        <v>185</v>
      </c>
      <c r="D56" s="2"/>
      <c r="E56" s="29" t="n">
        <v>10</v>
      </c>
      <c r="F56" s="2"/>
      <c r="G56" s="2"/>
      <c r="H56" s="2"/>
      <c r="I56" s="2"/>
      <c r="J56" s="2"/>
    </row>
    <row r="57" customFormat="false" ht="25" hidden="false" customHeight="true" outlineLevel="0" collapsed="false">
      <c r="A57" s="1"/>
      <c r="B57" s="1"/>
      <c r="C57" s="1" t="s">
        <v>186</v>
      </c>
      <c r="D57" s="2"/>
      <c r="E57" s="29" t="n">
        <v>6</v>
      </c>
      <c r="F57" s="2"/>
      <c r="G57" s="2"/>
      <c r="H57" s="2"/>
      <c r="I57" s="2"/>
      <c r="J57" s="2"/>
    </row>
    <row r="58" customFormat="false" ht="25" hidden="false" customHeight="true" outlineLevel="0" collapsed="false">
      <c r="A58" s="1"/>
      <c r="B58" s="1"/>
      <c r="C58" s="1" t="s">
        <v>187</v>
      </c>
      <c r="D58" s="2"/>
      <c r="E58" s="26" t="n">
        <f aca="false">SUM(E56:E57)</f>
        <v>16</v>
      </c>
      <c r="F58" s="2"/>
      <c r="G58" s="2"/>
      <c r="H58" s="2"/>
      <c r="I58" s="2"/>
      <c r="J58" s="2"/>
    </row>
    <row r="59" customFormat="false" ht="25" hidden="false" customHeight="true" outlineLevel="0" collapsed="false">
      <c r="A59" s="1"/>
      <c r="B59" s="1"/>
      <c r="C59" s="1" t="s">
        <v>188</v>
      </c>
      <c r="D59" s="2"/>
      <c r="E59" s="29" t="n">
        <v>17</v>
      </c>
      <c r="F59" s="2"/>
      <c r="G59" s="2"/>
      <c r="H59" s="2"/>
      <c r="I59" s="2"/>
      <c r="J59" s="2"/>
    </row>
    <row r="60" customFormat="false" ht="25" hidden="false" customHeight="true" outlineLevel="0" collapsed="false">
      <c r="A60" s="1"/>
      <c r="B60" s="1"/>
      <c r="C60" s="1" t="s">
        <v>189</v>
      </c>
      <c r="D60" s="2"/>
      <c r="E60" s="29" t="n">
        <v>22</v>
      </c>
      <c r="F60" s="2"/>
      <c r="G60" s="2"/>
      <c r="H60" s="2"/>
      <c r="I60" s="2"/>
      <c r="J60" s="2"/>
    </row>
    <row r="61" customFormat="false" ht="25" hidden="false" customHeight="true" outlineLevel="0" collapsed="false">
      <c r="A61" s="1"/>
      <c r="B61" s="1"/>
      <c r="C61" s="1" t="s">
        <v>190</v>
      </c>
      <c r="D61" s="2"/>
      <c r="E61" s="27" t="n">
        <f aca="false">E59/E60</f>
        <v>0.772727272727273</v>
      </c>
      <c r="F61" s="2"/>
      <c r="G61" s="2"/>
      <c r="H61" s="2"/>
      <c r="I61" s="2"/>
      <c r="J61" s="2"/>
    </row>
    <row r="62" customFormat="false" ht="25" hidden="false" customHeight="true" outlineLevel="0" collapsed="false">
      <c r="A62" s="1"/>
      <c r="B62" s="1"/>
      <c r="C62" s="1" t="s">
        <v>191</v>
      </c>
      <c r="D62" s="2"/>
      <c r="E62" s="29" t="n">
        <v>13</v>
      </c>
      <c r="F62" s="2"/>
      <c r="G62" s="2"/>
      <c r="H62" s="2"/>
      <c r="I62" s="2"/>
      <c r="J62" s="2"/>
    </row>
    <row r="63" customFormat="false" ht="25" hidden="false" customHeight="true" outlineLevel="0" collapsed="false">
      <c r="A63" s="1"/>
      <c r="B63" s="1"/>
      <c r="C63" s="1" t="s">
        <v>192</v>
      </c>
      <c r="D63" s="2"/>
      <c r="E63" s="29" t="n">
        <v>17</v>
      </c>
      <c r="F63" s="2"/>
      <c r="G63" s="2"/>
      <c r="H63" s="2"/>
      <c r="I63" s="2"/>
      <c r="J63" s="2"/>
    </row>
    <row r="64" customFormat="false" ht="25" hidden="false" customHeight="true" outlineLevel="0" collapsed="false">
      <c r="A64" s="1"/>
      <c r="B64" s="1"/>
      <c r="C64" s="1" t="s">
        <v>193</v>
      </c>
      <c r="D64" s="2"/>
      <c r="E64" s="27" t="n">
        <f aca="false">E62/E63</f>
        <v>0.764705882352941</v>
      </c>
      <c r="F64" s="2"/>
      <c r="G64" s="2"/>
      <c r="H64" s="2"/>
      <c r="I64" s="2"/>
      <c r="J64" s="2"/>
    </row>
    <row r="65" customFormat="false" ht="25" hidden="false" customHeight="true" outlineLevel="0" collapsed="false">
      <c r="A65" s="1"/>
      <c r="B65" s="1"/>
      <c r="C65" s="1"/>
      <c r="D65" s="2"/>
      <c r="E65" s="2"/>
      <c r="F65" s="2"/>
      <c r="G65" s="2"/>
      <c r="H65" s="2"/>
      <c r="I65" s="2"/>
      <c r="J65" s="2"/>
    </row>
    <row r="66" customFormat="false" ht="25" hidden="false" customHeight="true" outlineLevel="0" collapsed="false">
      <c r="A66" s="1"/>
      <c r="B66" s="1"/>
      <c r="C66" s="1" t="s">
        <v>29</v>
      </c>
      <c r="D66" s="2"/>
      <c r="E66" s="19" t="n">
        <f aca="false">Setup!E54-E54</f>
        <v>54</v>
      </c>
      <c r="F66" s="2"/>
      <c r="G66" s="2"/>
      <c r="H66" s="2"/>
      <c r="I66" s="2"/>
      <c r="J66" s="2"/>
    </row>
    <row r="67" customFormat="false" ht="25" hidden="false" customHeight="true" outlineLevel="0" collapsed="false">
      <c r="A67" s="1"/>
      <c r="B67" s="1"/>
      <c r="C67" s="1" t="s">
        <v>194</v>
      </c>
      <c r="D67" s="2"/>
      <c r="E67" s="43" t="n">
        <f aca="false">E54/Setup!E54</f>
        <v>0.41304347826087</v>
      </c>
      <c r="F67" s="2"/>
      <c r="G67" s="2"/>
      <c r="H67" s="2"/>
      <c r="I67" s="2"/>
      <c r="J67" s="2"/>
    </row>
    <row r="68" customFormat="false" ht="25" hidden="false" customHeight="true" outlineLevel="0" collapsed="false">
      <c r="A68" s="1"/>
      <c r="B68" s="1"/>
      <c r="C68" s="1"/>
      <c r="D68" s="2"/>
      <c r="E68" s="2"/>
      <c r="F68" s="2"/>
      <c r="G68" s="2"/>
      <c r="H68" s="2"/>
      <c r="I68" s="2"/>
      <c r="J68" s="2"/>
    </row>
    <row r="69" customFormat="false" ht="25" hidden="false" customHeight="true" outlineLevel="0" collapsed="false">
      <c r="A69" s="1"/>
      <c r="B69" s="1"/>
      <c r="C69" s="1"/>
      <c r="D69" s="2"/>
      <c r="E69" s="2"/>
      <c r="F69" s="2"/>
      <c r="G69" s="2"/>
      <c r="H69" s="2"/>
      <c r="I69" s="2"/>
      <c r="J69" s="2"/>
    </row>
    <row r="70" customFormat="false" ht="25" hidden="false" customHeight="true" outlineLevel="0" collapsed="false">
      <c r="A70" s="1"/>
      <c r="B70" s="1"/>
      <c r="C70" s="9" t="s">
        <v>195</v>
      </c>
      <c r="D70" s="2"/>
      <c r="E70" s="2"/>
      <c r="F70" s="2"/>
      <c r="G70" s="2"/>
      <c r="H70" s="2"/>
      <c r="I70" s="2"/>
      <c r="J70" s="2"/>
    </row>
    <row r="71" customFormat="false" ht="25" hidden="false" customHeight="true" outlineLevel="0" collapsed="false">
      <c r="A71" s="1"/>
      <c r="B71" s="1"/>
      <c r="C71" s="9" t="s">
        <v>196</v>
      </c>
      <c r="D71" s="2"/>
      <c r="E71" s="2"/>
      <c r="F71" s="2"/>
      <c r="G71" s="2"/>
      <c r="H71" s="2"/>
      <c r="I71" s="2"/>
      <c r="J71" s="2"/>
    </row>
    <row r="72" customFormat="false" ht="25" hidden="false" customHeight="true" outlineLevel="0" collapsed="false">
      <c r="A72" s="1"/>
      <c r="B72" s="1"/>
      <c r="C72" s="9" t="s">
        <v>197</v>
      </c>
      <c r="D72" s="2"/>
      <c r="E72" s="2"/>
      <c r="F72" s="2"/>
      <c r="G72" s="2"/>
      <c r="H72" s="2"/>
      <c r="I72" s="2"/>
      <c r="J72" s="2"/>
    </row>
    <row r="73" customFormat="false" ht="25" hidden="false" customHeight="true" outlineLevel="0" collapsed="false">
      <c r="A73" s="1"/>
      <c r="B73" s="1"/>
      <c r="C73" s="1"/>
      <c r="D73" s="2"/>
      <c r="E73" s="2"/>
      <c r="F73" s="2"/>
      <c r="G73" s="2"/>
      <c r="H73" s="2"/>
      <c r="I73" s="2"/>
      <c r="J73" s="2"/>
    </row>
    <row r="74" customFormat="false" ht="25" hidden="false" customHeight="true" outlineLevel="0" collapsed="false">
      <c r="A74" s="1"/>
      <c r="B74" s="1"/>
      <c r="C74" s="1"/>
      <c r="D74" s="2"/>
      <c r="E74" s="2"/>
      <c r="F74" s="2"/>
      <c r="G74" s="2"/>
      <c r="H74" s="2"/>
      <c r="I74" s="2"/>
      <c r="J74" s="2"/>
    </row>
    <row r="75" customFormat="false" ht="25" hidden="false" customHeight="true" outlineLevel="0" collapsed="false">
      <c r="A75" s="1"/>
      <c r="B75" s="1"/>
      <c r="C75" s="1"/>
      <c r="D75" s="2"/>
      <c r="E75" s="2"/>
      <c r="F75" s="2"/>
      <c r="G75" s="2"/>
      <c r="H75" s="2"/>
      <c r="I75" s="2"/>
      <c r="J75" s="2"/>
    </row>
  </sheetData>
  <conditionalFormatting sqref="E38:E40">
    <cfRule type="cellIs" priority="2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9"/>
    <col collapsed="false" customWidth="true" hidden="false" outlineLevel="0" max="10" min="4" style="0" width="19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</row>
    <row r="2" customFormat="false" ht="25" hidden="false" customHeight="true" outlineLevel="0" collapsed="false">
      <c r="A2" s="1"/>
      <c r="B2" s="1"/>
      <c r="C2" s="3" t="s">
        <v>198</v>
      </c>
      <c r="D2" s="2"/>
      <c r="E2" s="2"/>
      <c r="F2" s="2"/>
      <c r="G2" s="2"/>
      <c r="H2" s="2"/>
      <c r="I2" s="2"/>
      <c r="J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</row>
    <row r="4" customFormat="false" ht="25" hidden="false" customHeight="true" outlineLevel="0" collapsed="false">
      <c r="A4" s="1"/>
      <c r="B4" s="1"/>
      <c r="C4" s="1" t="s">
        <v>116</v>
      </c>
      <c r="D4" s="2"/>
      <c r="E4" s="31" t="n">
        <f aca="false">Setup!E5</f>
        <v>8000</v>
      </c>
      <c r="F4" s="2"/>
      <c r="G4" s="2"/>
      <c r="H4" s="2"/>
      <c r="I4" s="2"/>
      <c r="J4" s="2"/>
    </row>
    <row r="5" customFormat="false" ht="25" hidden="false" customHeight="true" outlineLevel="0" collapsed="false">
      <c r="A5" s="1"/>
      <c r="B5" s="1"/>
      <c r="C5" s="1"/>
      <c r="D5" s="2"/>
      <c r="E5" s="2"/>
      <c r="F5" s="2"/>
      <c r="G5" s="2"/>
      <c r="H5" s="2"/>
      <c r="I5" s="2"/>
      <c r="J5" s="2"/>
    </row>
    <row r="6" customFormat="false" ht="25" hidden="false" customHeight="true" outlineLevel="0" collapsed="false">
      <c r="A6" s="1"/>
      <c r="B6" s="1"/>
      <c r="C6" s="9" t="s">
        <v>199</v>
      </c>
      <c r="D6" s="2"/>
      <c r="E6" s="2"/>
      <c r="F6" s="2"/>
      <c r="G6" s="2"/>
      <c r="H6" s="2"/>
      <c r="I6" s="2"/>
      <c r="J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</row>
    <row r="8" customFormat="false" ht="27" hidden="false" customHeight="true" outlineLevel="0" collapsed="false">
      <c r="A8" s="1"/>
      <c r="B8" s="1"/>
      <c r="C8" s="15" t="s">
        <v>200</v>
      </c>
      <c r="D8" s="16"/>
      <c r="E8" s="16"/>
      <c r="F8" s="16"/>
      <c r="G8" s="16"/>
      <c r="H8" s="16"/>
      <c r="I8" s="16"/>
      <c r="J8" s="2"/>
    </row>
    <row r="9" customFormat="false" ht="25" hidden="false" customHeight="true" outlineLevel="0" collapsed="false">
      <c r="A9" s="1"/>
      <c r="B9" s="1"/>
      <c r="C9" s="1" t="s">
        <v>201</v>
      </c>
      <c r="D9" s="2"/>
      <c r="E9" s="19" t="n">
        <f aca="false">Setup!E10</f>
        <v>76000</v>
      </c>
      <c r="F9" s="2"/>
      <c r="G9" s="2"/>
      <c r="H9" s="2"/>
      <c r="I9" s="2"/>
      <c r="J9" s="2"/>
    </row>
    <row r="10" customFormat="false" ht="25" hidden="false" customHeight="true" outlineLevel="0" collapsed="false">
      <c r="A10" s="1"/>
      <c r="B10" s="1"/>
      <c r="C10" s="1" t="s">
        <v>202</v>
      </c>
      <c r="D10" s="2"/>
      <c r="E10" s="43" t="n">
        <f aca="false">Setup!E11</f>
        <v>0.2</v>
      </c>
      <c r="F10" s="2"/>
      <c r="G10" s="2"/>
      <c r="H10" s="2"/>
      <c r="I10" s="2"/>
      <c r="J10" s="2"/>
    </row>
    <row r="11" customFormat="false" ht="25" hidden="false" customHeight="true" outlineLevel="0" collapsed="false">
      <c r="A11" s="1"/>
      <c r="B11" s="1"/>
      <c r="C11" s="1" t="s">
        <v>203</v>
      </c>
      <c r="D11" s="2"/>
      <c r="E11" s="26" t="n">
        <f aca="false">ROUND(E9*E10,0)</f>
        <v>15200</v>
      </c>
      <c r="F11" s="2"/>
      <c r="G11" s="2"/>
      <c r="H11" s="2"/>
      <c r="I11" s="2"/>
      <c r="J11" s="2"/>
    </row>
    <row r="12" customFormat="false" ht="25" hidden="false" customHeight="true" outlineLevel="0" collapsed="false">
      <c r="A12" s="1"/>
      <c r="B12" s="1"/>
      <c r="C12" s="1"/>
      <c r="D12" s="2"/>
      <c r="E12" s="2"/>
      <c r="F12" s="2"/>
      <c r="G12" s="2"/>
      <c r="H12" s="2"/>
      <c r="I12" s="2"/>
      <c r="J12" s="2"/>
    </row>
    <row r="13" customFormat="false" ht="25" hidden="false" customHeight="true" outlineLevel="0" collapsed="false">
      <c r="A13" s="1"/>
      <c r="B13" s="1"/>
      <c r="C13" s="1" t="s">
        <v>204</v>
      </c>
      <c r="D13" s="2"/>
      <c r="E13" s="19" t="n">
        <f aca="false">Setup!E5</f>
        <v>8000</v>
      </c>
      <c r="F13" s="2"/>
      <c r="G13" s="2"/>
      <c r="H13" s="2"/>
      <c r="I13" s="2"/>
      <c r="J13" s="2"/>
    </row>
    <row r="14" customFormat="false" ht="25" hidden="false" customHeight="true" outlineLevel="0" collapsed="false">
      <c r="A14" s="1"/>
      <c r="B14" s="1"/>
      <c r="C14" s="1" t="s">
        <v>205</v>
      </c>
      <c r="D14" s="2"/>
      <c r="E14" s="19" t="n">
        <f aca="false">'Existing customers'!D16</f>
        <v>1310</v>
      </c>
      <c r="F14" s="2"/>
      <c r="G14" s="2"/>
      <c r="H14" s="2"/>
      <c r="I14" s="2"/>
      <c r="J14" s="2"/>
    </row>
    <row r="15" customFormat="false" ht="25" hidden="false" customHeight="true" outlineLevel="0" collapsed="false">
      <c r="A15" s="1"/>
      <c r="B15" s="1"/>
      <c r="C15" s="1" t="s">
        <v>206</v>
      </c>
      <c r="D15" s="2"/>
      <c r="E15" s="19" t="n">
        <f aca="false">Survey!E35</f>
        <v>0</v>
      </c>
      <c r="F15" s="2"/>
      <c r="G15" s="2"/>
      <c r="H15" s="2"/>
      <c r="I15" s="2"/>
      <c r="J15" s="2"/>
    </row>
    <row r="16" customFormat="false" ht="25" hidden="false" customHeight="true" outlineLevel="0" collapsed="false">
      <c r="A16" s="1"/>
      <c r="B16" s="1"/>
      <c r="C16" s="1" t="s">
        <v>207</v>
      </c>
      <c r="D16" s="2"/>
      <c r="E16" s="26" t="n">
        <f aca="false">SUM(E14:E15)+E23</f>
        <v>1572</v>
      </c>
      <c r="F16" s="2"/>
      <c r="G16" s="2"/>
      <c r="H16" s="2"/>
      <c r="I16" s="2"/>
      <c r="J16" s="2"/>
    </row>
    <row r="17" customFormat="false" ht="25" hidden="false" customHeight="true" outlineLevel="0" collapsed="false">
      <c r="A17" s="1"/>
      <c r="B17" s="1"/>
      <c r="C17" s="1" t="s">
        <v>208</v>
      </c>
      <c r="D17" s="2"/>
      <c r="E17" s="26" t="n">
        <f aca="false">MAX(0,E13-E16)</f>
        <v>6428</v>
      </c>
      <c r="F17" s="2"/>
      <c r="G17" s="2" t="s">
        <v>209</v>
      </c>
      <c r="H17" s="2"/>
      <c r="I17" s="26" t="str">
        <f aca="false">IF(E16&gt;E13,"Over capacity",IF(E15&gt;E22,"Review usage","Ready"))</f>
        <v>Ready</v>
      </c>
      <c r="J17" s="2"/>
    </row>
    <row r="18" customFormat="false" ht="25" hidden="false" customHeight="true" outlineLevel="0" collapsed="false">
      <c r="A18" s="1"/>
      <c r="B18" s="1"/>
      <c r="C18" s="1" t="s">
        <v>210</v>
      </c>
      <c r="D18" s="2"/>
      <c r="E18" s="26" t="n">
        <f aca="false">MAX(0,E16-E13)</f>
        <v>0</v>
      </c>
      <c r="F18" s="2"/>
      <c r="G18" s="2"/>
      <c r="H18" s="2"/>
      <c r="I18" s="2"/>
      <c r="J18" s="2"/>
    </row>
    <row r="19" customFormat="false" ht="25" hidden="false" customHeight="true" outlineLevel="0" collapsed="false">
      <c r="A19" s="1"/>
      <c r="B19" s="1"/>
      <c r="C19" s="1" t="s">
        <v>211</v>
      </c>
      <c r="D19" s="2"/>
      <c r="E19" s="27" t="n">
        <f aca="false">IF(E11=0,"n.a.",E13/E11)</f>
        <v>0.526315789473684</v>
      </c>
      <c r="F19" s="2"/>
      <c r="G19" s="2"/>
      <c r="H19" s="2"/>
      <c r="I19" s="2"/>
      <c r="J19" s="2"/>
    </row>
    <row r="20" customFormat="false" ht="25" hidden="false" customHeight="true" outlineLevel="0" collapsed="false">
      <c r="A20" s="1"/>
      <c r="B20" s="1"/>
      <c r="C20" s="1" t="s">
        <v>212</v>
      </c>
      <c r="D20" s="2"/>
      <c r="E20" s="26" t="n">
        <f aca="false">MAX(0,E11-E13)</f>
        <v>7200</v>
      </c>
      <c r="F20" s="2"/>
      <c r="G20" s="2"/>
      <c r="H20" s="2"/>
      <c r="I20" s="2"/>
      <c r="J20" s="2"/>
    </row>
    <row r="21" customFormat="false" ht="25" hidden="false" customHeight="true" outlineLevel="0" collapsed="false">
      <c r="A21" s="1"/>
      <c r="B21" s="1"/>
      <c r="C21" s="1" t="s">
        <v>213</v>
      </c>
      <c r="D21" s="2"/>
      <c r="E21" s="26" t="n">
        <f aca="false">MAX(0,E13-E14-E23)</f>
        <v>6428</v>
      </c>
      <c r="F21" s="2"/>
      <c r="G21" s="2"/>
      <c r="H21" s="2"/>
      <c r="I21" s="2"/>
      <c r="J21" s="2"/>
    </row>
    <row r="22" customFormat="false" ht="25" hidden="false" customHeight="true" outlineLevel="0" collapsed="false">
      <c r="A22" s="1"/>
      <c r="B22" s="1"/>
      <c r="C22" s="1" t="s">
        <v>214</v>
      </c>
      <c r="D22" s="2"/>
      <c r="E22" s="19" t="n">
        <f aca="false">ROUND(E21*Setup!E13,0)</f>
        <v>6428</v>
      </c>
      <c r="F22" s="2"/>
      <c r="G22" s="2"/>
      <c r="H22" s="2"/>
      <c r="I22" s="2"/>
      <c r="J22" s="2"/>
    </row>
    <row r="23" customFormat="false" ht="25" hidden="false" customHeight="true" outlineLevel="0" collapsed="false">
      <c r="A23" s="1"/>
      <c r="B23" s="1"/>
      <c r="C23" s="1" t="s">
        <v>215</v>
      </c>
      <c r="D23" s="2"/>
      <c r="E23" s="19" t="n">
        <f aca="false">ROUND(E14*Setup!E67,0)</f>
        <v>262</v>
      </c>
      <c r="F23" s="2"/>
      <c r="G23" s="2"/>
      <c r="H23" s="2"/>
      <c r="I23" s="2"/>
      <c r="J23" s="2"/>
    </row>
    <row r="24" customFormat="false" ht="25" hidden="false" customHeight="true" outlineLevel="0" collapsed="false">
      <c r="A24" s="1"/>
      <c r="B24" s="1"/>
      <c r="C24" s="1"/>
      <c r="D24" s="2"/>
      <c r="E24" s="2"/>
      <c r="F24" s="2"/>
      <c r="G24" s="2"/>
      <c r="H24" s="2"/>
      <c r="I24" s="2"/>
      <c r="J24" s="2"/>
    </row>
    <row r="25" customFormat="false" ht="40" hidden="false" customHeight="true" outlineLevel="0" collapsed="false">
      <c r="A25" s="1"/>
      <c r="B25" s="1"/>
      <c r="C25" s="10" t="s">
        <v>216</v>
      </c>
      <c r="D25" s="11" t="s">
        <v>217</v>
      </c>
      <c r="E25" s="11" t="s">
        <v>218</v>
      </c>
      <c r="F25" s="11" t="s">
        <v>219</v>
      </c>
      <c r="G25" s="11" t="s">
        <v>220</v>
      </c>
      <c r="H25" s="11" t="s">
        <v>221</v>
      </c>
      <c r="I25" s="11" t="s">
        <v>222</v>
      </c>
      <c r="J25" s="2"/>
    </row>
    <row r="26" customFormat="false" ht="25" hidden="false" customHeight="true" outlineLevel="0" collapsed="false">
      <c r="A26" s="1"/>
      <c r="B26" s="1"/>
      <c r="C26" s="1" t="s">
        <v>223</v>
      </c>
      <c r="D26" s="43" t="n">
        <f aca="false">Setup!E67</f>
        <v>0.2</v>
      </c>
      <c r="E26" s="43" t="n">
        <f aca="false">Setup!E68</f>
        <v>0.05</v>
      </c>
      <c r="F26" s="43" t="n">
        <f aca="false">Setup!E68</f>
        <v>0.05</v>
      </c>
      <c r="G26" s="43" t="n">
        <f aca="false">Setup!E68</f>
        <v>0.05</v>
      </c>
      <c r="H26" s="43" t="n">
        <f aca="false">Setup!E68</f>
        <v>0.05</v>
      </c>
      <c r="I26" s="2"/>
      <c r="J26" s="2"/>
    </row>
    <row r="27" customFormat="false" ht="25" hidden="false" customHeight="true" outlineLevel="0" collapsed="false">
      <c r="A27" s="1"/>
      <c r="B27" s="1"/>
      <c r="C27" s="1" t="s">
        <v>224</v>
      </c>
      <c r="D27" s="27" t="n">
        <f aca="false">0</f>
        <v>0</v>
      </c>
      <c r="E27" s="43" t="n">
        <f aca="false">Setup!E68</f>
        <v>0.05</v>
      </c>
      <c r="F27" s="43" t="n">
        <f aca="false">Setup!E68</f>
        <v>0.05</v>
      </c>
      <c r="G27" s="43" t="n">
        <f aca="false">Setup!E68</f>
        <v>0.05</v>
      </c>
      <c r="H27" s="43" t="n">
        <f aca="false">Setup!E68</f>
        <v>0.05</v>
      </c>
      <c r="I27" s="2"/>
      <c r="J27" s="2"/>
    </row>
    <row r="28" customFormat="false" ht="25" hidden="false" customHeight="true" outlineLevel="0" collapsed="false">
      <c r="A28" s="1"/>
      <c r="B28" s="1"/>
      <c r="C28" s="1" t="s">
        <v>225</v>
      </c>
      <c r="D28" s="26" t="n">
        <f aca="false">$E$14+$E$23</f>
        <v>1572</v>
      </c>
      <c r="E28" s="26" t="n">
        <f aca="false">ROUND(D28*(1+E26),0)</f>
        <v>1651</v>
      </c>
      <c r="F28" s="26" t="n">
        <f aca="false">ROUND(E28*(1+F26),0)</f>
        <v>1734</v>
      </c>
      <c r="G28" s="26" t="n">
        <f aca="false">ROUND(F28*(1+G26),0)</f>
        <v>1821</v>
      </c>
      <c r="H28" s="26" t="n">
        <f aca="false">ROUND(G28*(1+H26),0)</f>
        <v>1912</v>
      </c>
      <c r="I28" s="2"/>
      <c r="J28" s="2"/>
    </row>
    <row r="29" customFormat="false" ht="25" hidden="false" customHeight="true" outlineLevel="0" collapsed="false">
      <c r="A29" s="1"/>
      <c r="B29" s="1"/>
      <c r="C29" s="1" t="s">
        <v>226</v>
      </c>
      <c r="D29" s="26" t="n">
        <f aca="false">$E$71</f>
        <v>4921</v>
      </c>
      <c r="E29" s="26" t="n">
        <f aca="false">ROUND(D29*(1+E27),0)</f>
        <v>5167</v>
      </c>
      <c r="F29" s="26" t="n">
        <f aca="false">ROUND(E29*(1+F27),0)</f>
        <v>5425</v>
      </c>
      <c r="G29" s="26" t="n">
        <f aca="false">ROUND(F29*(1+G27),0)</f>
        <v>5696</v>
      </c>
      <c r="H29" s="26" t="n">
        <f aca="false">ROUND(G29*(1+H27),0)</f>
        <v>5981</v>
      </c>
      <c r="I29" s="2"/>
      <c r="J29" s="2"/>
    </row>
    <row r="30" customFormat="false" ht="25" hidden="false" customHeight="true" outlineLevel="0" collapsed="false">
      <c r="A30" s="1"/>
      <c r="B30" s="1"/>
      <c r="C30" s="1" t="s">
        <v>227</v>
      </c>
      <c r="D30" s="26" t="n">
        <f aca="false">$E$72</f>
        <v>1507</v>
      </c>
      <c r="E30" s="26" t="n">
        <f aca="false">ROUND(D30*(1+E27),0)</f>
        <v>1582</v>
      </c>
      <c r="F30" s="26" t="n">
        <f aca="false">ROUND(E30*(1+F27),0)</f>
        <v>1661</v>
      </c>
      <c r="G30" s="26" t="n">
        <f aca="false">ROUND(F30*(1+G27),0)</f>
        <v>1744</v>
      </c>
      <c r="H30" s="26" t="n">
        <f aca="false">ROUND(G30*(1+H27),0)</f>
        <v>1831</v>
      </c>
      <c r="I30" s="2"/>
      <c r="J30" s="2"/>
    </row>
    <row r="31" customFormat="false" ht="25" hidden="false" customHeight="true" outlineLevel="0" collapsed="false">
      <c r="A31" s="1"/>
      <c r="B31" s="1"/>
      <c r="C31" s="13" t="s">
        <v>228</v>
      </c>
      <c r="D31" s="33" t="n">
        <f aca="false">SUM(D28:D30)</f>
        <v>8000</v>
      </c>
      <c r="E31" s="33" t="n">
        <f aca="false">SUM(E28:E30)</f>
        <v>8400</v>
      </c>
      <c r="F31" s="33" t="n">
        <f aca="false">SUM(F28:F30)</f>
        <v>8820</v>
      </c>
      <c r="G31" s="33" t="n">
        <f aca="false">SUM(G28:G30)</f>
        <v>9261</v>
      </c>
      <c r="H31" s="33" t="n">
        <f aca="false">SUM(H28:H30)</f>
        <v>9724</v>
      </c>
      <c r="I31" s="14"/>
      <c r="J31" s="2"/>
    </row>
    <row r="32" customFormat="false" ht="25" hidden="false" customHeight="true" outlineLevel="0" collapsed="false">
      <c r="A32" s="1"/>
      <c r="B32" s="1"/>
      <c r="C32" s="13" t="s">
        <v>229</v>
      </c>
      <c r="D32" s="33" t="n">
        <f aca="false">MAX($E$13,D31)</f>
        <v>8000</v>
      </c>
      <c r="E32" s="33" t="n">
        <f aca="false">MAX($E$13,E31)</f>
        <v>8400</v>
      </c>
      <c r="F32" s="33" t="n">
        <f aca="false">MAX($E$13,F31)</f>
        <v>8820</v>
      </c>
      <c r="G32" s="33" t="n">
        <f aca="false">MAX($E$13,G31)</f>
        <v>9261</v>
      </c>
      <c r="H32" s="33" t="n">
        <f aca="false">MAX($E$13,H31)</f>
        <v>9724</v>
      </c>
      <c r="I32" s="14"/>
      <c r="J32" s="2"/>
    </row>
    <row r="33" customFormat="false" ht="25" hidden="false" customHeight="true" outlineLevel="0" collapsed="false">
      <c r="A33" s="1"/>
      <c r="B33" s="1"/>
      <c r="C33" s="1" t="s">
        <v>230</v>
      </c>
      <c r="D33" s="32" t="n">
        <f aca="false">Setup!$E$18</f>
        <v>1327.5</v>
      </c>
      <c r="E33" s="32" t="n">
        <f aca="false">Setup!$E$18</f>
        <v>1327.5</v>
      </c>
      <c r="F33" s="32" t="n">
        <f aca="false">Setup!$E$18</f>
        <v>1327.5</v>
      </c>
      <c r="G33" s="32" t="n">
        <f aca="false">Setup!$E$18</f>
        <v>1327.5</v>
      </c>
      <c r="H33" s="32" t="n">
        <f aca="false">Setup!$E$18</f>
        <v>1327.5</v>
      </c>
      <c r="I33" s="2"/>
      <c r="J33" s="2"/>
    </row>
    <row r="34" customFormat="false" ht="25" hidden="false" customHeight="true" outlineLevel="0" collapsed="false">
      <c r="A34" s="1"/>
      <c r="B34" s="1"/>
      <c r="C34" s="1"/>
      <c r="D34" s="2"/>
      <c r="E34" s="2"/>
      <c r="F34" s="2"/>
      <c r="G34" s="2"/>
      <c r="H34" s="2"/>
      <c r="I34" s="2"/>
      <c r="J34" s="2"/>
    </row>
    <row r="35" customFormat="false" ht="25" hidden="false" customHeight="true" outlineLevel="0" collapsed="false">
      <c r="A35" s="1"/>
      <c r="B35" s="1"/>
      <c r="C35" s="1" t="s">
        <v>231</v>
      </c>
      <c r="D35" s="19" t="n">
        <f aca="false">IF($E$14=0,0,'Existing customers'!$G$16*D28/$E$14)*(1+Setup!$E$12)^0</f>
        <v>2315003.7</v>
      </c>
      <c r="E35" s="19" t="n">
        <f aca="false">IF($E$14=0,0,'Existing customers'!$G$16*E28/$E$14)*(1+Setup!$E$12)^1</f>
        <v>2431342.94446565</v>
      </c>
      <c r="F35" s="19" t="n">
        <f aca="false">IF($E$14=0,0,'Existing customers'!$G$16*F28/$E$14)*(1+Setup!$E$12)^2</f>
        <v>2553572.78358779</v>
      </c>
      <c r="G35" s="19" t="n">
        <f aca="false">IF($E$14=0,0,'Existing customers'!$G$16*G28/$E$14)*(1+Setup!$E$12)^3</f>
        <v>2681693.21736641</v>
      </c>
      <c r="H35" s="19" t="n">
        <f aca="false">IF($E$14=0,0,'Existing customers'!$G$16*H28/$E$14)*(1+Setup!$E$12)^4</f>
        <v>2815704.24580153</v>
      </c>
      <c r="I35" s="26" t="n">
        <f aca="false">IF(COUNT(D35:H35)=5,SUM(D35:H35),"n.a.")</f>
        <v>12797316.8912214</v>
      </c>
      <c r="J35" s="2"/>
    </row>
    <row r="36" customFormat="false" ht="25" hidden="false" customHeight="true" outlineLevel="0" collapsed="false">
      <c r="A36" s="1"/>
      <c r="B36" s="1"/>
      <c r="C36" s="1" t="s">
        <v>232</v>
      </c>
      <c r="D36" s="19" t="n">
        <f aca="false">IF($E$79="Modeled adoption",IF($D$29=0,0,($E$83+($D$29-$E$80)*Setup!$E$8)*D29/$D$29)*(1+Setup!$E$12)^0,"n.a.")</f>
        <v>14516950</v>
      </c>
      <c r="E36" s="19" t="n">
        <f aca="false">IF($E$79="Modeled adoption",IF($D$29=0,0,($E$83+($D$29-$E$80)*Setup!$E$8)*E29/$D$29)*(1+Setup!$E$12)^1,"n.a.")</f>
        <v>15242650</v>
      </c>
      <c r="F36" s="19" t="n">
        <f aca="false">IF($E$79="Modeled adoption",IF($D$29=0,0,($E$83+($D$29-$E$80)*Setup!$E$8)*F29/$D$29)*(1+Setup!$E$12)^2,"n.a.")</f>
        <v>16003750</v>
      </c>
      <c r="G36" s="19" t="n">
        <f aca="false">IF($E$79="Modeled adoption",IF($D$29=0,0,($E$83+($D$29-$E$80)*Setup!$E$8)*G29/$D$29)*(1+Setup!$E$12)^3,"n.a.")</f>
        <v>16803200</v>
      </c>
      <c r="H36" s="19" t="n">
        <f aca="false">IF($E$79="Modeled adoption",IF($D$29=0,0,($E$83+($D$29-$E$80)*Setup!$E$8)*H29/$D$29)*(1+Setup!$E$12)^4,"n.a.")</f>
        <v>17643950</v>
      </c>
      <c r="I36" s="26" t="n">
        <f aca="false">IF(COUNT(D36:H36)=5,SUM(D36:H36),"n.a.")</f>
        <v>80210500</v>
      </c>
      <c r="J36" s="2"/>
    </row>
    <row r="37" customFormat="false" ht="25" hidden="false" customHeight="true" outlineLevel="0" collapsed="false">
      <c r="A37" s="1"/>
      <c r="B37" s="1"/>
      <c r="C37" s="1" t="s">
        <v>233</v>
      </c>
      <c r="D37" s="19" t="n">
        <f aca="false">IF($E$79="Modeled adoption",IF($D$30=0,0,(IF(Survey!$E$34=0,0,Survey!$E$36)-$E$83+($D$30-$E$82)*Setup!$E$8)*D30/$D$30)*(1+Setup!$E$12)^0,"n.a.")</f>
        <v>4445650</v>
      </c>
      <c r="E37" s="19" t="n">
        <f aca="false">IF($E$79="Modeled adoption",IF($D$30=0,0,(IF(Survey!$E$34=0,0,Survey!$E$36)-$E$83+($D$30-$E$82)*Setup!$E$8)*E30/$D$30)*(1+Setup!$E$12)^1,"n.a.")</f>
        <v>4666900</v>
      </c>
      <c r="F37" s="19" t="n">
        <f aca="false">IF($E$79="Modeled adoption",IF($D$30=0,0,(IF(Survey!$E$34=0,0,Survey!$E$36)-$E$83+($D$30-$E$82)*Setup!$E$8)*F30/$D$30)*(1+Setup!$E$12)^2,"n.a.")</f>
        <v>4899950</v>
      </c>
      <c r="G37" s="19" t="n">
        <f aca="false">IF($E$79="Modeled adoption",IF($D$30=0,0,(IF(Survey!$E$34=0,0,Survey!$E$36)-$E$83+($D$30-$E$82)*Setup!$E$8)*G30/$D$30)*(1+Setup!$E$12)^3,"n.a.")</f>
        <v>5144800</v>
      </c>
      <c r="H37" s="19" t="n">
        <f aca="false">IF($E$79="Modeled adoption",IF($D$30=0,0,(IF(Survey!$E$34=0,0,Survey!$E$36)-$E$83+($D$30-$E$82)*Setup!$E$8)*H30/$D$30)*(1+Setup!$E$12)^4,"n.a.")</f>
        <v>5401450</v>
      </c>
      <c r="I37" s="26" t="n">
        <f aca="false">IF(COUNT(D37:H37)=5,SUM(D37:H37),"n.a.")</f>
        <v>24558750</v>
      </c>
      <c r="J37" s="2"/>
    </row>
    <row r="38" customFormat="false" ht="25" hidden="false" customHeight="true" outlineLevel="0" collapsed="false">
      <c r="A38" s="1"/>
      <c r="B38" s="1"/>
      <c r="C38" s="13" t="s">
        <v>234</v>
      </c>
      <c r="D38" s="33" t="n">
        <f aca="false">IF(AND($I$17="Ready",COUNT(D35:D37)=3),SUM(D35:D37),"n.a.")</f>
        <v>21277603.7</v>
      </c>
      <c r="E38" s="33" t="n">
        <f aca="false">IF(AND($I$17="Ready",COUNT(E35:E37)=3),SUM(E35:E37),"n.a.")</f>
        <v>22340892.9444657</v>
      </c>
      <c r="F38" s="33" t="n">
        <f aca="false">IF(AND($I$17="Ready",COUNT(F35:F37)=3),SUM(F35:F37),"n.a.")</f>
        <v>23457272.7835878</v>
      </c>
      <c r="G38" s="33" t="n">
        <f aca="false">IF(AND($I$17="Ready",COUNT(G35:G37)=3),SUM(G35:G37),"n.a.")</f>
        <v>24629693.2173664</v>
      </c>
      <c r="H38" s="33" t="n">
        <f aca="false">IF(AND($I$17="Ready",COUNT(H35:H37)=3),SUM(H35:H37),"n.a.")</f>
        <v>25861104.2458015</v>
      </c>
      <c r="I38" s="33" t="n">
        <f aca="false">IF(COUNT(D38:H38)=5,SUM(D38:H38),"n.a.")</f>
        <v>117566566.891221</v>
      </c>
      <c r="J38" s="2"/>
    </row>
    <row r="39" customFormat="false" ht="25" hidden="false" customHeight="true" outlineLevel="0" collapsed="false">
      <c r="A39" s="1"/>
      <c r="B39" s="1"/>
      <c r="C39" s="1" t="s">
        <v>235</v>
      </c>
      <c r="D39" s="26" t="n">
        <f aca="false">D32*D33</f>
        <v>10620000</v>
      </c>
      <c r="E39" s="26" t="n">
        <f aca="false">E32*E33</f>
        <v>11151000</v>
      </c>
      <c r="F39" s="26" t="n">
        <f aca="false">F32*F33</f>
        <v>11708550</v>
      </c>
      <c r="G39" s="26" t="n">
        <f aca="false">G32*G33</f>
        <v>12293977.5</v>
      </c>
      <c r="H39" s="26" t="n">
        <f aca="false">H32*H33</f>
        <v>12908610</v>
      </c>
      <c r="I39" s="26" t="n">
        <f aca="false">IF(COUNT(D39:H39)=5,SUM(D39:H39),"n.a.")</f>
        <v>58682137.5</v>
      </c>
      <c r="J39" s="2"/>
    </row>
    <row r="40" customFormat="false" ht="25" hidden="false" customHeight="true" outlineLevel="0" collapsed="false">
      <c r="A40" s="1"/>
      <c r="B40" s="1"/>
      <c r="C40" s="13" t="s">
        <v>236</v>
      </c>
      <c r="D40" s="33" t="n">
        <f aca="false">IF(ISNUMBER(D38),D38-D39,"n.a.")</f>
        <v>10657603.7</v>
      </c>
      <c r="E40" s="33" t="n">
        <f aca="false">IF(ISNUMBER(E38),E38-E39,"n.a.")</f>
        <v>11189892.9444657</v>
      </c>
      <c r="F40" s="33" t="n">
        <f aca="false">IF(ISNUMBER(F38),F38-F39,"n.a.")</f>
        <v>11748722.7835878</v>
      </c>
      <c r="G40" s="33" t="n">
        <f aca="false">IF(ISNUMBER(G38),G38-G39,"n.a.")</f>
        <v>12335715.7173664</v>
      </c>
      <c r="H40" s="33" t="n">
        <f aca="false">IF(ISNUMBER(H38),H38-H39,"n.a.")</f>
        <v>12952494.2458015</v>
      </c>
      <c r="I40" s="33" t="n">
        <f aca="false">IF(COUNT(D40:H40)=5,SUM(D40:H40),"n.a.")</f>
        <v>58884429.3912214</v>
      </c>
      <c r="J40" s="2"/>
    </row>
    <row r="41" customFormat="false" ht="25" hidden="false" customHeight="true" outlineLevel="0" collapsed="false">
      <c r="A41" s="1"/>
      <c r="B41" s="1"/>
      <c r="C41" s="1" t="s">
        <v>237</v>
      </c>
      <c r="D41" s="19" t="n">
        <f aca="false">D39*Setup!$E$17</f>
        <v>1699200</v>
      </c>
      <c r="E41" s="19" t="n">
        <f aca="false">E39*Setup!$E$17</f>
        <v>1784160</v>
      </c>
      <c r="F41" s="19" t="n">
        <f aca="false">F39*Setup!$E$17</f>
        <v>1873368</v>
      </c>
      <c r="G41" s="19" t="n">
        <f aca="false">G39*Setup!$E$17</f>
        <v>1967036.4</v>
      </c>
      <c r="H41" s="19" t="n">
        <f aca="false">H39*Setup!$E$17</f>
        <v>2065377.6</v>
      </c>
      <c r="I41" s="26" t="n">
        <f aca="false">IF(COUNT(D41:H41)=5,SUM(D41:H41),"n.a.")</f>
        <v>9389142</v>
      </c>
      <c r="J41" s="2"/>
    </row>
    <row r="42" customFormat="false" ht="25" hidden="false" customHeight="true" outlineLevel="0" collapsed="false">
      <c r="A42" s="1"/>
      <c r="B42" s="1"/>
      <c r="C42" s="1"/>
      <c r="D42" s="2"/>
      <c r="E42" s="2"/>
      <c r="F42" s="2"/>
      <c r="G42" s="2"/>
      <c r="H42" s="2"/>
      <c r="I42" s="2"/>
      <c r="J42" s="2"/>
    </row>
    <row r="43" customFormat="false" ht="27" hidden="false" customHeight="true" outlineLevel="0" collapsed="false">
      <c r="A43" s="1"/>
      <c r="B43" s="1"/>
      <c r="C43" s="15" t="s">
        <v>238</v>
      </c>
      <c r="D43" s="16"/>
      <c r="E43" s="16"/>
      <c r="F43" s="16"/>
      <c r="G43" s="16"/>
      <c r="H43" s="16"/>
      <c r="I43" s="16"/>
      <c r="J43" s="2"/>
    </row>
    <row r="44" customFormat="false" ht="25" hidden="false" customHeight="true" outlineLevel="0" collapsed="false">
      <c r="A44" s="1"/>
      <c r="B44" s="1"/>
      <c r="C44" s="1"/>
      <c r="D44" s="2"/>
      <c r="E44" s="2"/>
      <c r="F44" s="2"/>
      <c r="G44" s="2"/>
      <c r="H44" s="2"/>
      <c r="I44" s="2"/>
      <c r="J44" s="2"/>
    </row>
    <row r="45" customFormat="false" ht="25" hidden="false" customHeight="true" outlineLevel="0" collapsed="false">
      <c r="A45" s="1"/>
      <c r="B45" s="1"/>
      <c r="C45" s="1" t="s">
        <v>239</v>
      </c>
      <c r="D45" s="2"/>
      <c r="E45" s="26" t="n">
        <f aca="false">E11</f>
        <v>15200</v>
      </c>
      <c r="F45" s="2"/>
      <c r="G45" s="2"/>
      <c r="H45" s="2"/>
      <c r="I45" s="2"/>
      <c r="J45" s="2"/>
    </row>
    <row r="46" customFormat="false" ht="25" hidden="false" customHeight="true" outlineLevel="0" collapsed="false">
      <c r="A46" s="1"/>
      <c r="B46" s="1"/>
      <c r="C46" s="1" t="s">
        <v>240</v>
      </c>
      <c r="D46" s="2"/>
      <c r="E46" s="43" t="n">
        <f aca="false">IF(E45=0,0,INDEX(Setup!F27:F33,MATCH(E45,Setup!D27:D33,1)))</f>
        <v>0.65</v>
      </c>
      <c r="F46" s="2"/>
      <c r="G46" s="2"/>
      <c r="H46" s="2"/>
      <c r="I46" s="2"/>
      <c r="J46" s="2"/>
    </row>
    <row r="47" customFormat="false" ht="25" hidden="false" customHeight="true" outlineLevel="0" collapsed="false">
      <c r="A47" s="1"/>
      <c r="B47" s="1"/>
      <c r="C47" s="1" t="s">
        <v>70</v>
      </c>
      <c r="D47" s="2"/>
      <c r="E47" s="32" t="n">
        <f aca="false">Setup!E8*(1-E46)</f>
        <v>1032.5</v>
      </c>
      <c r="F47" s="2"/>
      <c r="G47" s="2"/>
      <c r="H47" s="2"/>
      <c r="I47" s="2"/>
      <c r="J47" s="2"/>
    </row>
    <row r="48" customFormat="false" ht="25" hidden="false" customHeight="true" outlineLevel="0" collapsed="false">
      <c r="A48" s="1"/>
      <c r="B48" s="1"/>
      <c r="C48" s="1" t="s">
        <v>241</v>
      </c>
      <c r="D48" s="2"/>
      <c r="E48" s="43" t="n">
        <f aca="false">IF(E45=0,0,INDEX(Setup!G27:G33,MATCH(E45,Setup!D27:D33,1)))</f>
        <v>0.12</v>
      </c>
      <c r="F48" s="2"/>
      <c r="G48" s="2"/>
      <c r="H48" s="2"/>
      <c r="I48" s="2"/>
      <c r="J48" s="2"/>
    </row>
    <row r="49" customFormat="false" ht="25" hidden="false" customHeight="true" outlineLevel="0" collapsed="false">
      <c r="A49" s="1"/>
      <c r="B49" s="1"/>
      <c r="C49" s="1" t="s">
        <v>242</v>
      </c>
      <c r="D49" s="2"/>
      <c r="E49" s="26" t="n">
        <f aca="false">E45*E47</f>
        <v>15694000</v>
      </c>
      <c r="F49" s="2"/>
      <c r="G49" s="2"/>
      <c r="H49" s="2"/>
      <c r="I49" s="2"/>
      <c r="J49" s="2"/>
    </row>
    <row r="50" customFormat="false" ht="25" hidden="false" customHeight="true" outlineLevel="0" collapsed="false">
      <c r="A50" s="1"/>
      <c r="B50" s="1"/>
      <c r="C50" s="1" t="s">
        <v>243</v>
      </c>
      <c r="D50" s="2"/>
      <c r="E50" s="26" t="n">
        <f aca="false">E49*E48</f>
        <v>1883280</v>
      </c>
      <c r="F50" s="2"/>
      <c r="G50" s="2"/>
      <c r="H50" s="2"/>
      <c r="I50" s="2"/>
      <c r="J50" s="2"/>
    </row>
    <row r="51" customFormat="false" ht="25" hidden="false" customHeight="true" outlineLevel="0" collapsed="false">
      <c r="A51" s="1"/>
      <c r="B51" s="1"/>
      <c r="C51" s="1"/>
      <c r="D51" s="2"/>
      <c r="E51" s="2"/>
      <c r="F51" s="2"/>
      <c r="G51" s="2"/>
      <c r="H51" s="2"/>
      <c r="I51" s="2"/>
      <c r="J51" s="2"/>
    </row>
    <row r="52" customFormat="false" ht="25" hidden="false" customHeight="true" outlineLevel="0" collapsed="false">
      <c r="A52" s="1"/>
      <c r="B52" s="1"/>
      <c r="C52" s="1" t="s">
        <v>244</v>
      </c>
      <c r="D52" s="2"/>
      <c r="E52" s="19" t="n">
        <f aca="false">IF(E45&lt;E16,"n.a.",'Existing customers'!G16*(1+Setup!E67)+IF(Survey!E34=0,0,Survey!E36)+MAX(0,E45-E16)*Setup!E8)</f>
        <v>42517603.7</v>
      </c>
      <c r="F52" s="2"/>
      <c r="G52" s="2"/>
      <c r="H52" s="2"/>
      <c r="I52" s="2"/>
      <c r="J52" s="2"/>
    </row>
    <row r="53" customFormat="false" ht="25" hidden="false" customHeight="true" outlineLevel="0" collapsed="false">
      <c r="A53" s="1"/>
      <c r="B53" s="1"/>
      <c r="C53" s="1" t="s">
        <v>175</v>
      </c>
      <c r="D53" s="2"/>
      <c r="E53" s="26" t="n">
        <f aca="false">IF(ISNUMBER(E52),E52-E49,"n.a.")</f>
        <v>26823603.7</v>
      </c>
      <c r="F53" s="2"/>
      <c r="G53" s="2"/>
      <c r="H53" s="2"/>
      <c r="I53" s="2"/>
      <c r="J53" s="2"/>
    </row>
    <row r="54" customFormat="false" ht="25" hidden="false" customHeight="true" outlineLevel="0" collapsed="false">
      <c r="A54" s="1"/>
      <c r="B54" s="1"/>
      <c r="C54" s="1"/>
      <c r="D54" s="2"/>
      <c r="E54" s="2"/>
      <c r="F54" s="2"/>
      <c r="G54" s="2"/>
      <c r="H54" s="2"/>
      <c r="I54" s="2"/>
      <c r="J54" s="2"/>
    </row>
    <row r="55" customFormat="false" ht="25" hidden="false" customHeight="true" outlineLevel="0" collapsed="false">
      <c r="A55" s="1"/>
      <c r="B55" s="1"/>
      <c r="C55" s="1"/>
      <c r="D55" s="2"/>
      <c r="E55" s="2"/>
      <c r="F55" s="2"/>
      <c r="G55" s="2"/>
      <c r="H55" s="2"/>
      <c r="I55" s="2"/>
      <c r="J55" s="2"/>
    </row>
    <row r="56" customFormat="false" ht="25" hidden="false" customHeight="true" outlineLevel="0" collapsed="false">
      <c r="A56" s="1"/>
      <c r="B56" s="1"/>
      <c r="C56" s="9" t="s">
        <v>245</v>
      </c>
      <c r="D56" s="2"/>
      <c r="E56" s="2"/>
      <c r="F56" s="2"/>
      <c r="G56" s="2"/>
      <c r="H56" s="2"/>
      <c r="I56" s="2"/>
      <c r="J56" s="2"/>
    </row>
    <row r="57" customFormat="false" ht="25" hidden="false" customHeight="true" outlineLevel="0" collapsed="false">
      <c r="A57" s="1"/>
      <c r="B57" s="1"/>
      <c r="C57" s="9" t="s">
        <v>246</v>
      </c>
      <c r="D57" s="2"/>
      <c r="E57" s="2"/>
      <c r="F57" s="2"/>
      <c r="G57" s="2"/>
      <c r="H57" s="2"/>
      <c r="I57" s="2"/>
      <c r="J57" s="2"/>
    </row>
    <row r="58" customFormat="false" ht="25" hidden="false" customHeight="true" outlineLevel="0" collapsed="false">
      <c r="A58" s="1"/>
      <c r="B58" s="1"/>
      <c r="C58" s="1"/>
      <c r="D58" s="2"/>
      <c r="E58" s="2"/>
      <c r="F58" s="2"/>
      <c r="G58" s="2"/>
      <c r="H58" s="2"/>
      <c r="I58" s="2"/>
      <c r="J58" s="2"/>
    </row>
    <row r="59" customFormat="false" ht="25" hidden="false" customHeight="true" outlineLevel="0" collapsed="false">
      <c r="A59" s="1"/>
      <c r="B59" s="1"/>
      <c r="C59" s="1"/>
      <c r="D59" s="2"/>
      <c r="E59" s="2"/>
      <c r="F59" s="2"/>
      <c r="G59" s="2"/>
      <c r="H59" s="2"/>
      <c r="I59" s="2"/>
      <c r="J59" s="2"/>
    </row>
    <row r="60" customFormat="false" ht="25" hidden="false" customHeight="true" outlineLevel="0" collapsed="false">
      <c r="A60" s="1"/>
      <c r="B60" s="1"/>
      <c r="C60" s="1"/>
      <c r="D60" s="2"/>
      <c r="E60" s="2"/>
      <c r="F60" s="2"/>
      <c r="G60" s="2"/>
      <c r="H60" s="2"/>
      <c r="I60" s="2"/>
      <c r="J60" s="2"/>
    </row>
    <row r="61" customFormat="false" ht="25" hidden="false" customHeight="true" outlineLevel="0" collapsed="false">
      <c r="A61" s="1"/>
      <c r="B61" s="1"/>
      <c r="C61" s="1"/>
      <c r="D61" s="2"/>
      <c r="E61" s="2"/>
      <c r="F61" s="2"/>
      <c r="G61" s="2"/>
      <c r="H61" s="2"/>
      <c r="I61" s="2"/>
      <c r="J61" s="2"/>
    </row>
    <row r="62" customFormat="false" ht="27" hidden="false" customHeight="true" outlineLevel="0" collapsed="false">
      <c r="A62" s="1"/>
      <c r="B62" s="1"/>
      <c r="C62" s="15" t="s">
        <v>247</v>
      </c>
      <c r="D62" s="16"/>
      <c r="E62" s="16"/>
      <c r="F62" s="16"/>
      <c r="G62" s="16"/>
      <c r="H62" s="16"/>
      <c r="I62" s="16"/>
      <c r="J62" s="2"/>
    </row>
    <row r="63" customFormat="false" ht="25" hidden="false" customHeight="true" outlineLevel="0" collapsed="false">
      <c r="A63" s="1"/>
      <c r="B63" s="1"/>
      <c r="C63" s="1"/>
      <c r="D63" s="2"/>
      <c r="E63" s="2"/>
      <c r="F63" s="2"/>
      <c r="G63" s="2"/>
      <c r="H63" s="2"/>
      <c r="I63" s="2"/>
      <c r="J63" s="2"/>
    </row>
    <row r="64" customFormat="false" ht="25" hidden="false" customHeight="true" outlineLevel="0" collapsed="false">
      <c r="A64" s="1"/>
      <c r="B64" s="1"/>
      <c r="C64" s="1"/>
      <c r="D64" s="2"/>
      <c r="E64" s="2"/>
      <c r="F64" s="2"/>
      <c r="G64" s="2"/>
      <c r="H64" s="2"/>
      <c r="I64" s="2"/>
      <c r="J64" s="2"/>
    </row>
    <row r="65" customFormat="false" ht="25" hidden="false" customHeight="true" outlineLevel="0" collapsed="false">
      <c r="A65" s="1"/>
      <c r="B65" s="1"/>
      <c r="C65" s="1" t="s">
        <v>248</v>
      </c>
      <c r="D65" s="2"/>
      <c r="E65" s="26" t="n">
        <f aca="false">MAX(0,E13-E14-E23)</f>
        <v>6428</v>
      </c>
      <c r="F65" s="2"/>
      <c r="G65" s="2"/>
      <c r="H65" s="2"/>
      <c r="I65" s="2"/>
      <c r="J65" s="2"/>
    </row>
    <row r="66" customFormat="false" ht="25" hidden="false" customHeight="true" outlineLevel="0" collapsed="false">
      <c r="A66" s="1"/>
      <c r="B66" s="1"/>
      <c r="C66" s="1" t="s">
        <v>249</v>
      </c>
      <c r="D66" s="2"/>
      <c r="E66" s="19" t="n">
        <f aca="false">Survey!H27</f>
        <v>4921</v>
      </c>
      <c r="F66" s="2"/>
      <c r="G66" s="2"/>
      <c r="H66" s="2"/>
      <c r="I66" s="2"/>
      <c r="J66" s="2"/>
    </row>
    <row r="67" customFormat="false" ht="25" hidden="false" customHeight="true" outlineLevel="0" collapsed="false">
      <c r="A67" s="1"/>
      <c r="B67" s="1"/>
      <c r="C67" s="1" t="s">
        <v>250</v>
      </c>
      <c r="D67" s="2"/>
      <c r="E67" s="19" t="n">
        <f aca="false">Survey!G27</f>
        <v>10558.5</v>
      </c>
      <c r="F67" s="2"/>
      <c r="G67" s="2"/>
      <c r="H67" s="2"/>
      <c r="I67" s="2"/>
      <c r="J67" s="2"/>
    </row>
    <row r="68" customFormat="false" ht="25" hidden="false" customHeight="true" outlineLevel="0" collapsed="false">
      <c r="A68" s="1"/>
      <c r="B68" s="1"/>
      <c r="C68" s="1" t="s">
        <v>251</v>
      </c>
      <c r="D68" s="2"/>
      <c r="E68" s="19" t="n">
        <f aca="false">ROUND(E14*Setup!E56,0)</f>
        <v>0</v>
      </c>
      <c r="F68" s="2"/>
      <c r="G68" s="2"/>
      <c r="H68" s="2"/>
      <c r="I68" s="2"/>
      <c r="J68" s="2"/>
    </row>
    <row r="69" customFormat="false" ht="25" hidden="false" customHeight="true" outlineLevel="0" collapsed="false">
      <c r="A69" s="1"/>
      <c r="B69" s="1"/>
      <c r="C69" s="1" t="s">
        <v>252</v>
      </c>
      <c r="D69" s="2"/>
      <c r="E69" s="19" t="n">
        <f aca="false">IF(Setup!E57=1,E66,ROUND(E67,0))</f>
        <v>4921</v>
      </c>
      <c r="F69" s="2"/>
      <c r="G69" s="2"/>
      <c r="H69" s="2"/>
      <c r="I69" s="2"/>
      <c r="J69" s="2"/>
    </row>
    <row r="70" customFormat="false" ht="25" hidden="false" customHeight="true" outlineLevel="0" collapsed="false">
      <c r="A70" s="1"/>
      <c r="B70" s="1"/>
      <c r="C70" s="1" t="s">
        <v>253</v>
      </c>
      <c r="D70" s="2"/>
      <c r="E70" s="26" t="n">
        <f aca="false">MAX(0,E69-E68)</f>
        <v>4921</v>
      </c>
      <c r="F70" s="2"/>
      <c r="G70" s="2"/>
      <c r="H70" s="2"/>
      <c r="I70" s="2"/>
      <c r="J70" s="2"/>
    </row>
    <row r="71" customFormat="false" ht="25" hidden="false" customHeight="true" outlineLevel="0" collapsed="false">
      <c r="A71" s="1"/>
      <c r="B71" s="1"/>
      <c r="C71" s="1" t="s">
        <v>254</v>
      </c>
      <c r="D71" s="2"/>
      <c r="E71" s="26" t="n">
        <f aca="false">MIN(E22,MAX(E70,E80))</f>
        <v>4921</v>
      </c>
      <c r="F71" s="2"/>
      <c r="G71" s="2"/>
      <c r="H71" s="2"/>
      <c r="I71" s="2"/>
      <c r="J71" s="2"/>
    </row>
    <row r="72" customFormat="false" ht="25" hidden="false" customHeight="true" outlineLevel="0" collapsed="false">
      <c r="A72" s="1"/>
      <c r="B72" s="1"/>
      <c r="C72" s="1" t="s">
        <v>255</v>
      </c>
      <c r="D72" s="2"/>
      <c r="E72" s="26" t="n">
        <f aca="false">MAX(0,E22-E71)</f>
        <v>1507</v>
      </c>
      <c r="F72" s="2"/>
      <c r="G72" s="2"/>
      <c r="H72" s="2"/>
      <c r="I72" s="2"/>
      <c r="J72" s="2"/>
    </row>
    <row r="73" customFormat="false" ht="25" hidden="false" customHeight="true" outlineLevel="0" collapsed="false">
      <c r="A73" s="1"/>
      <c r="B73" s="1"/>
      <c r="C73" s="1" t="s">
        <v>256</v>
      </c>
      <c r="D73" s="2"/>
      <c r="E73" s="26" t="n">
        <f aca="false">MAX(0,E65-E22)</f>
        <v>0</v>
      </c>
      <c r="F73" s="2"/>
      <c r="G73" s="2"/>
      <c r="H73" s="2"/>
      <c r="I73" s="2"/>
      <c r="J73" s="2"/>
    </row>
    <row r="74" customFormat="false" ht="25" hidden="false" customHeight="true" outlineLevel="0" collapsed="false">
      <c r="A74" s="1"/>
      <c r="B74" s="1"/>
      <c r="C74" s="1" t="s">
        <v>257</v>
      </c>
      <c r="D74" s="2"/>
      <c r="E74" s="26" t="n">
        <f aca="false">MAX(0,E65-E71)</f>
        <v>1507</v>
      </c>
      <c r="F74" s="2"/>
      <c r="G74" s="2"/>
      <c r="H74" s="2"/>
      <c r="I74" s="2"/>
      <c r="J74" s="2"/>
    </row>
    <row r="75" customFormat="false" ht="25" hidden="false" customHeight="true" outlineLevel="0" collapsed="false">
      <c r="A75" s="1"/>
      <c r="B75" s="1"/>
      <c r="C75" s="1" t="s">
        <v>258</v>
      </c>
      <c r="D75" s="2"/>
      <c r="E75" s="19" t="n">
        <f aca="false">Survey!E66</f>
        <v>54</v>
      </c>
      <c r="F75" s="2"/>
      <c r="G75" s="2"/>
      <c r="H75" s="2"/>
      <c r="I75" s="2"/>
      <c r="J75" s="2"/>
    </row>
    <row r="76" customFormat="false" ht="25" hidden="false" customHeight="true" outlineLevel="0" collapsed="false">
      <c r="A76" s="1"/>
      <c r="B76" s="1"/>
      <c r="C76" s="1" t="s">
        <v>259</v>
      </c>
      <c r="D76" s="2"/>
      <c r="E76" s="44" t="n">
        <f aca="false">IF(E75&gt;0,E72/E75,"n.a.")</f>
        <v>27.9074074074074</v>
      </c>
      <c r="F76" s="2"/>
      <c r="G76" s="2"/>
      <c r="H76" s="2"/>
      <c r="I76" s="2"/>
      <c r="J76" s="2"/>
    </row>
    <row r="77" customFormat="false" ht="25" hidden="false" customHeight="true" outlineLevel="0" collapsed="false">
      <c r="A77" s="1"/>
      <c r="B77" s="1"/>
      <c r="C77" s="1" t="s">
        <v>260</v>
      </c>
      <c r="D77" s="2"/>
      <c r="E77" s="27" t="n">
        <f aca="false">IF(E65=0,"n.a.",E71/E65)</f>
        <v>0.765556938394524</v>
      </c>
      <c r="F77" s="2"/>
      <c r="G77" s="2"/>
      <c r="H77" s="2"/>
      <c r="I77" s="2"/>
      <c r="J77" s="2"/>
    </row>
    <row r="78" customFormat="false" ht="25" hidden="false" customHeight="true" outlineLevel="0" collapsed="false">
      <c r="A78" s="1"/>
      <c r="B78" s="1"/>
      <c r="C78" s="1" t="s">
        <v>212</v>
      </c>
      <c r="D78" s="2"/>
      <c r="E78" s="26" t="n">
        <f aca="false">MAX(0,E11-E13)</f>
        <v>7200</v>
      </c>
      <c r="F78" s="2"/>
      <c r="G78" s="2"/>
      <c r="H78" s="2"/>
      <c r="I78" s="2"/>
      <c r="J78" s="2"/>
    </row>
    <row r="79" customFormat="false" ht="25" hidden="false" customHeight="true" outlineLevel="0" collapsed="false">
      <c r="A79" s="1"/>
      <c r="B79" s="1"/>
      <c r="C79" s="1" t="s">
        <v>261</v>
      </c>
      <c r="D79" s="2"/>
      <c r="E79" s="26" t="str">
        <f aca="false">IF(OR(E14+E23&gt;E13,E80&gt;E71,E82&gt;E72),"Review allocation","Modeled adoption")</f>
        <v>Modeled adoption</v>
      </c>
      <c r="F79" s="2"/>
      <c r="G79" s="2"/>
      <c r="H79" s="2"/>
      <c r="I79" s="2"/>
      <c r="J79" s="2"/>
    </row>
    <row r="80" customFormat="false" ht="25" hidden="false" customHeight="true" outlineLevel="0" collapsed="false">
      <c r="A80" s="1"/>
      <c r="B80" s="1"/>
      <c r="C80" s="1" t="s">
        <v>262</v>
      </c>
      <c r="D80" s="2"/>
      <c r="E80" s="19" t="n">
        <f aca="false">SUMIFS(Respondents!E9:E46,Respondents!K9:K46,"Ready",Respondents!M9:M46,"Survey respondents")</f>
        <v>0</v>
      </c>
      <c r="F80" s="2"/>
      <c r="G80" s="2"/>
      <c r="H80" s="2"/>
      <c r="I80" s="2"/>
      <c r="J80" s="2"/>
    </row>
    <row r="81" customFormat="false" ht="25" hidden="false" customHeight="true" outlineLevel="0" collapsed="false">
      <c r="A81" s="1"/>
      <c r="B81" s="1"/>
      <c r="C81" s="1"/>
      <c r="D81" s="2"/>
      <c r="E81" s="2"/>
      <c r="F81" s="2"/>
      <c r="G81" s="2"/>
      <c r="H81" s="2"/>
      <c r="I81" s="2"/>
      <c r="J81" s="2"/>
    </row>
    <row r="82" customFormat="false" ht="25" hidden="false" customHeight="true" outlineLevel="0" collapsed="false">
      <c r="A82" s="1"/>
      <c r="B82" s="1"/>
      <c r="C82" s="1" t="s">
        <v>263</v>
      </c>
      <c r="D82" s="2"/>
      <c r="E82" s="19" t="n">
        <f aca="false">SUMIFS(Respondents!E9:E46,Respondents!K9:K46,"Ready",Respondents!M9:M46,"Other departments")</f>
        <v>0</v>
      </c>
      <c r="F82" s="2"/>
      <c r="G82" s="2"/>
      <c r="H82" s="2"/>
      <c r="I82" s="2"/>
      <c r="J82" s="2"/>
    </row>
    <row r="83" customFormat="false" ht="25" hidden="false" customHeight="true" outlineLevel="0" collapsed="false">
      <c r="A83" s="1"/>
      <c r="B83" s="1"/>
      <c r="C83" s="1" t="s">
        <v>264</v>
      </c>
      <c r="D83" s="2"/>
      <c r="E83" s="19" t="n">
        <f aca="false">SUMIFS(Respondents!G9:G46,Respondents!K9:K46,"Ready",Respondents!M9:M46,"Survey respondents")</f>
        <v>0</v>
      </c>
      <c r="F83" s="2"/>
      <c r="G83" s="2"/>
      <c r="H83" s="2"/>
      <c r="I83" s="2"/>
      <c r="J83" s="2"/>
    </row>
    <row r="84" customFormat="false" ht="25" hidden="false" customHeight="true" outlineLevel="0" collapsed="false">
      <c r="A84" s="1"/>
      <c r="B84" s="1"/>
      <c r="C84" s="1"/>
      <c r="D84" s="2"/>
      <c r="E84" s="2"/>
      <c r="F84" s="2"/>
      <c r="G84" s="2"/>
      <c r="H84" s="2"/>
      <c r="I84" s="2"/>
      <c r="J84" s="2"/>
    </row>
    <row r="85" customFormat="false" ht="25" hidden="false" customHeight="true" outlineLevel="0" collapsed="false">
      <c r="A85" s="1"/>
      <c r="B85" s="1"/>
      <c r="C85" s="1"/>
      <c r="D85" s="2"/>
      <c r="E85" s="2"/>
      <c r="F85" s="2"/>
      <c r="G85" s="2"/>
      <c r="H85" s="2"/>
      <c r="I85" s="2"/>
      <c r="J85" s="2"/>
    </row>
    <row r="86" customFormat="false" ht="40" hidden="false" customHeight="true" outlineLevel="0" collapsed="false">
      <c r="A86" s="1"/>
      <c r="B86" s="1"/>
      <c r="C86" s="10" t="s">
        <v>6</v>
      </c>
      <c r="D86" s="11" t="s">
        <v>7</v>
      </c>
      <c r="E86" s="11" t="s">
        <v>8</v>
      </c>
      <c r="F86" s="11" t="s">
        <v>9</v>
      </c>
      <c r="G86" s="11" t="s">
        <v>10</v>
      </c>
      <c r="H86" s="11" t="s">
        <v>11</v>
      </c>
      <c r="I86" s="2"/>
      <c r="J86" s="2"/>
    </row>
    <row r="87" customFormat="false" ht="25" hidden="false" customHeight="true" outlineLevel="0" collapsed="false">
      <c r="A87" s="1"/>
      <c r="B87" s="1"/>
      <c r="C87" s="1" t="s">
        <v>265</v>
      </c>
      <c r="D87" s="26" t="n">
        <f aca="false">E14</f>
        <v>1310</v>
      </c>
      <c r="E87" s="19" t="n">
        <f aca="false">'Existing customers'!G16</f>
        <v>1929169.75</v>
      </c>
      <c r="F87" s="19" t="n">
        <f aca="false">D87*Setup!E18</f>
        <v>1739025</v>
      </c>
      <c r="G87" s="26" t="n">
        <f aca="false">IF(ISNUMBER(E87),E87-F87,"n.a.")</f>
        <v>190144.75</v>
      </c>
      <c r="H87" s="19" t="n">
        <f aca="false">IF($D$28=0,0,($I$35-SUM($D$28:$H$28)*Setup!E18)*D87/$D$28)</f>
        <v>1051118.24268448</v>
      </c>
      <c r="I87" s="2"/>
      <c r="J87" s="2"/>
    </row>
    <row r="88" customFormat="false" ht="25" hidden="false" customHeight="true" outlineLevel="0" collapsed="false">
      <c r="A88" s="1"/>
      <c r="B88" s="1"/>
      <c r="C88" s="1" t="s">
        <v>266</v>
      </c>
      <c r="D88" s="26" t="n">
        <f aca="false">E23</f>
        <v>262</v>
      </c>
      <c r="E88" s="26" t="n">
        <f aca="false">IF(E14=0,0,E87*D88/E14)</f>
        <v>385833.95</v>
      </c>
      <c r="F88" s="19" t="n">
        <f aca="false">D88*Setup!E18</f>
        <v>347805</v>
      </c>
      <c r="G88" s="26" t="n">
        <f aca="false">IF(ISNUMBER(E88),E88-F88,"n.a.")</f>
        <v>38028.9500000001</v>
      </c>
      <c r="H88" s="19" t="n">
        <f aca="false">IF($D$28=0,0,($I$35-SUM($D$28:$H$28)*Setup!E18)*D88/$D$28)</f>
        <v>210223.648536896</v>
      </c>
      <c r="I88" s="2"/>
      <c r="J88" s="2"/>
    </row>
    <row r="89" customFormat="false" ht="25" hidden="false" customHeight="true" outlineLevel="0" collapsed="false">
      <c r="A89" s="1"/>
      <c r="B89" s="1"/>
      <c r="C89" s="1" t="s">
        <v>267</v>
      </c>
      <c r="D89" s="26" t="n">
        <f aca="false">D29</f>
        <v>4921</v>
      </c>
      <c r="E89" s="26" t="n">
        <f aca="false">D36</f>
        <v>14516950</v>
      </c>
      <c r="F89" s="19" t="n">
        <f aca="false">D89*Setup!E18</f>
        <v>6532627.5</v>
      </c>
      <c r="G89" s="26" t="n">
        <f aca="false">IF(ISNUMBER(E89),E89-F89,"n.a.")</f>
        <v>7984322.5</v>
      </c>
      <c r="H89" s="19" t="n">
        <f aca="false">IF(ISNUMBER(I36),I36-SUM(D29:H29)*Setup!E18,"n.a.")</f>
        <v>44115775</v>
      </c>
      <c r="I89" s="2"/>
      <c r="J89" s="2"/>
    </row>
    <row r="90" customFormat="false" ht="25" hidden="false" customHeight="true" outlineLevel="0" collapsed="false">
      <c r="A90" s="1"/>
      <c r="B90" s="1"/>
      <c r="C90" s="1" t="s">
        <v>268</v>
      </c>
      <c r="D90" s="26" t="n">
        <f aca="false">E13-SUM(D87:D89)</f>
        <v>1507</v>
      </c>
      <c r="E90" s="26" t="n">
        <f aca="false">D37</f>
        <v>4445650</v>
      </c>
      <c r="F90" s="19" t="n">
        <f aca="false">D90*Setup!E18</f>
        <v>2000542.5</v>
      </c>
      <c r="G90" s="26" t="n">
        <f aca="false">IF(ISNUMBER(E90),E90-F90,"n.a.")</f>
        <v>2445107.5</v>
      </c>
      <c r="H90" s="19" t="n">
        <f aca="false">IF(ISNUMBER(I37),I37-(SUM(D32:H32)-SUM(D28:H29))*Setup!E18,"n.a.")</f>
        <v>13507312.5</v>
      </c>
      <c r="I90" s="2"/>
      <c r="J90" s="2"/>
    </row>
    <row r="91" customFormat="false" ht="25" hidden="false" customHeight="true" outlineLevel="0" collapsed="false">
      <c r="A91" s="1"/>
      <c r="B91" s="1"/>
      <c r="C91" s="13" t="s">
        <v>269</v>
      </c>
      <c r="D91" s="33" t="n">
        <f aca="false">IF(COUNT(D87:D90)=4,SUM(D87:D90),"n.a.")</f>
        <v>8000</v>
      </c>
      <c r="E91" s="33" t="n">
        <f aca="false">IF(COUNT(E87:E90)=4,SUM(E87:E90),"n.a.")</f>
        <v>21277603.7</v>
      </c>
      <c r="F91" s="33" t="n">
        <f aca="false">IF(COUNT(F87:F90)=4,SUM(F87:F90),"n.a.")</f>
        <v>10620000</v>
      </c>
      <c r="G91" s="33" t="n">
        <f aca="false">IF(COUNT(G87:G90)=4,SUM(G87:G90),"n.a.")</f>
        <v>10657603.7</v>
      </c>
      <c r="H91" s="33" t="n">
        <f aca="false">IF(COUNT(H87:H90)=4,SUM(H87:H90),"n.a.")</f>
        <v>58884429.3912214</v>
      </c>
      <c r="I91" s="2"/>
      <c r="J91" s="2"/>
    </row>
    <row r="92" customFormat="false" ht="25" hidden="false" customHeight="true" outlineLevel="0" collapsed="false">
      <c r="A92" s="1"/>
      <c r="B92" s="1"/>
      <c r="C92" s="1"/>
      <c r="D92" s="2"/>
      <c r="E92" s="2"/>
      <c r="F92" s="2"/>
      <c r="G92" s="2"/>
      <c r="H92" s="2"/>
      <c r="I92" s="2"/>
      <c r="J92" s="2"/>
    </row>
    <row r="93" customFormat="false" ht="25" hidden="false" customHeight="true" outlineLevel="0" collapsed="false">
      <c r="A93" s="1"/>
      <c r="B93" s="1"/>
      <c r="C93" s="9" t="s">
        <v>270</v>
      </c>
      <c r="D93" s="2"/>
      <c r="E93" s="2"/>
      <c r="F93" s="2"/>
      <c r="G93" s="2"/>
      <c r="H93" s="2"/>
      <c r="I93" s="2"/>
      <c r="J93" s="2"/>
    </row>
    <row r="94" customFormat="false" ht="25" hidden="false" customHeight="true" outlineLevel="0" collapsed="false">
      <c r="A94" s="1"/>
      <c r="B94" s="1"/>
      <c r="C94" s="9" t="s">
        <v>271</v>
      </c>
      <c r="D94" s="2"/>
      <c r="E94" s="2"/>
      <c r="F94" s="2"/>
      <c r="G94" s="2"/>
      <c r="H94" s="2"/>
      <c r="I94" s="2"/>
      <c r="J94" s="2"/>
    </row>
    <row r="95" customFormat="false" ht="25" hidden="false" customHeight="true" outlineLevel="0" collapsed="false">
      <c r="A95" s="1"/>
      <c r="B95" s="1"/>
      <c r="C95" s="9" t="s">
        <v>272</v>
      </c>
      <c r="D95" s="2"/>
      <c r="E95" s="2"/>
      <c r="F95" s="2"/>
      <c r="G95" s="2"/>
      <c r="H95" s="2"/>
      <c r="I95" s="2"/>
      <c r="J95" s="2"/>
    </row>
    <row r="96" customFormat="false" ht="25" hidden="false" customHeight="true" outlineLevel="0" collapsed="false">
      <c r="A96" s="1"/>
      <c r="B96" s="1"/>
      <c r="C96" s="9" t="s">
        <v>273</v>
      </c>
      <c r="D96" s="2"/>
      <c r="E96" s="2"/>
      <c r="F96" s="2"/>
      <c r="G96" s="2"/>
      <c r="H96" s="2"/>
      <c r="I96" s="2"/>
      <c r="J96" s="2"/>
    </row>
    <row r="97" customFormat="false" ht="25" hidden="false" customHeight="true" outlineLevel="0" collapsed="false">
      <c r="A97" s="1"/>
      <c r="B97" s="1"/>
      <c r="C97" s="9" t="s">
        <v>274</v>
      </c>
      <c r="D97" s="2"/>
      <c r="E97" s="2"/>
      <c r="F97" s="2"/>
      <c r="G97" s="2"/>
      <c r="H97" s="2"/>
      <c r="I97" s="2"/>
      <c r="J97" s="2"/>
    </row>
    <row r="98" customFormat="false" ht="25" hidden="false" customHeight="true" outlineLevel="0" collapsed="false">
      <c r="A98" s="1"/>
      <c r="B98" s="1"/>
      <c r="C98" s="9" t="s">
        <v>275</v>
      </c>
      <c r="D98" s="2"/>
      <c r="E98" s="2"/>
      <c r="F98" s="2"/>
      <c r="G98" s="2"/>
      <c r="H98" s="2"/>
      <c r="I98" s="2"/>
      <c r="J98" s="2"/>
    </row>
    <row r="99" customFormat="false" ht="25" hidden="false" customHeight="true" outlineLevel="0" collapsed="false">
      <c r="A99" s="1"/>
      <c r="B99" s="1"/>
      <c r="C99" s="1"/>
      <c r="D99" s="2"/>
      <c r="E99" s="2"/>
      <c r="F99" s="2"/>
      <c r="G99" s="2"/>
      <c r="H99" s="2"/>
      <c r="I99" s="2"/>
      <c r="J99" s="2"/>
    </row>
    <row r="100" customFormat="false" ht="25" hidden="false" customHeight="true" outlineLevel="0" collapsed="false">
      <c r="A100" s="1"/>
      <c r="B100" s="1"/>
      <c r="C100" s="1" t="s">
        <v>276</v>
      </c>
      <c r="D100" s="2"/>
      <c r="E100" s="45" t="n">
        <f aca="false">IF(AND(ISNUMBER(G91),ISNUMBER(D40)),G91-D40,"n.a.")</f>
        <v>0</v>
      </c>
      <c r="F100" s="2"/>
      <c r="G100" s="2"/>
      <c r="H100" s="2"/>
      <c r="I100" s="2"/>
      <c r="J100" s="2"/>
    </row>
    <row r="101" customFormat="false" ht="25" hidden="false" customHeight="true" outlineLevel="0" collapsed="false">
      <c r="A101" s="1"/>
      <c r="B101" s="1"/>
      <c r="C101" s="1"/>
      <c r="D101" s="2"/>
      <c r="E101" s="2"/>
      <c r="F101" s="2"/>
      <c r="G101" s="2"/>
      <c r="H101" s="2"/>
      <c r="I101" s="2"/>
      <c r="J101" s="2"/>
    </row>
    <row r="102" customFormat="false" ht="25" hidden="false" customHeight="true" outlineLevel="0" collapsed="false">
      <c r="A102" s="1"/>
      <c r="B102" s="1"/>
      <c r="C102" s="1"/>
      <c r="D102" s="2"/>
      <c r="E102" s="2"/>
      <c r="F102" s="2"/>
      <c r="G102" s="2"/>
      <c r="H102" s="2"/>
      <c r="I102" s="2"/>
      <c r="J102" s="2"/>
    </row>
  </sheetData>
  <conditionalFormatting sqref="E18">
    <cfRule type="cellIs" priority="2" operator="greaterThan" aboveAverage="0" equalAverage="0" bottom="0" percent="0" rank="0" text="" dxfId="4">
      <formula>0</formula>
    </cfRule>
  </conditionalFormatting>
  <conditionalFormatting sqref="D40:I40">
    <cfRule type="cellIs" priority="3" operator="lessThan" aboveAverage="0" equalAverage="0" bottom="0" percent="0" rank="0" text="" dxfId="5">
      <formula>0</formula>
    </cfRule>
  </conditionalFormatting>
  <conditionalFormatting sqref="I17">
    <cfRule type="notContainsText" priority="4" operator="notContains" aboveAverage="0" equalAverage="0" bottom="0" percent="0" rank="0" text="Ready" dxfId="6">
      <formula>ISERROR(SEARCH("Ready",I17))</formula>
    </cfRule>
  </conditionalFormatting>
  <conditionalFormatting sqref="E79">
    <cfRule type="containsText" priority="5" operator="containsText" aboveAverage="0" equalAverage="0" bottom="0" percent="0" rank="0" text="Review" dxfId="7">
      <formula>NOT(ISERROR(SEARCH("Review",E79)))</formula>
    </cfRule>
  </conditionalFormatting>
  <conditionalFormatting sqref="G87:H91">
    <cfRule type="cellIs" priority="6" operator="less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8"/>
    <col collapsed="false" customWidth="true" hidden="false" outlineLevel="0" max="4" min="4" style="0" width="19"/>
    <col collapsed="false" customWidth="true" hidden="false" outlineLevel="0" max="5" min="5" style="0" width="12"/>
    <col collapsed="false" customWidth="true" hidden="false" outlineLevel="0" max="7" min="6" style="0" width="22"/>
    <col collapsed="false" customWidth="true" hidden="false" outlineLevel="0" max="8" min="8" style="0" width="17"/>
    <col collapsed="false" customWidth="true" hidden="false" outlineLevel="0" max="10" min="9" style="0" width="21"/>
    <col collapsed="false" customWidth="true" hidden="false" outlineLevel="0" max="11" min="11" style="0" width="24"/>
    <col collapsed="false" customWidth="true" hidden="false" outlineLevel="0" max="12" min="12" style="0" width="40"/>
    <col collapsed="false" customWidth="true" hidden="false" outlineLevel="0" max="13" min="13" style="0" width="24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5" hidden="false" customHeight="true" outlineLevel="0" collapsed="false">
      <c r="A2" s="1"/>
      <c r="B2" s="1"/>
      <c r="C2" s="3" t="s">
        <v>277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  <c r="K3" s="2"/>
      <c r="L3" s="2"/>
      <c r="M3" s="2"/>
    </row>
    <row r="4" customFormat="false" ht="25" hidden="false" customHeight="true" outlineLevel="0" collapsed="false">
      <c r="A4" s="1"/>
      <c r="B4" s="1"/>
      <c r="C4" s="1" t="s">
        <v>116</v>
      </c>
      <c r="D4" s="2"/>
      <c r="E4" s="31" t="n">
        <f aca="false">Setup!E5</f>
        <v>8000</v>
      </c>
      <c r="F4" s="2"/>
      <c r="G4" s="2"/>
      <c r="H4" s="2"/>
      <c r="I4" s="2"/>
      <c r="J4" s="2"/>
      <c r="K4" s="2"/>
      <c r="L4" s="2"/>
      <c r="M4" s="2"/>
    </row>
    <row r="5" customFormat="false" ht="25" hidden="false" customHeight="true" outlineLevel="0" collapsed="false">
      <c r="A5" s="1"/>
      <c r="B5" s="1"/>
      <c r="C5" s="1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25" hidden="false" customHeight="true" outlineLevel="0" collapsed="false">
      <c r="A6" s="1"/>
      <c r="B6" s="1"/>
      <c r="C6" s="9" t="s">
        <v>278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  <c r="K7" s="2"/>
      <c r="L7" s="2"/>
      <c r="M7" s="2"/>
    </row>
    <row r="8" customFormat="false" ht="40" hidden="false" customHeight="true" outlineLevel="0" collapsed="false">
      <c r="A8" s="1"/>
      <c r="B8" s="1"/>
      <c r="C8" s="10" t="s">
        <v>279</v>
      </c>
      <c r="D8" s="11" t="s">
        <v>280</v>
      </c>
      <c r="E8" s="11" t="s">
        <v>45</v>
      </c>
      <c r="F8" s="11" t="s">
        <v>281</v>
      </c>
      <c r="G8" s="11" t="s">
        <v>282</v>
      </c>
      <c r="H8" s="11" t="s">
        <v>283</v>
      </c>
      <c r="I8" s="11" t="s">
        <v>284</v>
      </c>
      <c r="J8" s="11" t="s">
        <v>123</v>
      </c>
      <c r="K8" s="11" t="s">
        <v>285</v>
      </c>
      <c r="L8" s="11" t="s">
        <v>286</v>
      </c>
      <c r="M8" s="11" t="s">
        <v>287</v>
      </c>
    </row>
    <row r="9" customFormat="false" ht="25" hidden="false" customHeight="true" outlineLevel="0" collapsed="false">
      <c r="A9" s="1"/>
      <c r="B9" s="1"/>
      <c r="C9" s="46"/>
      <c r="D9" s="24"/>
      <c r="E9" s="24"/>
      <c r="F9" s="21"/>
      <c r="G9" s="21"/>
      <c r="H9" s="24"/>
      <c r="I9" s="32" t="str">
        <f aca="false">IF(K9="Ready",E9*Setup!$E$18,"")</f>
        <v/>
      </c>
      <c r="J9" s="28" t="str">
        <f aca="false">IF(K9="Ready",G9-I9,"")</f>
        <v/>
      </c>
      <c r="K9" s="26" t="str">
        <f aca="false">IF(C9="","",IF(D9="Yes","Existing - excluded",IF(D9&lt;&gt;"No","Check overlap",IF(OR(NOT(ISNUMBER(E9)),E9&lt;=0),"Enter users",IF(NOT(ISNUMBER(G9)),"Enter subscription",IF(G9&lt;0,"Check cost",IF(AND(H9&lt;&gt;"Current",H9&lt;&gt;"Expected"),"Select cost basis",IF(AND(M9&lt;&gt;"Survey respondents",M9&lt;&gt;"Other departments"),"Select demand cohort",IF(COUNTIFS($C$9:$C$46,C9)&gt;1,"Duplicate entity","Ready")))))))))</f>
        <v/>
      </c>
      <c r="L9" s="47"/>
      <c r="M9" s="47"/>
    </row>
    <row r="10" customFormat="false" ht="25" hidden="false" customHeight="true" outlineLevel="0" collapsed="false">
      <c r="A10" s="1"/>
      <c r="B10" s="1"/>
      <c r="C10" s="46"/>
      <c r="D10" s="24"/>
      <c r="E10" s="24"/>
      <c r="F10" s="21"/>
      <c r="G10" s="21"/>
      <c r="H10" s="24"/>
      <c r="I10" s="32" t="str">
        <f aca="false">IF(K10="Ready",E10*Setup!$E$18,"")</f>
        <v/>
      </c>
      <c r="J10" s="28" t="str">
        <f aca="false">IF(K10="Ready",G10-I10,"")</f>
        <v/>
      </c>
      <c r="K10" s="26" t="str">
        <f aca="false">IF(C10="","",IF(D10="Yes","Existing - excluded",IF(D10&lt;&gt;"No","Check overlap",IF(OR(NOT(ISNUMBER(E10)),E10&lt;=0),"Enter users",IF(NOT(ISNUMBER(G10)),"Enter subscription",IF(G10&lt;0,"Check cost",IF(AND(H10&lt;&gt;"Current",H10&lt;&gt;"Expected"),"Select cost basis",IF(AND(M10&lt;&gt;"Survey respondents",M10&lt;&gt;"Other departments"),"Select demand cohort",IF(COUNTIFS($C$9:$C$46,C10)&gt;1,"Duplicate entity","Ready")))))))))</f>
        <v/>
      </c>
      <c r="L10" s="47"/>
      <c r="M10" s="47"/>
    </row>
    <row r="11" customFormat="false" ht="25" hidden="false" customHeight="true" outlineLevel="0" collapsed="false">
      <c r="A11" s="1"/>
      <c r="B11" s="1"/>
      <c r="C11" s="46"/>
      <c r="D11" s="24"/>
      <c r="E11" s="24"/>
      <c r="F11" s="21"/>
      <c r="G11" s="21"/>
      <c r="H11" s="24"/>
      <c r="I11" s="32" t="str">
        <f aca="false">IF(K11="Ready",E11*Setup!$E$18,"")</f>
        <v/>
      </c>
      <c r="J11" s="28" t="str">
        <f aca="false">IF(K11="Ready",G11-I11,"")</f>
        <v/>
      </c>
      <c r="K11" s="26" t="str">
        <f aca="false">IF(C11="","",IF(D11="Yes","Existing - excluded",IF(D11&lt;&gt;"No","Check overlap",IF(OR(NOT(ISNUMBER(E11)),E11&lt;=0),"Enter users",IF(NOT(ISNUMBER(G11)),"Enter subscription",IF(G11&lt;0,"Check cost",IF(AND(H11&lt;&gt;"Current",H11&lt;&gt;"Expected"),"Select cost basis",IF(AND(M11&lt;&gt;"Survey respondents",M11&lt;&gt;"Other departments"),"Select demand cohort",IF(COUNTIFS($C$9:$C$46,C11)&gt;1,"Duplicate entity","Ready")))))))))</f>
        <v/>
      </c>
      <c r="L11" s="47"/>
      <c r="M11" s="47"/>
    </row>
    <row r="12" customFormat="false" ht="25" hidden="false" customHeight="true" outlineLevel="0" collapsed="false">
      <c r="A12" s="1"/>
      <c r="B12" s="1"/>
      <c r="C12" s="46"/>
      <c r="D12" s="24"/>
      <c r="E12" s="24"/>
      <c r="F12" s="21"/>
      <c r="G12" s="21"/>
      <c r="H12" s="24"/>
      <c r="I12" s="32" t="str">
        <f aca="false">IF(K12="Ready",E12*Setup!$E$18,"")</f>
        <v/>
      </c>
      <c r="J12" s="28" t="str">
        <f aca="false">IF(K12="Ready",G12-I12,"")</f>
        <v/>
      </c>
      <c r="K12" s="26" t="str">
        <f aca="false">IF(C12="","",IF(D12="Yes","Existing - excluded",IF(D12&lt;&gt;"No","Check overlap",IF(OR(NOT(ISNUMBER(E12)),E12&lt;=0),"Enter users",IF(NOT(ISNUMBER(G12)),"Enter subscription",IF(G12&lt;0,"Check cost",IF(AND(H12&lt;&gt;"Current",H12&lt;&gt;"Expected"),"Select cost basis",IF(AND(M12&lt;&gt;"Survey respondents",M12&lt;&gt;"Other departments"),"Select demand cohort",IF(COUNTIFS($C$9:$C$46,C12)&gt;1,"Duplicate entity","Ready")))))))))</f>
        <v/>
      </c>
      <c r="L12" s="47"/>
      <c r="M12" s="47"/>
    </row>
    <row r="13" customFormat="false" ht="25" hidden="false" customHeight="true" outlineLevel="0" collapsed="false">
      <c r="A13" s="1"/>
      <c r="B13" s="1"/>
      <c r="C13" s="46"/>
      <c r="D13" s="24"/>
      <c r="E13" s="24"/>
      <c r="F13" s="21"/>
      <c r="G13" s="21"/>
      <c r="H13" s="24"/>
      <c r="I13" s="32" t="str">
        <f aca="false">IF(K13="Ready",E13*Setup!$E$18,"")</f>
        <v/>
      </c>
      <c r="J13" s="28" t="str">
        <f aca="false">IF(K13="Ready",G13-I13,"")</f>
        <v/>
      </c>
      <c r="K13" s="26" t="str">
        <f aca="false">IF(C13="","",IF(D13="Yes","Existing - excluded",IF(D13&lt;&gt;"No","Check overlap",IF(OR(NOT(ISNUMBER(E13)),E13&lt;=0),"Enter users",IF(NOT(ISNUMBER(G13)),"Enter subscription",IF(G13&lt;0,"Check cost",IF(AND(H13&lt;&gt;"Current",H13&lt;&gt;"Expected"),"Select cost basis",IF(AND(M13&lt;&gt;"Survey respondents",M13&lt;&gt;"Other departments"),"Select demand cohort",IF(COUNTIFS($C$9:$C$46,C13)&gt;1,"Duplicate entity","Ready")))))))))</f>
        <v/>
      </c>
      <c r="L13" s="47"/>
      <c r="M13" s="47"/>
    </row>
    <row r="14" customFormat="false" ht="25" hidden="false" customHeight="true" outlineLevel="0" collapsed="false">
      <c r="A14" s="1"/>
      <c r="B14" s="1"/>
      <c r="C14" s="46"/>
      <c r="D14" s="24"/>
      <c r="E14" s="24"/>
      <c r="F14" s="21"/>
      <c r="G14" s="21"/>
      <c r="H14" s="24"/>
      <c r="I14" s="32" t="str">
        <f aca="false">IF(K14="Ready",E14*Setup!$E$18,"")</f>
        <v/>
      </c>
      <c r="J14" s="28" t="str">
        <f aca="false">IF(K14="Ready",G14-I14,"")</f>
        <v/>
      </c>
      <c r="K14" s="26" t="str">
        <f aca="false">IF(C14="","",IF(D14="Yes","Existing - excluded",IF(D14&lt;&gt;"No","Check overlap",IF(OR(NOT(ISNUMBER(E14)),E14&lt;=0),"Enter users",IF(NOT(ISNUMBER(G14)),"Enter subscription",IF(G14&lt;0,"Check cost",IF(AND(H14&lt;&gt;"Current",H14&lt;&gt;"Expected"),"Select cost basis",IF(AND(M14&lt;&gt;"Survey respondents",M14&lt;&gt;"Other departments"),"Select demand cohort",IF(COUNTIFS($C$9:$C$46,C14)&gt;1,"Duplicate entity","Ready")))))))))</f>
        <v/>
      </c>
      <c r="L14" s="47"/>
      <c r="M14" s="47"/>
    </row>
    <row r="15" customFormat="false" ht="25" hidden="false" customHeight="true" outlineLevel="0" collapsed="false">
      <c r="A15" s="1"/>
      <c r="B15" s="1"/>
      <c r="C15" s="46"/>
      <c r="D15" s="24"/>
      <c r="E15" s="24"/>
      <c r="F15" s="21"/>
      <c r="G15" s="21"/>
      <c r="H15" s="24"/>
      <c r="I15" s="32" t="str">
        <f aca="false">IF(K15="Ready",E15*Setup!$E$18,"")</f>
        <v/>
      </c>
      <c r="J15" s="28" t="str">
        <f aca="false">IF(K15="Ready",G15-I15,"")</f>
        <v/>
      </c>
      <c r="K15" s="26" t="str">
        <f aca="false">IF(C15="","",IF(D15="Yes","Existing - excluded",IF(D15&lt;&gt;"No","Check overlap",IF(OR(NOT(ISNUMBER(E15)),E15&lt;=0),"Enter users",IF(NOT(ISNUMBER(G15)),"Enter subscription",IF(G15&lt;0,"Check cost",IF(AND(H15&lt;&gt;"Current",H15&lt;&gt;"Expected"),"Select cost basis",IF(AND(M15&lt;&gt;"Survey respondents",M15&lt;&gt;"Other departments"),"Select demand cohort",IF(COUNTIFS($C$9:$C$46,C15)&gt;1,"Duplicate entity","Ready")))))))))</f>
        <v/>
      </c>
      <c r="L15" s="47"/>
      <c r="M15" s="47"/>
    </row>
    <row r="16" customFormat="false" ht="25" hidden="false" customHeight="true" outlineLevel="0" collapsed="false">
      <c r="A16" s="1"/>
      <c r="B16" s="1"/>
      <c r="C16" s="46"/>
      <c r="D16" s="24"/>
      <c r="E16" s="24"/>
      <c r="F16" s="21"/>
      <c r="G16" s="21"/>
      <c r="H16" s="24"/>
      <c r="I16" s="32" t="str">
        <f aca="false">IF(K16="Ready",E16*Setup!$E$18,"")</f>
        <v/>
      </c>
      <c r="J16" s="28" t="str">
        <f aca="false">IF(K16="Ready",G16-I16,"")</f>
        <v/>
      </c>
      <c r="K16" s="26" t="str">
        <f aca="false">IF(C16="","",IF(D16="Yes","Existing - excluded",IF(D16&lt;&gt;"No","Check overlap",IF(OR(NOT(ISNUMBER(E16)),E16&lt;=0),"Enter users",IF(NOT(ISNUMBER(G16)),"Enter subscription",IF(G16&lt;0,"Check cost",IF(AND(H16&lt;&gt;"Current",H16&lt;&gt;"Expected"),"Select cost basis",IF(AND(M16&lt;&gt;"Survey respondents",M16&lt;&gt;"Other departments"),"Select demand cohort",IF(COUNTIFS($C$9:$C$46,C16)&gt;1,"Duplicate entity","Ready")))))))))</f>
        <v/>
      </c>
      <c r="L16" s="47"/>
      <c r="M16" s="47"/>
    </row>
    <row r="17" customFormat="false" ht="25" hidden="false" customHeight="true" outlineLevel="0" collapsed="false">
      <c r="A17" s="1"/>
      <c r="B17" s="1"/>
      <c r="C17" s="46"/>
      <c r="D17" s="24"/>
      <c r="E17" s="24"/>
      <c r="F17" s="21"/>
      <c r="G17" s="21"/>
      <c r="H17" s="24"/>
      <c r="I17" s="32" t="str">
        <f aca="false">IF(K17="Ready",E17*Setup!$E$18,"")</f>
        <v/>
      </c>
      <c r="J17" s="28" t="str">
        <f aca="false">IF(K17="Ready",G17-I17,"")</f>
        <v/>
      </c>
      <c r="K17" s="26" t="str">
        <f aca="false">IF(C17="","",IF(D17="Yes","Existing - excluded",IF(D17&lt;&gt;"No","Check overlap",IF(OR(NOT(ISNUMBER(E17)),E17&lt;=0),"Enter users",IF(NOT(ISNUMBER(G17)),"Enter subscription",IF(G17&lt;0,"Check cost",IF(AND(H17&lt;&gt;"Current",H17&lt;&gt;"Expected"),"Select cost basis",IF(AND(M17&lt;&gt;"Survey respondents",M17&lt;&gt;"Other departments"),"Select demand cohort",IF(COUNTIFS($C$9:$C$46,C17)&gt;1,"Duplicate entity","Ready")))))))))</f>
        <v/>
      </c>
      <c r="L17" s="47"/>
      <c r="M17" s="47"/>
    </row>
    <row r="18" customFormat="false" ht="25" hidden="false" customHeight="true" outlineLevel="0" collapsed="false">
      <c r="A18" s="1"/>
      <c r="B18" s="1"/>
      <c r="C18" s="46"/>
      <c r="D18" s="24"/>
      <c r="E18" s="24"/>
      <c r="F18" s="21"/>
      <c r="G18" s="21"/>
      <c r="H18" s="24"/>
      <c r="I18" s="32" t="str">
        <f aca="false">IF(K18="Ready",E18*Setup!$E$18,"")</f>
        <v/>
      </c>
      <c r="J18" s="28" t="str">
        <f aca="false">IF(K18="Ready",G18-I18,"")</f>
        <v/>
      </c>
      <c r="K18" s="26" t="str">
        <f aca="false">IF(C18="","",IF(D18="Yes","Existing - excluded",IF(D18&lt;&gt;"No","Check overlap",IF(OR(NOT(ISNUMBER(E18)),E18&lt;=0),"Enter users",IF(NOT(ISNUMBER(G18)),"Enter subscription",IF(G18&lt;0,"Check cost",IF(AND(H18&lt;&gt;"Current",H18&lt;&gt;"Expected"),"Select cost basis",IF(AND(M18&lt;&gt;"Survey respondents",M18&lt;&gt;"Other departments"),"Select demand cohort",IF(COUNTIFS($C$9:$C$46,C18)&gt;1,"Duplicate entity","Ready")))))))))</f>
        <v/>
      </c>
      <c r="L18" s="47"/>
      <c r="M18" s="47"/>
    </row>
    <row r="19" customFormat="false" ht="25" hidden="false" customHeight="true" outlineLevel="0" collapsed="false">
      <c r="A19" s="1"/>
      <c r="B19" s="1"/>
      <c r="C19" s="46"/>
      <c r="D19" s="24"/>
      <c r="E19" s="24"/>
      <c r="F19" s="21"/>
      <c r="G19" s="21"/>
      <c r="H19" s="24"/>
      <c r="I19" s="32" t="str">
        <f aca="false">IF(K19="Ready",E19*Setup!$E$18,"")</f>
        <v/>
      </c>
      <c r="J19" s="28" t="str">
        <f aca="false">IF(K19="Ready",G19-I19,"")</f>
        <v/>
      </c>
      <c r="K19" s="26" t="str">
        <f aca="false">IF(C19="","",IF(D19="Yes","Existing - excluded",IF(D19&lt;&gt;"No","Check overlap",IF(OR(NOT(ISNUMBER(E19)),E19&lt;=0),"Enter users",IF(NOT(ISNUMBER(G19)),"Enter subscription",IF(G19&lt;0,"Check cost",IF(AND(H19&lt;&gt;"Current",H19&lt;&gt;"Expected"),"Select cost basis",IF(AND(M19&lt;&gt;"Survey respondents",M19&lt;&gt;"Other departments"),"Select demand cohort",IF(COUNTIFS($C$9:$C$46,C19)&gt;1,"Duplicate entity","Ready")))))))))</f>
        <v/>
      </c>
      <c r="L19" s="47"/>
      <c r="M19" s="47"/>
    </row>
    <row r="20" customFormat="false" ht="25" hidden="false" customHeight="true" outlineLevel="0" collapsed="false">
      <c r="A20" s="1"/>
      <c r="B20" s="1"/>
      <c r="C20" s="46"/>
      <c r="D20" s="24"/>
      <c r="E20" s="24"/>
      <c r="F20" s="21"/>
      <c r="G20" s="21"/>
      <c r="H20" s="24"/>
      <c r="I20" s="32" t="str">
        <f aca="false">IF(K20="Ready",E20*Setup!$E$18,"")</f>
        <v/>
      </c>
      <c r="J20" s="28" t="str">
        <f aca="false">IF(K20="Ready",G20-I20,"")</f>
        <v/>
      </c>
      <c r="K20" s="26" t="str">
        <f aca="false">IF(C20="","",IF(D20="Yes","Existing - excluded",IF(D20&lt;&gt;"No","Check overlap",IF(OR(NOT(ISNUMBER(E20)),E20&lt;=0),"Enter users",IF(NOT(ISNUMBER(G20)),"Enter subscription",IF(G20&lt;0,"Check cost",IF(AND(H20&lt;&gt;"Current",H20&lt;&gt;"Expected"),"Select cost basis",IF(AND(M20&lt;&gt;"Survey respondents",M20&lt;&gt;"Other departments"),"Select demand cohort",IF(COUNTIFS($C$9:$C$46,C20)&gt;1,"Duplicate entity","Ready")))))))))</f>
        <v/>
      </c>
      <c r="L20" s="47"/>
      <c r="M20" s="47"/>
    </row>
    <row r="21" customFormat="false" ht="25" hidden="false" customHeight="true" outlineLevel="0" collapsed="false">
      <c r="A21" s="1"/>
      <c r="B21" s="1"/>
      <c r="C21" s="46"/>
      <c r="D21" s="24"/>
      <c r="E21" s="24"/>
      <c r="F21" s="21"/>
      <c r="G21" s="21"/>
      <c r="H21" s="24"/>
      <c r="I21" s="32" t="str">
        <f aca="false">IF(K21="Ready",E21*Setup!$E$18,"")</f>
        <v/>
      </c>
      <c r="J21" s="28" t="str">
        <f aca="false">IF(K21="Ready",G21-I21,"")</f>
        <v/>
      </c>
      <c r="K21" s="26" t="str">
        <f aca="false">IF(C21="","",IF(D21="Yes","Existing - excluded",IF(D21&lt;&gt;"No","Check overlap",IF(OR(NOT(ISNUMBER(E21)),E21&lt;=0),"Enter users",IF(NOT(ISNUMBER(G21)),"Enter subscription",IF(G21&lt;0,"Check cost",IF(AND(H21&lt;&gt;"Current",H21&lt;&gt;"Expected"),"Select cost basis",IF(AND(M21&lt;&gt;"Survey respondents",M21&lt;&gt;"Other departments"),"Select demand cohort",IF(COUNTIFS($C$9:$C$46,C21)&gt;1,"Duplicate entity","Ready")))))))))</f>
        <v/>
      </c>
      <c r="L21" s="47"/>
      <c r="M21" s="47"/>
    </row>
    <row r="22" customFormat="false" ht="25" hidden="false" customHeight="true" outlineLevel="0" collapsed="false">
      <c r="A22" s="1"/>
      <c r="B22" s="1"/>
      <c r="C22" s="46"/>
      <c r="D22" s="24"/>
      <c r="E22" s="24"/>
      <c r="F22" s="21"/>
      <c r="G22" s="21"/>
      <c r="H22" s="24"/>
      <c r="I22" s="32" t="str">
        <f aca="false">IF(K22="Ready",E22*Setup!$E$18,"")</f>
        <v/>
      </c>
      <c r="J22" s="28" t="str">
        <f aca="false">IF(K22="Ready",G22-I22,"")</f>
        <v/>
      </c>
      <c r="K22" s="26" t="str">
        <f aca="false">IF(C22="","",IF(D22="Yes","Existing - excluded",IF(D22&lt;&gt;"No","Check overlap",IF(OR(NOT(ISNUMBER(E22)),E22&lt;=0),"Enter users",IF(NOT(ISNUMBER(G22)),"Enter subscription",IF(G22&lt;0,"Check cost",IF(AND(H22&lt;&gt;"Current",H22&lt;&gt;"Expected"),"Select cost basis",IF(AND(M22&lt;&gt;"Survey respondents",M22&lt;&gt;"Other departments"),"Select demand cohort",IF(COUNTIFS($C$9:$C$46,C22)&gt;1,"Duplicate entity","Ready")))))))))</f>
        <v/>
      </c>
      <c r="L22" s="47"/>
      <c r="M22" s="47"/>
    </row>
    <row r="23" customFormat="false" ht="25" hidden="false" customHeight="true" outlineLevel="0" collapsed="false">
      <c r="A23" s="1"/>
      <c r="B23" s="1"/>
      <c r="C23" s="46"/>
      <c r="D23" s="24"/>
      <c r="E23" s="24"/>
      <c r="F23" s="21"/>
      <c r="G23" s="21"/>
      <c r="H23" s="24"/>
      <c r="I23" s="32" t="str">
        <f aca="false">IF(K23="Ready",E23*Setup!$E$18,"")</f>
        <v/>
      </c>
      <c r="J23" s="28" t="str">
        <f aca="false">IF(K23="Ready",G23-I23,"")</f>
        <v/>
      </c>
      <c r="K23" s="26" t="str">
        <f aca="false">IF(C23="","",IF(D23="Yes","Existing - excluded",IF(D23&lt;&gt;"No","Check overlap",IF(OR(NOT(ISNUMBER(E23)),E23&lt;=0),"Enter users",IF(NOT(ISNUMBER(G23)),"Enter subscription",IF(G23&lt;0,"Check cost",IF(AND(H23&lt;&gt;"Current",H23&lt;&gt;"Expected"),"Select cost basis",IF(AND(M23&lt;&gt;"Survey respondents",M23&lt;&gt;"Other departments"),"Select demand cohort",IF(COUNTIFS($C$9:$C$46,C23)&gt;1,"Duplicate entity","Ready")))))))))</f>
        <v/>
      </c>
      <c r="L23" s="47"/>
      <c r="M23" s="47"/>
    </row>
    <row r="24" customFormat="false" ht="25" hidden="false" customHeight="true" outlineLevel="0" collapsed="false">
      <c r="A24" s="1"/>
      <c r="B24" s="1"/>
      <c r="C24" s="46"/>
      <c r="D24" s="24"/>
      <c r="E24" s="24"/>
      <c r="F24" s="21"/>
      <c r="G24" s="21"/>
      <c r="H24" s="24"/>
      <c r="I24" s="32" t="str">
        <f aca="false">IF(K24="Ready",E24*Setup!$E$18,"")</f>
        <v/>
      </c>
      <c r="J24" s="28" t="str">
        <f aca="false">IF(K24="Ready",G24-I24,"")</f>
        <v/>
      </c>
      <c r="K24" s="26" t="str">
        <f aca="false">IF(C24="","",IF(D24="Yes","Existing - excluded",IF(D24&lt;&gt;"No","Check overlap",IF(OR(NOT(ISNUMBER(E24)),E24&lt;=0),"Enter users",IF(NOT(ISNUMBER(G24)),"Enter subscription",IF(G24&lt;0,"Check cost",IF(AND(H24&lt;&gt;"Current",H24&lt;&gt;"Expected"),"Select cost basis",IF(AND(M24&lt;&gt;"Survey respondents",M24&lt;&gt;"Other departments"),"Select demand cohort",IF(COUNTIFS($C$9:$C$46,C24)&gt;1,"Duplicate entity","Ready")))))))))</f>
        <v/>
      </c>
      <c r="L24" s="47"/>
      <c r="M24" s="47"/>
    </row>
    <row r="25" customFormat="false" ht="25" hidden="false" customHeight="true" outlineLevel="0" collapsed="false">
      <c r="A25" s="1"/>
      <c r="B25" s="1"/>
      <c r="C25" s="46"/>
      <c r="D25" s="24"/>
      <c r="E25" s="24"/>
      <c r="F25" s="21"/>
      <c r="G25" s="21"/>
      <c r="H25" s="24"/>
      <c r="I25" s="32" t="str">
        <f aca="false">IF(K25="Ready",E25*Setup!$E$18,"")</f>
        <v/>
      </c>
      <c r="J25" s="28" t="str">
        <f aca="false">IF(K25="Ready",G25-I25,"")</f>
        <v/>
      </c>
      <c r="K25" s="26" t="str">
        <f aca="false">IF(C25="","",IF(D25="Yes","Existing - excluded",IF(D25&lt;&gt;"No","Check overlap",IF(OR(NOT(ISNUMBER(E25)),E25&lt;=0),"Enter users",IF(NOT(ISNUMBER(G25)),"Enter subscription",IF(G25&lt;0,"Check cost",IF(AND(H25&lt;&gt;"Current",H25&lt;&gt;"Expected"),"Select cost basis",IF(AND(M25&lt;&gt;"Survey respondents",M25&lt;&gt;"Other departments"),"Select demand cohort",IF(COUNTIFS($C$9:$C$46,C25)&gt;1,"Duplicate entity","Ready")))))))))</f>
        <v/>
      </c>
      <c r="L25" s="47"/>
      <c r="M25" s="47"/>
    </row>
    <row r="26" customFormat="false" ht="25" hidden="false" customHeight="true" outlineLevel="0" collapsed="false">
      <c r="A26" s="1"/>
      <c r="B26" s="1"/>
      <c r="C26" s="46"/>
      <c r="D26" s="24"/>
      <c r="E26" s="24"/>
      <c r="F26" s="21"/>
      <c r="G26" s="21"/>
      <c r="H26" s="24"/>
      <c r="I26" s="32" t="str">
        <f aca="false">IF(K26="Ready",E26*Setup!$E$18,"")</f>
        <v/>
      </c>
      <c r="J26" s="28" t="str">
        <f aca="false">IF(K26="Ready",G26-I26,"")</f>
        <v/>
      </c>
      <c r="K26" s="26" t="str">
        <f aca="false">IF(C26="","",IF(D26="Yes","Existing - excluded",IF(D26&lt;&gt;"No","Check overlap",IF(OR(NOT(ISNUMBER(E26)),E26&lt;=0),"Enter users",IF(NOT(ISNUMBER(G26)),"Enter subscription",IF(G26&lt;0,"Check cost",IF(AND(H26&lt;&gt;"Current",H26&lt;&gt;"Expected"),"Select cost basis",IF(AND(M26&lt;&gt;"Survey respondents",M26&lt;&gt;"Other departments"),"Select demand cohort",IF(COUNTIFS($C$9:$C$46,C26)&gt;1,"Duplicate entity","Ready")))))))))</f>
        <v/>
      </c>
      <c r="L26" s="47"/>
      <c r="M26" s="47"/>
    </row>
    <row r="27" customFormat="false" ht="25" hidden="false" customHeight="true" outlineLevel="0" collapsed="false">
      <c r="A27" s="1"/>
      <c r="B27" s="1"/>
      <c r="C27" s="46"/>
      <c r="D27" s="24"/>
      <c r="E27" s="24"/>
      <c r="F27" s="21"/>
      <c r="G27" s="21"/>
      <c r="H27" s="24"/>
      <c r="I27" s="32" t="str">
        <f aca="false">IF(K27="Ready",E27*Setup!$E$18,"")</f>
        <v/>
      </c>
      <c r="J27" s="28" t="str">
        <f aca="false">IF(K27="Ready",G27-I27,"")</f>
        <v/>
      </c>
      <c r="K27" s="26" t="str">
        <f aca="false">IF(C27="","",IF(D27="Yes","Existing - excluded",IF(D27&lt;&gt;"No","Check overlap",IF(OR(NOT(ISNUMBER(E27)),E27&lt;=0),"Enter users",IF(NOT(ISNUMBER(G27)),"Enter subscription",IF(G27&lt;0,"Check cost",IF(AND(H27&lt;&gt;"Current",H27&lt;&gt;"Expected"),"Select cost basis",IF(AND(M27&lt;&gt;"Survey respondents",M27&lt;&gt;"Other departments"),"Select demand cohort",IF(COUNTIFS($C$9:$C$46,C27)&gt;1,"Duplicate entity","Ready")))))))))</f>
        <v/>
      </c>
      <c r="L27" s="47"/>
      <c r="M27" s="47"/>
    </row>
    <row r="28" customFormat="false" ht="25" hidden="false" customHeight="true" outlineLevel="0" collapsed="false">
      <c r="A28" s="1"/>
      <c r="B28" s="1"/>
      <c r="C28" s="46"/>
      <c r="D28" s="24"/>
      <c r="E28" s="24"/>
      <c r="F28" s="21"/>
      <c r="G28" s="21"/>
      <c r="H28" s="24"/>
      <c r="I28" s="32" t="str">
        <f aca="false">IF(K28="Ready",E28*Setup!$E$18,"")</f>
        <v/>
      </c>
      <c r="J28" s="28" t="str">
        <f aca="false">IF(K28="Ready",G28-I28,"")</f>
        <v/>
      </c>
      <c r="K28" s="26" t="str">
        <f aca="false">IF(C28="","",IF(D28="Yes","Existing - excluded",IF(D28&lt;&gt;"No","Check overlap",IF(OR(NOT(ISNUMBER(E28)),E28&lt;=0),"Enter users",IF(NOT(ISNUMBER(G28)),"Enter subscription",IF(G28&lt;0,"Check cost",IF(AND(H28&lt;&gt;"Current",H28&lt;&gt;"Expected"),"Select cost basis",IF(AND(M28&lt;&gt;"Survey respondents",M28&lt;&gt;"Other departments"),"Select demand cohort",IF(COUNTIFS($C$9:$C$46,C28)&gt;1,"Duplicate entity","Ready")))))))))</f>
        <v/>
      </c>
      <c r="L28" s="47"/>
      <c r="M28" s="47"/>
    </row>
    <row r="29" customFormat="false" ht="25" hidden="false" customHeight="true" outlineLevel="0" collapsed="false">
      <c r="A29" s="1"/>
      <c r="B29" s="1"/>
      <c r="C29" s="46"/>
      <c r="D29" s="24"/>
      <c r="E29" s="24"/>
      <c r="F29" s="21"/>
      <c r="G29" s="21"/>
      <c r="H29" s="24"/>
      <c r="I29" s="32" t="str">
        <f aca="false">IF(K29="Ready",E29*Setup!$E$18,"")</f>
        <v/>
      </c>
      <c r="J29" s="28" t="str">
        <f aca="false">IF(K29="Ready",G29-I29,"")</f>
        <v/>
      </c>
      <c r="K29" s="26" t="str">
        <f aca="false">IF(C29="","",IF(D29="Yes","Existing - excluded",IF(D29&lt;&gt;"No","Check overlap",IF(OR(NOT(ISNUMBER(E29)),E29&lt;=0),"Enter users",IF(NOT(ISNUMBER(G29)),"Enter subscription",IF(G29&lt;0,"Check cost",IF(AND(H29&lt;&gt;"Current",H29&lt;&gt;"Expected"),"Select cost basis",IF(AND(M29&lt;&gt;"Survey respondents",M29&lt;&gt;"Other departments"),"Select demand cohort",IF(COUNTIFS($C$9:$C$46,C29)&gt;1,"Duplicate entity","Ready")))))))))</f>
        <v/>
      </c>
      <c r="L29" s="47"/>
      <c r="M29" s="47"/>
    </row>
    <row r="30" customFormat="false" ht="25" hidden="false" customHeight="true" outlineLevel="0" collapsed="false">
      <c r="A30" s="1"/>
      <c r="B30" s="1"/>
      <c r="C30" s="46"/>
      <c r="D30" s="24"/>
      <c r="E30" s="24"/>
      <c r="F30" s="21"/>
      <c r="G30" s="21"/>
      <c r="H30" s="24"/>
      <c r="I30" s="32" t="str">
        <f aca="false">IF(K30="Ready",E30*Setup!$E$18,"")</f>
        <v/>
      </c>
      <c r="J30" s="28" t="str">
        <f aca="false">IF(K30="Ready",G30-I30,"")</f>
        <v/>
      </c>
      <c r="K30" s="26" t="str">
        <f aca="false">IF(C30="","",IF(D30="Yes","Existing - excluded",IF(D30&lt;&gt;"No","Check overlap",IF(OR(NOT(ISNUMBER(E30)),E30&lt;=0),"Enter users",IF(NOT(ISNUMBER(G30)),"Enter subscription",IF(G30&lt;0,"Check cost",IF(AND(H30&lt;&gt;"Current",H30&lt;&gt;"Expected"),"Select cost basis",IF(AND(M30&lt;&gt;"Survey respondents",M30&lt;&gt;"Other departments"),"Select demand cohort",IF(COUNTIFS($C$9:$C$46,C30)&gt;1,"Duplicate entity","Ready")))))))))</f>
        <v/>
      </c>
      <c r="L30" s="47"/>
      <c r="M30" s="47"/>
    </row>
    <row r="31" customFormat="false" ht="25" hidden="false" customHeight="true" outlineLevel="0" collapsed="false">
      <c r="A31" s="1"/>
      <c r="B31" s="1"/>
      <c r="C31" s="46"/>
      <c r="D31" s="24"/>
      <c r="E31" s="24"/>
      <c r="F31" s="21"/>
      <c r="G31" s="21"/>
      <c r="H31" s="24"/>
      <c r="I31" s="32" t="str">
        <f aca="false">IF(K31="Ready",E31*Setup!$E$18,"")</f>
        <v/>
      </c>
      <c r="J31" s="28" t="str">
        <f aca="false">IF(K31="Ready",G31-I31,"")</f>
        <v/>
      </c>
      <c r="K31" s="26" t="str">
        <f aca="false">IF(C31="","",IF(D31="Yes","Existing - excluded",IF(D31&lt;&gt;"No","Check overlap",IF(OR(NOT(ISNUMBER(E31)),E31&lt;=0),"Enter users",IF(NOT(ISNUMBER(G31)),"Enter subscription",IF(G31&lt;0,"Check cost",IF(AND(H31&lt;&gt;"Current",H31&lt;&gt;"Expected"),"Select cost basis",IF(AND(M31&lt;&gt;"Survey respondents",M31&lt;&gt;"Other departments"),"Select demand cohort",IF(COUNTIFS($C$9:$C$46,C31)&gt;1,"Duplicate entity","Ready")))))))))</f>
        <v/>
      </c>
      <c r="L31" s="47"/>
      <c r="M31" s="47"/>
    </row>
    <row r="32" customFormat="false" ht="25" hidden="false" customHeight="true" outlineLevel="0" collapsed="false">
      <c r="A32" s="1"/>
      <c r="B32" s="1"/>
      <c r="C32" s="46"/>
      <c r="D32" s="24"/>
      <c r="E32" s="24"/>
      <c r="F32" s="21"/>
      <c r="G32" s="21"/>
      <c r="H32" s="24"/>
      <c r="I32" s="32" t="str">
        <f aca="false">IF(K32="Ready",E32*Setup!$E$18,"")</f>
        <v/>
      </c>
      <c r="J32" s="28" t="str">
        <f aca="false">IF(K32="Ready",G32-I32,"")</f>
        <v/>
      </c>
      <c r="K32" s="26" t="str">
        <f aca="false">IF(C32="","",IF(D32="Yes","Existing - excluded",IF(D32&lt;&gt;"No","Check overlap",IF(OR(NOT(ISNUMBER(E32)),E32&lt;=0),"Enter users",IF(NOT(ISNUMBER(G32)),"Enter subscription",IF(G32&lt;0,"Check cost",IF(AND(H32&lt;&gt;"Current",H32&lt;&gt;"Expected"),"Select cost basis",IF(AND(M32&lt;&gt;"Survey respondents",M32&lt;&gt;"Other departments"),"Select demand cohort",IF(COUNTIFS($C$9:$C$46,C32)&gt;1,"Duplicate entity","Ready")))))))))</f>
        <v/>
      </c>
      <c r="L32" s="47"/>
      <c r="M32" s="47"/>
    </row>
    <row r="33" customFormat="false" ht="25" hidden="false" customHeight="true" outlineLevel="0" collapsed="false">
      <c r="A33" s="1"/>
      <c r="B33" s="1"/>
      <c r="C33" s="46"/>
      <c r="D33" s="24"/>
      <c r="E33" s="24"/>
      <c r="F33" s="21"/>
      <c r="G33" s="21"/>
      <c r="H33" s="24"/>
      <c r="I33" s="32" t="str">
        <f aca="false">IF(K33="Ready",E33*Setup!$E$18,"")</f>
        <v/>
      </c>
      <c r="J33" s="28" t="str">
        <f aca="false">IF(K33="Ready",G33-I33,"")</f>
        <v/>
      </c>
      <c r="K33" s="26" t="str">
        <f aca="false">IF(C33="","",IF(D33="Yes","Existing - excluded",IF(D33&lt;&gt;"No","Check overlap",IF(OR(NOT(ISNUMBER(E33)),E33&lt;=0),"Enter users",IF(NOT(ISNUMBER(G33)),"Enter subscription",IF(G33&lt;0,"Check cost",IF(AND(H33&lt;&gt;"Current",H33&lt;&gt;"Expected"),"Select cost basis",IF(AND(M33&lt;&gt;"Survey respondents",M33&lt;&gt;"Other departments"),"Select demand cohort",IF(COUNTIFS($C$9:$C$46,C33)&gt;1,"Duplicate entity","Ready")))))))))</f>
        <v/>
      </c>
      <c r="L33" s="47"/>
      <c r="M33" s="47"/>
    </row>
    <row r="34" customFormat="false" ht="25" hidden="false" customHeight="true" outlineLevel="0" collapsed="false">
      <c r="A34" s="1"/>
      <c r="B34" s="1"/>
      <c r="C34" s="46"/>
      <c r="D34" s="24"/>
      <c r="E34" s="24"/>
      <c r="F34" s="21"/>
      <c r="G34" s="21"/>
      <c r="H34" s="24"/>
      <c r="I34" s="32" t="str">
        <f aca="false">IF(K34="Ready",E34*Setup!$E$18,"")</f>
        <v/>
      </c>
      <c r="J34" s="28" t="str">
        <f aca="false">IF(K34="Ready",G34-I34,"")</f>
        <v/>
      </c>
      <c r="K34" s="26" t="str">
        <f aca="false">IF(C34="","",IF(D34="Yes","Existing - excluded",IF(D34&lt;&gt;"No","Check overlap",IF(OR(NOT(ISNUMBER(E34)),E34&lt;=0),"Enter users",IF(NOT(ISNUMBER(G34)),"Enter subscription",IF(G34&lt;0,"Check cost",IF(AND(H34&lt;&gt;"Current",H34&lt;&gt;"Expected"),"Select cost basis",IF(AND(M34&lt;&gt;"Survey respondents",M34&lt;&gt;"Other departments"),"Select demand cohort",IF(COUNTIFS($C$9:$C$46,C34)&gt;1,"Duplicate entity","Ready")))))))))</f>
        <v/>
      </c>
      <c r="L34" s="47"/>
      <c r="M34" s="47"/>
    </row>
    <row r="35" customFormat="false" ht="25" hidden="false" customHeight="true" outlineLevel="0" collapsed="false">
      <c r="A35" s="1"/>
      <c r="B35" s="1"/>
      <c r="C35" s="46"/>
      <c r="D35" s="24"/>
      <c r="E35" s="24"/>
      <c r="F35" s="21"/>
      <c r="G35" s="21"/>
      <c r="H35" s="24"/>
      <c r="I35" s="32" t="str">
        <f aca="false">IF(K35="Ready",E35*Setup!$E$18,"")</f>
        <v/>
      </c>
      <c r="J35" s="28" t="str">
        <f aca="false">IF(K35="Ready",G35-I35,"")</f>
        <v/>
      </c>
      <c r="K35" s="26" t="str">
        <f aca="false">IF(C35="","",IF(D35="Yes","Existing - excluded",IF(D35&lt;&gt;"No","Check overlap",IF(OR(NOT(ISNUMBER(E35)),E35&lt;=0),"Enter users",IF(NOT(ISNUMBER(G35)),"Enter subscription",IF(G35&lt;0,"Check cost",IF(AND(H35&lt;&gt;"Current",H35&lt;&gt;"Expected"),"Select cost basis",IF(AND(M35&lt;&gt;"Survey respondents",M35&lt;&gt;"Other departments"),"Select demand cohort",IF(COUNTIFS($C$9:$C$46,C35)&gt;1,"Duplicate entity","Ready")))))))))</f>
        <v/>
      </c>
      <c r="L35" s="47"/>
      <c r="M35" s="47"/>
    </row>
    <row r="36" customFormat="false" ht="25" hidden="false" customHeight="true" outlineLevel="0" collapsed="false">
      <c r="A36" s="1"/>
      <c r="B36" s="1"/>
      <c r="C36" s="46"/>
      <c r="D36" s="24"/>
      <c r="E36" s="24"/>
      <c r="F36" s="21"/>
      <c r="G36" s="21"/>
      <c r="H36" s="24"/>
      <c r="I36" s="32" t="str">
        <f aca="false">IF(K36="Ready",E36*Setup!$E$18,"")</f>
        <v/>
      </c>
      <c r="J36" s="28" t="str">
        <f aca="false">IF(K36="Ready",G36-I36,"")</f>
        <v/>
      </c>
      <c r="K36" s="26" t="str">
        <f aca="false">IF(C36="","",IF(D36="Yes","Existing - excluded",IF(D36&lt;&gt;"No","Check overlap",IF(OR(NOT(ISNUMBER(E36)),E36&lt;=0),"Enter users",IF(NOT(ISNUMBER(G36)),"Enter subscription",IF(G36&lt;0,"Check cost",IF(AND(H36&lt;&gt;"Current",H36&lt;&gt;"Expected"),"Select cost basis",IF(AND(M36&lt;&gt;"Survey respondents",M36&lt;&gt;"Other departments"),"Select demand cohort",IF(COUNTIFS($C$9:$C$46,C36)&gt;1,"Duplicate entity","Ready")))))))))</f>
        <v/>
      </c>
      <c r="L36" s="47"/>
      <c r="M36" s="47"/>
    </row>
    <row r="37" customFormat="false" ht="25" hidden="false" customHeight="true" outlineLevel="0" collapsed="false">
      <c r="A37" s="1"/>
      <c r="B37" s="1"/>
      <c r="C37" s="46"/>
      <c r="D37" s="24"/>
      <c r="E37" s="24"/>
      <c r="F37" s="21"/>
      <c r="G37" s="21"/>
      <c r="H37" s="24"/>
      <c r="I37" s="32" t="str">
        <f aca="false">IF(K37="Ready",E37*Setup!$E$18,"")</f>
        <v/>
      </c>
      <c r="J37" s="28" t="str">
        <f aca="false">IF(K37="Ready",G37-I37,"")</f>
        <v/>
      </c>
      <c r="K37" s="26" t="str">
        <f aca="false">IF(C37="","",IF(D37="Yes","Existing - excluded",IF(D37&lt;&gt;"No","Check overlap",IF(OR(NOT(ISNUMBER(E37)),E37&lt;=0),"Enter users",IF(NOT(ISNUMBER(G37)),"Enter subscription",IF(G37&lt;0,"Check cost",IF(AND(H37&lt;&gt;"Current",H37&lt;&gt;"Expected"),"Select cost basis",IF(AND(M37&lt;&gt;"Survey respondents",M37&lt;&gt;"Other departments"),"Select demand cohort",IF(COUNTIFS($C$9:$C$46,C37)&gt;1,"Duplicate entity","Ready")))))))))</f>
        <v/>
      </c>
      <c r="L37" s="47"/>
      <c r="M37" s="47"/>
    </row>
    <row r="38" customFormat="false" ht="25" hidden="false" customHeight="true" outlineLevel="0" collapsed="false">
      <c r="A38" s="1"/>
      <c r="B38" s="1"/>
      <c r="C38" s="46"/>
      <c r="D38" s="24"/>
      <c r="E38" s="24"/>
      <c r="F38" s="21"/>
      <c r="G38" s="21"/>
      <c r="H38" s="24"/>
      <c r="I38" s="32" t="str">
        <f aca="false">IF(K38="Ready",E38*Setup!$E$18,"")</f>
        <v/>
      </c>
      <c r="J38" s="28" t="str">
        <f aca="false">IF(K38="Ready",G38-I38,"")</f>
        <v/>
      </c>
      <c r="K38" s="26" t="str">
        <f aca="false">IF(C38="","",IF(D38="Yes","Existing - excluded",IF(D38&lt;&gt;"No","Check overlap",IF(OR(NOT(ISNUMBER(E38)),E38&lt;=0),"Enter users",IF(NOT(ISNUMBER(G38)),"Enter subscription",IF(G38&lt;0,"Check cost",IF(AND(H38&lt;&gt;"Current",H38&lt;&gt;"Expected"),"Select cost basis",IF(AND(M38&lt;&gt;"Survey respondents",M38&lt;&gt;"Other departments"),"Select demand cohort",IF(COUNTIFS($C$9:$C$46,C38)&gt;1,"Duplicate entity","Ready")))))))))</f>
        <v/>
      </c>
      <c r="L38" s="47"/>
      <c r="M38" s="47"/>
    </row>
    <row r="39" customFormat="false" ht="25" hidden="false" customHeight="true" outlineLevel="0" collapsed="false">
      <c r="A39" s="1"/>
      <c r="B39" s="1"/>
      <c r="C39" s="46"/>
      <c r="D39" s="24"/>
      <c r="E39" s="24"/>
      <c r="F39" s="21"/>
      <c r="G39" s="21"/>
      <c r="H39" s="24"/>
      <c r="I39" s="32" t="str">
        <f aca="false">IF(K39="Ready",E39*Setup!$E$18,"")</f>
        <v/>
      </c>
      <c r="J39" s="28" t="str">
        <f aca="false">IF(K39="Ready",G39-I39,"")</f>
        <v/>
      </c>
      <c r="K39" s="26" t="str">
        <f aca="false">IF(C39="","",IF(D39="Yes","Existing - excluded",IF(D39&lt;&gt;"No","Check overlap",IF(OR(NOT(ISNUMBER(E39)),E39&lt;=0),"Enter users",IF(NOT(ISNUMBER(G39)),"Enter subscription",IF(G39&lt;0,"Check cost",IF(AND(H39&lt;&gt;"Current",H39&lt;&gt;"Expected"),"Select cost basis",IF(AND(M39&lt;&gt;"Survey respondents",M39&lt;&gt;"Other departments"),"Select demand cohort",IF(COUNTIFS($C$9:$C$46,C39)&gt;1,"Duplicate entity","Ready")))))))))</f>
        <v/>
      </c>
      <c r="L39" s="47"/>
      <c r="M39" s="47"/>
    </row>
    <row r="40" customFormat="false" ht="25" hidden="false" customHeight="true" outlineLevel="0" collapsed="false">
      <c r="A40" s="1"/>
      <c r="B40" s="1"/>
      <c r="C40" s="46"/>
      <c r="D40" s="24"/>
      <c r="E40" s="24"/>
      <c r="F40" s="21"/>
      <c r="G40" s="21"/>
      <c r="H40" s="24"/>
      <c r="I40" s="32" t="str">
        <f aca="false">IF(K40="Ready",E40*Setup!$E$18,"")</f>
        <v/>
      </c>
      <c r="J40" s="28" t="str">
        <f aca="false">IF(K40="Ready",G40-I40,"")</f>
        <v/>
      </c>
      <c r="K40" s="26" t="str">
        <f aca="false">IF(C40="","",IF(D40="Yes","Existing - excluded",IF(D40&lt;&gt;"No","Check overlap",IF(OR(NOT(ISNUMBER(E40)),E40&lt;=0),"Enter users",IF(NOT(ISNUMBER(G40)),"Enter subscription",IF(G40&lt;0,"Check cost",IF(AND(H40&lt;&gt;"Current",H40&lt;&gt;"Expected"),"Select cost basis",IF(AND(M40&lt;&gt;"Survey respondents",M40&lt;&gt;"Other departments"),"Select demand cohort",IF(COUNTIFS($C$9:$C$46,C40)&gt;1,"Duplicate entity","Ready")))))))))</f>
        <v/>
      </c>
      <c r="L40" s="47"/>
      <c r="M40" s="47"/>
    </row>
    <row r="41" customFormat="false" ht="25" hidden="false" customHeight="true" outlineLevel="0" collapsed="false">
      <c r="A41" s="1"/>
      <c r="B41" s="1"/>
      <c r="C41" s="46"/>
      <c r="D41" s="24"/>
      <c r="E41" s="24"/>
      <c r="F41" s="21"/>
      <c r="G41" s="21"/>
      <c r="H41" s="24"/>
      <c r="I41" s="32" t="str">
        <f aca="false">IF(K41="Ready",E41*Setup!$E$18,"")</f>
        <v/>
      </c>
      <c r="J41" s="28" t="str">
        <f aca="false">IF(K41="Ready",G41-I41,"")</f>
        <v/>
      </c>
      <c r="K41" s="26" t="str">
        <f aca="false">IF(C41="","",IF(D41="Yes","Existing - excluded",IF(D41&lt;&gt;"No","Check overlap",IF(OR(NOT(ISNUMBER(E41)),E41&lt;=0),"Enter users",IF(NOT(ISNUMBER(G41)),"Enter subscription",IF(G41&lt;0,"Check cost",IF(AND(H41&lt;&gt;"Current",H41&lt;&gt;"Expected"),"Select cost basis",IF(AND(M41&lt;&gt;"Survey respondents",M41&lt;&gt;"Other departments"),"Select demand cohort",IF(COUNTIFS($C$9:$C$46,C41)&gt;1,"Duplicate entity","Ready")))))))))</f>
        <v/>
      </c>
      <c r="L41" s="47"/>
      <c r="M41" s="47"/>
    </row>
    <row r="42" customFormat="false" ht="25" hidden="false" customHeight="true" outlineLevel="0" collapsed="false">
      <c r="A42" s="1"/>
      <c r="B42" s="1"/>
      <c r="C42" s="46"/>
      <c r="D42" s="24"/>
      <c r="E42" s="24"/>
      <c r="F42" s="21"/>
      <c r="G42" s="21"/>
      <c r="H42" s="24"/>
      <c r="I42" s="32" t="str">
        <f aca="false">IF(K42="Ready",E42*Setup!$E$18,"")</f>
        <v/>
      </c>
      <c r="J42" s="28" t="str">
        <f aca="false">IF(K42="Ready",G42-I42,"")</f>
        <v/>
      </c>
      <c r="K42" s="26" t="str">
        <f aca="false">IF(C42="","",IF(D42="Yes","Existing - excluded",IF(D42&lt;&gt;"No","Check overlap",IF(OR(NOT(ISNUMBER(E42)),E42&lt;=0),"Enter users",IF(NOT(ISNUMBER(G42)),"Enter subscription",IF(G42&lt;0,"Check cost",IF(AND(H42&lt;&gt;"Current",H42&lt;&gt;"Expected"),"Select cost basis",IF(AND(M42&lt;&gt;"Survey respondents",M42&lt;&gt;"Other departments"),"Select demand cohort",IF(COUNTIFS($C$9:$C$46,C42)&gt;1,"Duplicate entity","Ready")))))))))</f>
        <v/>
      </c>
      <c r="L42" s="47"/>
      <c r="M42" s="47"/>
    </row>
    <row r="43" customFormat="false" ht="25" hidden="false" customHeight="true" outlineLevel="0" collapsed="false">
      <c r="A43" s="1"/>
      <c r="B43" s="1"/>
      <c r="C43" s="46"/>
      <c r="D43" s="24"/>
      <c r="E43" s="24"/>
      <c r="F43" s="21"/>
      <c r="G43" s="21"/>
      <c r="H43" s="24"/>
      <c r="I43" s="32" t="str">
        <f aca="false">IF(K43="Ready",E43*Setup!$E$18,"")</f>
        <v/>
      </c>
      <c r="J43" s="28" t="str">
        <f aca="false">IF(K43="Ready",G43-I43,"")</f>
        <v/>
      </c>
      <c r="K43" s="26" t="str">
        <f aca="false">IF(C43="","",IF(D43="Yes","Existing - excluded",IF(D43&lt;&gt;"No","Check overlap",IF(OR(NOT(ISNUMBER(E43)),E43&lt;=0),"Enter users",IF(NOT(ISNUMBER(G43)),"Enter subscription",IF(G43&lt;0,"Check cost",IF(AND(H43&lt;&gt;"Current",H43&lt;&gt;"Expected"),"Select cost basis",IF(AND(M43&lt;&gt;"Survey respondents",M43&lt;&gt;"Other departments"),"Select demand cohort",IF(COUNTIFS($C$9:$C$46,C43)&gt;1,"Duplicate entity","Ready")))))))))</f>
        <v/>
      </c>
      <c r="L43" s="47"/>
      <c r="M43" s="47"/>
    </row>
    <row r="44" customFormat="false" ht="25" hidden="false" customHeight="true" outlineLevel="0" collapsed="false">
      <c r="A44" s="1"/>
      <c r="B44" s="1"/>
      <c r="C44" s="46"/>
      <c r="D44" s="24"/>
      <c r="E44" s="24"/>
      <c r="F44" s="21"/>
      <c r="G44" s="21"/>
      <c r="H44" s="24"/>
      <c r="I44" s="32" t="str">
        <f aca="false">IF(K44="Ready",E44*Setup!$E$18,"")</f>
        <v/>
      </c>
      <c r="J44" s="28" t="str">
        <f aca="false">IF(K44="Ready",G44-I44,"")</f>
        <v/>
      </c>
      <c r="K44" s="26" t="str">
        <f aca="false">IF(C44="","",IF(D44="Yes","Existing - excluded",IF(D44&lt;&gt;"No","Check overlap",IF(OR(NOT(ISNUMBER(E44)),E44&lt;=0),"Enter users",IF(NOT(ISNUMBER(G44)),"Enter subscription",IF(G44&lt;0,"Check cost",IF(AND(H44&lt;&gt;"Current",H44&lt;&gt;"Expected"),"Select cost basis",IF(AND(M44&lt;&gt;"Survey respondents",M44&lt;&gt;"Other departments"),"Select demand cohort",IF(COUNTIFS($C$9:$C$46,C44)&gt;1,"Duplicate entity","Ready")))))))))</f>
        <v/>
      </c>
      <c r="L44" s="47"/>
      <c r="M44" s="47"/>
    </row>
    <row r="45" customFormat="false" ht="25" hidden="false" customHeight="true" outlineLevel="0" collapsed="false">
      <c r="A45" s="1"/>
      <c r="B45" s="1"/>
      <c r="C45" s="46"/>
      <c r="D45" s="24"/>
      <c r="E45" s="24"/>
      <c r="F45" s="21"/>
      <c r="G45" s="21"/>
      <c r="H45" s="24"/>
      <c r="I45" s="32" t="str">
        <f aca="false">IF(K45="Ready",E45*Setup!$E$18,"")</f>
        <v/>
      </c>
      <c r="J45" s="28" t="str">
        <f aca="false">IF(K45="Ready",G45-I45,"")</f>
        <v/>
      </c>
      <c r="K45" s="26" t="str">
        <f aca="false">IF(C45="","",IF(D45="Yes","Existing - excluded",IF(D45&lt;&gt;"No","Check overlap",IF(OR(NOT(ISNUMBER(E45)),E45&lt;=0),"Enter users",IF(NOT(ISNUMBER(G45)),"Enter subscription",IF(G45&lt;0,"Check cost",IF(AND(H45&lt;&gt;"Current",H45&lt;&gt;"Expected"),"Select cost basis",IF(AND(M45&lt;&gt;"Survey respondents",M45&lt;&gt;"Other departments"),"Select demand cohort",IF(COUNTIFS($C$9:$C$46,C45)&gt;1,"Duplicate entity","Ready")))))))))</f>
        <v/>
      </c>
      <c r="L45" s="47"/>
      <c r="M45" s="47"/>
    </row>
    <row r="46" customFormat="false" ht="25" hidden="false" customHeight="true" outlineLevel="0" collapsed="false">
      <c r="A46" s="1"/>
      <c r="B46" s="1"/>
      <c r="C46" s="46"/>
      <c r="D46" s="24"/>
      <c r="E46" s="24"/>
      <c r="F46" s="21"/>
      <c r="G46" s="21"/>
      <c r="H46" s="24"/>
      <c r="I46" s="32" t="str">
        <f aca="false">IF(K46="Ready",E46*Setup!$E$18,"")</f>
        <v/>
      </c>
      <c r="J46" s="28" t="str">
        <f aca="false">IF(K46="Ready",G46-I46,"")</f>
        <v/>
      </c>
      <c r="K46" s="26" t="str">
        <f aca="false">IF(C46="","",IF(D46="Yes","Existing - excluded",IF(D46&lt;&gt;"No","Check overlap",IF(OR(NOT(ISNUMBER(E46)),E46&lt;=0),"Enter users",IF(NOT(ISNUMBER(G46)),"Enter subscription",IF(G46&lt;0,"Check cost",IF(AND(H46&lt;&gt;"Current",H46&lt;&gt;"Expected"),"Select cost basis",IF(AND(M46&lt;&gt;"Survey respondents",M46&lt;&gt;"Other departments"),"Select demand cohort",IF(COUNTIFS($C$9:$C$46,C46)&gt;1,"Duplicate entity","Ready")))))))))</f>
        <v/>
      </c>
      <c r="L46" s="47"/>
      <c r="M46" s="47"/>
    </row>
    <row r="47" customFormat="false" ht="25" hidden="false" customHeight="true" outlineLevel="0" collapsed="false">
      <c r="A47" s="1"/>
      <c r="B47" s="1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customFormat="false" ht="25" hidden="false" customHeight="true" outlineLevel="0" collapsed="false">
      <c r="A48" s="1"/>
      <c r="B48" s="1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customFormat="false" ht="25" hidden="false" customHeight="true" outlineLevel="0" collapsed="false">
      <c r="A49" s="1"/>
      <c r="B49" s="1"/>
      <c r="C49" s="9" t="s">
        <v>288</v>
      </c>
      <c r="D49" s="2"/>
      <c r="E49" s="2"/>
      <c r="F49" s="2"/>
      <c r="G49" s="2"/>
      <c r="H49" s="2"/>
      <c r="I49" s="2"/>
      <c r="J49" s="2"/>
      <c r="K49" s="2"/>
      <c r="L49" s="2"/>
      <c r="M49" s="2"/>
    </row>
    <row r="50" customFormat="false" ht="25" hidden="false" customHeight="true" outlineLevel="0" collapsed="false">
      <c r="A50" s="1"/>
      <c r="B50" s="1"/>
      <c r="C50" s="9" t="s">
        <v>289</v>
      </c>
      <c r="D50" s="2"/>
      <c r="E50" s="2"/>
      <c r="F50" s="2"/>
      <c r="G50" s="2"/>
      <c r="H50" s="2"/>
      <c r="I50" s="2"/>
      <c r="J50" s="2"/>
      <c r="K50" s="2"/>
      <c r="L50" s="2"/>
      <c r="M50" s="2"/>
    </row>
    <row r="51" customFormat="false" ht="25" hidden="false" customHeight="true" outlineLevel="0" collapsed="false">
      <c r="A51" s="1"/>
      <c r="B51" s="1"/>
      <c r="C51" s="9" t="s">
        <v>290</v>
      </c>
      <c r="D51" s="2"/>
      <c r="E51" s="2"/>
      <c r="F51" s="2"/>
      <c r="G51" s="2"/>
      <c r="H51" s="2"/>
      <c r="I51" s="2"/>
      <c r="J51" s="2"/>
      <c r="K51" s="2"/>
      <c r="L51" s="2"/>
      <c r="M51" s="2"/>
    </row>
    <row r="52" customFormat="false" ht="25" hidden="false" customHeight="true" outlineLevel="0" collapsed="false">
      <c r="A52" s="1"/>
      <c r="B52" s="1"/>
      <c r="C52" s="9" t="s">
        <v>291</v>
      </c>
      <c r="D52" s="2"/>
      <c r="E52" s="2"/>
      <c r="F52" s="2"/>
      <c r="G52" s="2"/>
      <c r="H52" s="2"/>
      <c r="I52" s="2"/>
      <c r="J52" s="2"/>
      <c r="K52" s="2"/>
      <c r="L52" s="2"/>
      <c r="M52" s="2"/>
    </row>
    <row r="53" customFormat="false" ht="25" hidden="false" customHeight="true" outlineLevel="0" collapsed="false">
      <c r="A53" s="1"/>
      <c r="B53" s="1"/>
      <c r="C53" s="9" t="s">
        <v>292</v>
      </c>
      <c r="D53" s="2"/>
      <c r="E53" s="2"/>
      <c r="F53" s="2"/>
      <c r="G53" s="2"/>
      <c r="H53" s="2"/>
      <c r="I53" s="2"/>
      <c r="J53" s="2"/>
      <c r="K53" s="2"/>
      <c r="L53" s="2"/>
      <c r="M53" s="2"/>
    </row>
    <row r="54" customFormat="false" ht="25" hidden="false" customHeight="true" outlineLevel="0" collapsed="false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customFormat="false" ht="25" hidden="false" customHeight="true" outlineLevel="0" collapsed="false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customFormat="false" ht="25" hidden="false" customHeight="true" outlineLevel="0" collapsed="false">
      <c r="A56" s="1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</row>
  </sheetData>
  <conditionalFormatting sqref="J9:J46">
    <cfRule type="cellIs" priority="2" operator="lessThan" aboveAverage="0" equalAverage="0" bottom="0" percent="0" rank="0" text="" dxfId="9">
      <formula>0</formula>
    </cfRule>
  </conditionalFormatting>
  <conditionalFormatting sqref="K9:K46">
    <cfRule type="containsText" priority="3" operator="containsText" aboveAverage="0" equalAverage="0" bottom="0" percent="0" rank="0" text="Duplicate" dxfId="10">
      <formula>NOT(ISERROR(SEARCH("Duplicate",K9)))</formula>
    </cfRule>
  </conditionalFormatting>
  <dataValidations count="4">
    <dataValidation allowBlank="false" errorStyle="stop" operator="between" showDropDown="false" showErrorMessage="false" showInputMessage="false" sqref="D9:D46" type="list">
      <formula1>"Yes,No,Unknown"</formula1>
      <formula2>0</formula2>
    </dataValidation>
    <dataValidation allowBlank="false" errorStyle="stop" operator="between" showDropDown="false" showErrorMessage="false" showInputMessage="false" sqref="H9:H46" type="list">
      <formula1>"Current,Expected"</formula1>
      <formula2>0</formula2>
    </dataValidation>
    <dataValidation allowBlank="false" errorStyle="stop" operator="between" showDropDown="false" showErrorMessage="false" showInputMessage="false" sqref="M9:M46" type="list">
      <formula1>"Survey respondents,Other departments"</formula1>
      <formula2>0</formula2>
    </dataValidation>
    <dataValidation allowBlank="false" errorStyle="stop" operator="greaterThanOrEqual" showDropDown="false" showErrorMessage="false" showInputMessage="false" sqref="E9:E46" type="whole">
      <formula1>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13"/>
    <col collapsed="false" customWidth="true" hidden="false" outlineLevel="0" max="4" min="4" style="0" width="72"/>
    <col collapsed="false" customWidth="true" hidden="false" outlineLevel="0" max="5" min="5" style="0" width="38"/>
    <col collapsed="false" customWidth="true" hidden="false" outlineLevel="0" max="6" min="6" style="0" width="19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</row>
    <row r="2" customFormat="false" ht="25" hidden="false" customHeight="true" outlineLevel="0" collapsed="false">
      <c r="A2" s="1"/>
      <c r="B2" s="1"/>
      <c r="C2" s="3" t="s">
        <v>293</v>
      </c>
      <c r="D2" s="2"/>
      <c r="E2" s="2"/>
      <c r="F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48"/>
      <c r="H3" s="48"/>
    </row>
    <row r="4" customFormat="false" ht="25" hidden="false" customHeight="true" outlineLevel="0" collapsed="false">
      <c r="A4" s="1"/>
      <c r="B4" s="1"/>
      <c r="C4" s="1" t="s">
        <v>116</v>
      </c>
      <c r="D4" s="2"/>
      <c r="E4" s="31" t="n">
        <f aca="false">Setup!E5</f>
        <v>8000</v>
      </c>
      <c r="F4" s="2"/>
    </row>
    <row r="5" customFormat="false" ht="25" hidden="false" customHeight="true" outlineLevel="0" collapsed="false">
      <c r="A5" s="1"/>
      <c r="B5" s="1"/>
      <c r="C5" s="1"/>
      <c r="D5" s="2"/>
      <c r="E5" s="2"/>
      <c r="F5" s="2"/>
    </row>
    <row r="6" customFormat="false" ht="25" hidden="false" customHeight="true" outlineLevel="0" collapsed="false">
      <c r="A6" s="1"/>
      <c r="B6" s="1"/>
      <c r="C6" s="9" t="s">
        <v>294</v>
      </c>
      <c r="D6" s="2"/>
      <c r="E6" s="2"/>
      <c r="F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</row>
    <row r="8" customFormat="false" ht="40" hidden="false" customHeight="true" outlineLevel="0" collapsed="false">
      <c r="A8" s="1"/>
      <c r="B8" s="1"/>
      <c r="C8" s="10" t="s">
        <v>295</v>
      </c>
      <c r="D8" s="11" t="s">
        <v>296</v>
      </c>
      <c r="E8" s="11" t="s">
        <v>297</v>
      </c>
      <c r="F8" s="2"/>
    </row>
    <row r="9" customFormat="false" ht="30" hidden="false" customHeight="true" outlineLevel="0" collapsed="false">
      <c r="A9" s="1"/>
      <c r="B9" s="1"/>
      <c r="C9" s="1" t="n">
        <v>1</v>
      </c>
      <c r="D9" s="49" t="s">
        <v>298</v>
      </c>
      <c r="E9" s="2"/>
      <c r="F9" s="2"/>
    </row>
    <row r="10" customFormat="false" ht="30" hidden="false" customHeight="true" outlineLevel="0" collapsed="false">
      <c r="A10" s="1"/>
      <c r="B10" s="1"/>
      <c r="C10" s="1" t="n">
        <v>2</v>
      </c>
      <c r="D10" s="49" t="s">
        <v>299</v>
      </c>
      <c r="E10" s="2"/>
      <c r="F10" s="2"/>
    </row>
    <row r="11" customFormat="false" ht="30" hidden="false" customHeight="true" outlineLevel="0" collapsed="false">
      <c r="A11" s="1"/>
      <c r="B11" s="1"/>
      <c r="C11" s="1" t="n">
        <v>3</v>
      </c>
      <c r="D11" s="49" t="s">
        <v>300</v>
      </c>
      <c r="E11" s="2"/>
      <c r="F11" s="2"/>
    </row>
    <row r="12" customFormat="false" ht="30" hidden="false" customHeight="true" outlineLevel="0" collapsed="false">
      <c r="A12" s="1"/>
      <c r="B12" s="1"/>
      <c r="C12" s="1" t="n">
        <v>4</v>
      </c>
      <c r="D12" s="49" t="s">
        <v>301</v>
      </c>
      <c r="E12" s="2"/>
      <c r="F12" s="2"/>
    </row>
    <row r="13" customFormat="false" ht="30" hidden="false" customHeight="true" outlineLevel="0" collapsed="false">
      <c r="A13" s="1"/>
      <c r="B13" s="1"/>
      <c r="C13" s="1" t="n">
        <v>5</v>
      </c>
      <c r="D13" s="49" t="s">
        <v>302</v>
      </c>
      <c r="E13" s="2"/>
      <c r="F13" s="2"/>
    </row>
    <row r="14" customFormat="false" ht="30" hidden="false" customHeight="true" outlineLevel="0" collapsed="false">
      <c r="A14" s="1"/>
      <c r="B14" s="1"/>
      <c r="C14" s="1" t="n">
        <v>6</v>
      </c>
      <c r="D14" s="49" t="s">
        <v>303</v>
      </c>
      <c r="E14" s="2"/>
      <c r="F14" s="2"/>
    </row>
    <row r="15" customFormat="false" ht="30" hidden="false" customHeight="true" outlineLevel="0" collapsed="false">
      <c r="A15" s="1"/>
      <c r="B15" s="1"/>
      <c r="C15" s="1" t="n">
        <v>7</v>
      </c>
      <c r="D15" s="49" t="s">
        <v>304</v>
      </c>
      <c r="E15" s="2"/>
      <c r="F15" s="2"/>
    </row>
    <row r="16" customFormat="false" ht="30" hidden="false" customHeight="true" outlineLevel="0" collapsed="false">
      <c r="A16" s="1"/>
      <c r="B16" s="1"/>
      <c r="C16" s="1" t="n">
        <v>8</v>
      </c>
      <c r="D16" s="49" t="s">
        <v>127</v>
      </c>
      <c r="E16" s="2"/>
      <c r="F16" s="2"/>
    </row>
    <row r="17" customFormat="false" ht="30" hidden="false" customHeight="true" outlineLevel="0" collapsed="false">
      <c r="A17" s="1"/>
      <c r="B17" s="1"/>
      <c r="C17" s="1"/>
      <c r="D17" s="49" t="s">
        <v>127</v>
      </c>
      <c r="E17" s="2"/>
      <c r="F17" s="2"/>
    </row>
    <row r="18" customFormat="false" ht="30" hidden="false" customHeight="true" outlineLevel="0" collapsed="false">
      <c r="A18" s="1"/>
      <c r="B18" s="1"/>
      <c r="C18" s="1" t="n">
        <v>9</v>
      </c>
      <c r="D18" s="49" t="s">
        <v>305</v>
      </c>
      <c r="E18" s="2"/>
      <c r="F18" s="2"/>
    </row>
    <row r="19" customFormat="false" ht="30" hidden="false" customHeight="true" outlineLevel="0" collapsed="false">
      <c r="A19" s="1"/>
      <c r="B19" s="1"/>
      <c r="C19" s="1" t="n">
        <v>10</v>
      </c>
      <c r="D19" s="49" t="s">
        <v>306</v>
      </c>
      <c r="E19" s="2"/>
      <c r="F19" s="2"/>
    </row>
    <row r="20" customFormat="false" ht="30" hidden="false" customHeight="true" outlineLevel="0" collapsed="false">
      <c r="A20" s="1"/>
      <c r="B20" s="1"/>
      <c r="C20" s="1" t="n">
        <v>11</v>
      </c>
      <c r="D20" s="49" t="s">
        <v>307</v>
      </c>
      <c r="E20" s="2"/>
      <c r="F20" s="2"/>
    </row>
    <row r="21" customFormat="false" ht="30" hidden="false" customHeight="true" outlineLevel="0" collapsed="false">
      <c r="A21" s="1"/>
      <c r="B21" s="1"/>
      <c r="C21" s="1" t="n">
        <v>12</v>
      </c>
      <c r="D21" s="49" t="s">
        <v>308</v>
      </c>
      <c r="E21" s="2"/>
      <c r="F21" s="2"/>
    </row>
    <row r="22" customFormat="false" ht="30" hidden="false" customHeight="true" outlineLevel="0" collapsed="false">
      <c r="A22" s="1"/>
      <c r="B22" s="1"/>
      <c r="C22" s="1" t="n">
        <v>13</v>
      </c>
      <c r="D22" s="49" t="s">
        <v>309</v>
      </c>
      <c r="E22" s="2"/>
      <c r="F22" s="2"/>
    </row>
    <row r="23" customFormat="false" ht="30" hidden="false" customHeight="true" outlineLevel="0" collapsed="false">
      <c r="A23" s="1"/>
      <c r="B23" s="1"/>
      <c r="C23" s="1" t="n">
        <v>14</v>
      </c>
      <c r="D23" s="49" t="s">
        <v>310</v>
      </c>
      <c r="E23" s="2"/>
      <c r="F23" s="2"/>
    </row>
    <row r="24" customFormat="false" ht="30" hidden="false" customHeight="true" outlineLevel="0" collapsed="false">
      <c r="A24" s="1"/>
      <c r="B24" s="1"/>
      <c r="C24" s="1" t="n">
        <v>15</v>
      </c>
      <c r="D24" s="49" t="s">
        <v>311</v>
      </c>
      <c r="E24" s="2"/>
      <c r="F24" s="2"/>
    </row>
    <row r="25" customFormat="false" ht="30" hidden="false" customHeight="true" outlineLevel="0" collapsed="false">
      <c r="A25" s="1"/>
      <c r="B25" s="1"/>
      <c r="C25" s="1" t="n">
        <v>16</v>
      </c>
      <c r="D25" s="49" t="s">
        <v>312</v>
      </c>
      <c r="E25" s="2"/>
      <c r="F25" s="2"/>
    </row>
    <row r="26" customFormat="false" ht="30" hidden="false" customHeight="true" outlineLevel="0" collapsed="false">
      <c r="A26" s="1"/>
      <c r="B26" s="1"/>
      <c r="C26" s="1" t="n">
        <v>17</v>
      </c>
      <c r="D26" s="49" t="s">
        <v>313</v>
      </c>
      <c r="E26" s="2"/>
      <c r="F26" s="2"/>
    </row>
    <row r="27" customFormat="false" ht="30" hidden="false" customHeight="true" outlineLevel="0" collapsed="false">
      <c r="A27" s="1"/>
      <c r="B27" s="1"/>
      <c r="C27" s="1" t="n">
        <v>18</v>
      </c>
      <c r="D27" s="49" t="s">
        <v>314</v>
      </c>
      <c r="E27" s="2"/>
      <c r="F27" s="2"/>
    </row>
    <row r="28" customFormat="false" ht="30" hidden="false" customHeight="true" outlineLevel="0" collapsed="false">
      <c r="A28" s="1"/>
      <c r="B28" s="1"/>
      <c r="C28" s="1" t="n">
        <v>19</v>
      </c>
      <c r="D28" s="49" t="s">
        <v>128</v>
      </c>
      <c r="E28" s="2"/>
      <c r="F28" s="2"/>
    </row>
    <row r="29" customFormat="false" ht="30" hidden="false" customHeight="true" outlineLevel="0" collapsed="false">
      <c r="A29" s="1"/>
      <c r="B29" s="1"/>
      <c r="C29" s="1" t="n">
        <v>20</v>
      </c>
      <c r="D29" s="49" t="s">
        <v>315</v>
      </c>
      <c r="E29" s="2"/>
      <c r="F29" s="2"/>
    </row>
    <row r="30" customFormat="false" ht="30" hidden="false" customHeight="true" outlineLevel="0" collapsed="false">
      <c r="A30" s="1"/>
      <c r="B30" s="1"/>
      <c r="C30" s="1" t="n">
        <v>21</v>
      </c>
      <c r="D30" s="49" t="s">
        <v>316</v>
      </c>
      <c r="E30" s="2"/>
      <c r="F30" s="2"/>
    </row>
    <row r="31" customFormat="false" ht="30" hidden="false" customHeight="true" outlineLevel="0" collapsed="false">
      <c r="A31" s="1"/>
      <c r="B31" s="1"/>
      <c r="C31" s="1" t="n">
        <v>22</v>
      </c>
      <c r="D31" s="49" t="s">
        <v>317</v>
      </c>
      <c r="E31" s="2"/>
      <c r="F31" s="2"/>
    </row>
    <row r="32" customFormat="false" ht="30" hidden="false" customHeight="true" outlineLevel="0" collapsed="false">
      <c r="A32" s="1"/>
      <c r="B32" s="1"/>
      <c r="C32" s="1" t="n">
        <v>23</v>
      </c>
      <c r="D32" s="49" t="s">
        <v>318</v>
      </c>
      <c r="E32" s="2"/>
      <c r="F32" s="2"/>
    </row>
    <row r="33" customFormat="false" ht="30" hidden="false" customHeight="true" outlineLevel="0" collapsed="false">
      <c r="A33" s="1"/>
      <c r="B33" s="1"/>
      <c r="C33" s="1" t="n">
        <v>24</v>
      </c>
      <c r="D33" s="49" t="s">
        <v>129</v>
      </c>
      <c r="E33" s="2"/>
      <c r="F33" s="2"/>
    </row>
    <row r="34" customFormat="false" ht="30" hidden="false" customHeight="true" outlineLevel="0" collapsed="false">
      <c r="A34" s="1"/>
      <c r="B34" s="1"/>
      <c r="C34" s="1" t="n">
        <v>25</v>
      </c>
      <c r="D34" s="49" t="s">
        <v>319</v>
      </c>
      <c r="E34" s="2"/>
      <c r="F34" s="2"/>
    </row>
    <row r="35" customFormat="false" ht="30" hidden="false" customHeight="true" outlineLevel="0" collapsed="false">
      <c r="A35" s="1"/>
      <c r="B35" s="1"/>
      <c r="C35" s="1" t="n">
        <v>26</v>
      </c>
      <c r="D35" s="49" t="s">
        <v>320</v>
      </c>
      <c r="E35" s="2"/>
      <c r="F35" s="2"/>
    </row>
    <row r="36" customFormat="false" ht="30" hidden="false" customHeight="true" outlineLevel="0" collapsed="false">
      <c r="A36" s="1"/>
      <c r="B36" s="1"/>
      <c r="C36" s="1" t="n">
        <v>27</v>
      </c>
      <c r="D36" s="49" t="s">
        <v>321</v>
      </c>
      <c r="E36" s="2"/>
      <c r="F36" s="2"/>
    </row>
    <row r="37" customFormat="false" ht="30" hidden="false" customHeight="true" outlineLevel="0" collapsed="false">
      <c r="A37" s="1"/>
      <c r="B37" s="1"/>
      <c r="C37" s="1" t="n">
        <v>28</v>
      </c>
      <c r="D37" s="49" t="s">
        <v>322</v>
      </c>
      <c r="E37" s="2"/>
      <c r="F37" s="2"/>
    </row>
    <row r="38" customFormat="false" ht="30" hidden="false" customHeight="true" outlineLevel="0" collapsed="false">
      <c r="A38" s="1"/>
      <c r="B38" s="1"/>
      <c r="C38" s="1" t="n">
        <v>29</v>
      </c>
      <c r="D38" s="49" t="s">
        <v>323</v>
      </c>
      <c r="E38" s="2"/>
      <c r="F38" s="2"/>
    </row>
    <row r="39" customFormat="false" ht="30" hidden="false" customHeight="true" outlineLevel="0" collapsed="false">
      <c r="A39" s="1"/>
      <c r="B39" s="1"/>
      <c r="C39" s="1" t="n">
        <v>30</v>
      </c>
      <c r="D39" s="49" t="s">
        <v>324</v>
      </c>
      <c r="E39" s="2"/>
      <c r="F39" s="2"/>
    </row>
    <row r="40" customFormat="false" ht="30" hidden="false" customHeight="true" outlineLevel="0" collapsed="false">
      <c r="A40" s="1"/>
      <c r="B40" s="1"/>
      <c r="C40" s="1" t="n">
        <v>31</v>
      </c>
      <c r="D40" s="49" t="s">
        <v>325</v>
      </c>
      <c r="E40" s="2"/>
      <c r="F40" s="2"/>
    </row>
    <row r="41" customFormat="false" ht="30" hidden="false" customHeight="true" outlineLevel="0" collapsed="false">
      <c r="A41" s="1"/>
      <c r="B41" s="1"/>
      <c r="C41" s="1" t="n">
        <v>32</v>
      </c>
      <c r="D41" s="49" t="s">
        <v>326</v>
      </c>
      <c r="E41" s="2"/>
      <c r="F41" s="2"/>
    </row>
    <row r="42" customFormat="false" ht="30" hidden="false" customHeight="true" outlineLevel="0" collapsed="false">
      <c r="A42" s="1"/>
      <c r="B42" s="1"/>
      <c r="C42" s="1" t="n">
        <v>33</v>
      </c>
      <c r="D42" s="49" t="s">
        <v>327</v>
      </c>
      <c r="E42" s="2"/>
      <c r="F42" s="2"/>
    </row>
    <row r="43" customFormat="false" ht="30" hidden="false" customHeight="true" outlineLevel="0" collapsed="false">
      <c r="A43" s="1"/>
      <c r="B43" s="1"/>
      <c r="C43" s="1" t="n">
        <v>34</v>
      </c>
      <c r="D43" s="49" t="s">
        <v>328</v>
      </c>
      <c r="E43" s="2"/>
      <c r="F43" s="2"/>
    </row>
    <row r="44" customFormat="false" ht="30" hidden="false" customHeight="true" outlineLevel="0" collapsed="false">
      <c r="A44" s="1"/>
      <c r="B44" s="1"/>
      <c r="C44" s="1" t="n">
        <v>35</v>
      </c>
      <c r="D44" s="49" t="s">
        <v>329</v>
      </c>
      <c r="E44" s="2"/>
      <c r="F44" s="2"/>
    </row>
    <row r="45" customFormat="false" ht="30" hidden="false" customHeight="true" outlineLevel="0" collapsed="false">
      <c r="A45" s="1"/>
      <c r="B45" s="1"/>
      <c r="C45" s="1" t="n">
        <v>36</v>
      </c>
      <c r="D45" s="49" t="s">
        <v>330</v>
      </c>
      <c r="E45" s="2"/>
      <c r="F45" s="2"/>
    </row>
    <row r="46" customFormat="false" ht="30" hidden="false" customHeight="true" outlineLevel="0" collapsed="false">
      <c r="A46" s="1"/>
      <c r="B46" s="1"/>
      <c r="C46" s="1" t="n">
        <v>37</v>
      </c>
      <c r="D46" s="49" t="s">
        <v>331</v>
      </c>
      <c r="E46" s="2"/>
      <c r="F46" s="2"/>
    </row>
    <row r="47" customFormat="false" ht="30" hidden="false" customHeight="true" outlineLevel="0" collapsed="false">
      <c r="A47" s="1"/>
      <c r="B47" s="1"/>
      <c r="C47" s="1" t="n">
        <v>38</v>
      </c>
      <c r="D47" s="49" t="s">
        <v>332</v>
      </c>
      <c r="E47" s="2"/>
      <c r="F47" s="2"/>
    </row>
    <row r="48" customFormat="false" ht="30" hidden="false" customHeight="true" outlineLevel="0" collapsed="false">
      <c r="A48" s="1"/>
      <c r="B48" s="1"/>
      <c r="C48" s="1" t="n">
        <v>39</v>
      </c>
      <c r="D48" s="49" t="s">
        <v>333</v>
      </c>
      <c r="E48" s="2"/>
      <c r="F48" s="2"/>
    </row>
    <row r="49" customFormat="false" ht="30" hidden="false" customHeight="true" outlineLevel="0" collapsed="false">
      <c r="A49" s="1"/>
      <c r="B49" s="1"/>
      <c r="C49" s="1" t="n">
        <v>40</v>
      </c>
      <c r="D49" s="49" t="s">
        <v>334</v>
      </c>
      <c r="E49" s="2"/>
      <c r="F49" s="2"/>
    </row>
    <row r="50" customFormat="false" ht="30" hidden="false" customHeight="true" outlineLevel="0" collapsed="false">
      <c r="A50" s="1"/>
      <c r="B50" s="1"/>
      <c r="C50" s="1" t="n">
        <v>41</v>
      </c>
      <c r="D50" s="49" t="s">
        <v>335</v>
      </c>
      <c r="E50" s="2"/>
      <c r="F50" s="2"/>
    </row>
    <row r="51" customFormat="false" ht="30" hidden="false" customHeight="true" outlineLevel="0" collapsed="false">
      <c r="A51" s="1"/>
      <c r="B51" s="1"/>
      <c r="C51" s="1" t="n">
        <v>42</v>
      </c>
      <c r="D51" s="49" t="s">
        <v>336</v>
      </c>
      <c r="E51" s="2"/>
      <c r="F51" s="2"/>
    </row>
    <row r="52" customFormat="false" ht="30" hidden="false" customHeight="true" outlineLevel="0" collapsed="false">
      <c r="A52" s="1"/>
      <c r="B52" s="1"/>
      <c r="C52" s="1" t="n">
        <v>43</v>
      </c>
      <c r="D52" s="49" t="s">
        <v>337</v>
      </c>
      <c r="E52" s="2"/>
      <c r="F52" s="2"/>
    </row>
    <row r="53" customFormat="false" ht="30" hidden="false" customHeight="true" outlineLevel="0" collapsed="false">
      <c r="A53" s="1"/>
      <c r="B53" s="1"/>
      <c r="C53" s="1" t="n">
        <v>44</v>
      </c>
      <c r="D53" s="49" t="s">
        <v>338</v>
      </c>
      <c r="E53" s="2"/>
      <c r="F53" s="2"/>
    </row>
    <row r="54" customFormat="false" ht="30" hidden="false" customHeight="true" outlineLevel="0" collapsed="false">
      <c r="A54" s="1"/>
      <c r="B54" s="1"/>
      <c r="C54" s="1" t="n">
        <v>45</v>
      </c>
      <c r="D54" s="49" t="s">
        <v>339</v>
      </c>
      <c r="E54" s="2"/>
      <c r="F54" s="2"/>
    </row>
    <row r="55" customFormat="false" ht="30" hidden="false" customHeight="true" outlineLevel="0" collapsed="false">
      <c r="A55" s="1"/>
      <c r="B55" s="1"/>
      <c r="C55" s="1" t="n">
        <v>46</v>
      </c>
      <c r="D55" s="49" t="s">
        <v>340</v>
      </c>
      <c r="E55" s="2"/>
      <c r="F55" s="2"/>
    </row>
    <row r="56" customFormat="false" ht="30" hidden="false" customHeight="true" outlineLevel="0" collapsed="false">
      <c r="A56" s="1"/>
      <c r="B56" s="1"/>
      <c r="C56" s="1" t="n">
        <v>47</v>
      </c>
      <c r="D56" s="49" t="s">
        <v>341</v>
      </c>
      <c r="E56" s="2"/>
      <c r="F56" s="2"/>
    </row>
    <row r="57" customFormat="false" ht="30" hidden="false" customHeight="true" outlineLevel="0" collapsed="false">
      <c r="A57" s="1"/>
      <c r="B57" s="1"/>
      <c r="C57" s="1" t="n">
        <v>40</v>
      </c>
      <c r="D57" s="49" t="s">
        <v>334</v>
      </c>
      <c r="E57" s="2"/>
      <c r="F57" s="2"/>
    </row>
    <row r="58" customFormat="false" ht="30" hidden="false" customHeight="true" outlineLevel="0" collapsed="false">
      <c r="A58" s="1"/>
      <c r="B58" s="1"/>
      <c r="C58" s="1" t="n">
        <v>49</v>
      </c>
      <c r="D58" s="49" t="s">
        <v>342</v>
      </c>
      <c r="E58" s="2"/>
      <c r="F58" s="2"/>
    </row>
    <row r="59" customFormat="false" ht="30" hidden="false" customHeight="true" outlineLevel="0" collapsed="false">
      <c r="A59" s="1"/>
      <c r="B59" s="1"/>
      <c r="C59" s="1" t="n">
        <v>50</v>
      </c>
      <c r="D59" s="49" t="s">
        <v>343</v>
      </c>
      <c r="E59" s="2"/>
      <c r="F59" s="2"/>
    </row>
    <row r="60" customFormat="false" ht="30" hidden="false" customHeight="true" outlineLevel="0" collapsed="false">
      <c r="A60" s="1"/>
      <c r="B60" s="1"/>
      <c r="C60" s="1" t="n">
        <v>51</v>
      </c>
      <c r="D60" s="49" t="s">
        <v>344</v>
      </c>
      <c r="E60" s="2"/>
      <c r="F60" s="2"/>
    </row>
    <row r="61" customFormat="false" ht="30" hidden="false" customHeight="true" outlineLevel="0" collapsed="false">
      <c r="A61" s="1"/>
      <c r="B61" s="1"/>
      <c r="C61" s="1" t="n">
        <v>52</v>
      </c>
      <c r="D61" s="49" t="s">
        <v>345</v>
      </c>
      <c r="E61" s="2"/>
      <c r="F61" s="2"/>
    </row>
    <row r="62" customFormat="false" ht="30" hidden="false" customHeight="true" outlineLevel="0" collapsed="false">
      <c r="A62" s="1"/>
      <c r="B62" s="1"/>
      <c r="C62" s="1" t="n">
        <v>53</v>
      </c>
      <c r="D62" s="49" t="s">
        <v>346</v>
      </c>
      <c r="E62" s="2"/>
      <c r="F62" s="2"/>
    </row>
    <row r="63" customFormat="false" ht="30" hidden="false" customHeight="true" outlineLevel="0" collapsed="false">
      <c r="A63" s="1"/>
      <c r="B63" s="1"/>
      <c r="C63" s="1" t="n">
        <v>54</v>
      </c>
      <c r="D63" s="49" t="s">
        <v>347</v>
      </c>
      <c r="E63" s="2"/>
      <c r="F63" s="2"/>
    </row>
    <row r="64" customFormat="false" ht="30" hidden="false" customHeight="true" outlineLevel="0" collapsed="false">
      <c r="A64" s="1"/>
      <c r="B64" s="1"/>
      <c r="C64" s="1" t="n">
        <v>55</v>
      </c>
      <c r="D64" s="49" t="s">
        <v>348</v>
      </c>
      <c r="E64" s="2"/>
      <c r="F64" s="2"/>
    </row>
    <row r="65" customFormat="false" ht="30" hidden="false" customHeight="true" outlineLevel="0" collapsed="false">
      <c r="A65" s="1"/>
      <c r="B65" s="1"/>
      <c r="C65" s="1" t="n">
        <v>56</v>
      </c>
      <c r="D65" s="49" t="s">
        <v>349</v>
      </c>
      <c r="E65" s="2"/>
      <c r="F65" s="2"/>
    </row>
    <row r="66" customFormat="false" ht="30" hidden="false" customHeight="true" outlineLevel="0" collapsed="false">
      <c r="A66" s="1"/>
      <c r="B66" s="1"/>
      <c r="C66" s="1" t="n">
        <v>57</v>
      </c>
      <c r="D66" s="49" t="s">
        <v>350</v>
      </c>
      <c r="E66" s="2"/>
      <c r="F66" s="2"/>
    </row>
    <row r="67" customFormat="false" ht="30" hidden="false" customHeight="true" outlineLevel="0" collapsed="false">
      <c r="A67" s="1"/>
      <c r="B67" s="1"/>
      <c r="C67" s="1" t="n">
        <v>58</v>
      </c>
      <c r="D67" s="49" t="s">
        <v>351</v>
      </c>
      <c r="E67" s="2"/>
      <c r="F67" s="2"/>
    </row>
    <row r="68" customFormat="false" ht="30" hidden="false" customHeight="true" outlineLevel="0" collapsed="false">
      <c r="A68" s="1"/>
      <c r="B68" s="1"/>
      <c r="C68" s="1" t="n">
        <v>59</v>
      </c>
      <c r="D68" s="49" t="s">
        <v>352</v>
      </c>
      <c r="E68" s="2"/>
      <c r="F68" s="2"/>
    </row>
    <row r="69" customFormat="false" ht="30" hidden="false" customHeight="true" outlineLevel="0" collapsed="false">
      <c r="A69" s="1"/>
      <c r="B69" s="1"/>
      <c r="C69" s="1" t="n">
        <v>60</v>
      </c>
      <c r="D69" s="49" t="s">
        <v>353</v>
      </c>
      <c r="E69" s="2"/>
      <c r="F69" s="2"/>
    </row>
    <row r="70" customFormat="false" ht="30" hidden="false" customHeight="true" outlineLevel="0" collapsed="false">
      <c r="A70" s="1"/>
      <c r="B70" s="1"/>
      <c r="C70" s="1" t="n">
        <v>61</v>
      </c>
      <c r="D70" s="49" t="s">
        <v>354</v>
      </c>
      <c r="E70" s="2"/>
      <c r="F70" s="2"/>
    </row>
    <row r="71" customFormat="false" ht="30" hidden="false" customHeight="true" outlineLevel="0" collapsed="false">
      <c r="A71" s="1"/>
      <c r="B71" s="1"/>
      <c r="C71" s="1" t="n">
        <v>62</v>
      </c>
      <c r="D71" s="49" t="s">
        <v>355</v>
      </c>
      <c r="E71" s="2"/>
      <c r="F71" s="2"/>
    </row>
    <row r="72" customFormat="false" ht="30" hidden="false" customHeight="true" outlineLevel="0" collapsed="false">
      <c r="A72" s="1"/>
      <c r="B72" s="1"/>
      <c r="C72" s="1" t="n">
        <v>63</v>
      </c>
      <c r="D72" s="49" t="s">
        <v>356</v>
      </c>
      <c r="E72" s="2"/>
      <c r="F72" s="2"/>
    </row>
    <row r="73" customFormat="false" ht="30" hidden="false" customHeight="true" outlineLevel="0" collapsed="false">
      <c r="A73" s="1"/>
      <c r="B73" s="1"/>
      <c r="C73" s="1" t="n">
        <v>64</v>
      </c>
      <c r="D73" s="49" t="s">
        <v>357</v>
      </c>
      <c r="E73" s="2"/>
      <c r="F73" s="2"/>
    </row>
    <row r="74" customFormat="false" ht="30" hidden="false" customHeight="true" outlineLevel="0" collapsed="false">
      <c r="A74" s="1"/>
      <c r="B74" s="1"/>
      <c r="C74" s="1" t="n">
        <v>65</v>
      </c>
      <c r="D74" s="49" t="s">
        <v>358</v>
      </c>
      <c r="E74" s="2"/>
      <c r="F74" s="2"/>
    </row>
    <row r="75" customFormat="false" ht="30" hidden="false" customHeight="true" outlineLevel="0" collapsed="false">
      <c r="A75" s="1"/>
      <c r="B75" s="1"/>
      <c r="C75" s="1" t="n">
        <v>66</v>
      </c>
      <c r="D75" s="49" t="s">
        <v>359</v>
      </c>
      <c r="E75" s="2"/>
      <c r="F75" s="2"/>
    </row>
    <row r="76" customFormat="false" ht="30" hidden="false" customHeight="true" outlineLevel="0" collapsed="false">
      <c r="A76" s="1"/>
      <c r="B76" s="1"/>
      <c r="C76" s="1" t="n">
        <v>67</v>
      </c>
      <c r="D76" s="49" t="s">
        <v>360</v>
      </c>
      <c r="E76" s="2"/>
      <c r="F76" s="2"/>
    </row>
    <row r="77" customFormat="false" ht="30" hidden="false" customHeight="true" outlineLevel="0" collapsed="false">
      <c r="A77" s="1"/>
      <c r="B77" s="1"/>
      <c r="C77" s="1" t="n">
        <v>68</v>
      </c>
      <c r="D77" s="49" t="s">
        <v>361</v>
      </c>
      <c r="E77" s="2"/>
      <c r="F77" s="2"/>
    </row>
    <row r="78" customFormat="false" ht="30" hidden="false" customHeight="true" outlineLevel="0" collapsed="false">
      <c r="A78" s="1"/>
      <c r="B78" s="1"/>
      <c r="C78" s="1" t="n">
        <v>69</v>
      </c>
      <c r="D78" s="49" t="s">
        <v>362</v>
      </c>
      <c r="E78" s="2"/>
      <c r="F78" s="2"/>
    </row>
    <row r="79" customFormat="false" ht="30" hidden="false" customHeight="true" outlineLevel="0" collapsed="false">
      <c r="A79" s="1"/>
      <c r="B79" s="1"/>
      <c r="C79" s="1" t="n">
        <v>70</v>
      </c>
      <c r="D79" s="49" t="s">
        <v>130</v>
      </c>
      <c r="E79" s="2"/>
      <c r="F79" s="2"/>
    </row>
    <row r="80" customFormat="false" ht="30" hidden="false" customHeight="true" outlineLevel="0" collapsed="false">
      <c r="A80" s="1"/>
      <c r="B80" s="1"/>
      <c r="C80" s="1" t="n">
        <v>71</v>
      </c>
      <c r="D80" s="49" t="s">
        <v>363</v>
      </c>
      <c r="E80" s="2"/>
      <c r="F80" s="2"/>
    </row>
    <row r="81" customFormat="false" ht="30" hidden="false" customHeight="true" outlineLevel="0" collapsed="false">
      <c r="A81" s="1"/>
      <c r="B81" s="1"/>
      <c r="C81" s="1" t="n">
        <v>72</v>
      </c>
      <c r="D81" s="49" t="s">
        <v>364</v>
      </c>
      <c r="E81" s="2"/>
      <c r="F81" s="2"/>
    </row>
    <row r="82" customFormat="false" ht="30" hidden="false" customHeight="true" outlineLevel="0" collapsed="false">
      <c r="A82" s="1"/>
      <c r="B82" s="1"/>
      <c r="C82" s="1" t="n">
        <v>73</v>
      </c>
      <c r="D82" s="49" t="s">
        <v>365</v>
      </c>
      <c r="E82" s="2"/>
      <c r="F82" s="2"/>
    </row>
    <row r="83" customFormat="false" ht="30" hidden="false" customHeight="true" outlineLevel="0" collapsed="false">
      <c r="A83" s="1"/>
      <c r="B83" s="1"/>
      <c r="C83" s="1" t="n">
        <v>74</v>
      </c>
      <c r="D83" s="49" t="s">
        <v>131</v>
      </c>
      <c r="E83" s="2"/>
      <c r="F83" s="2"/>
    </row>
    <row r="84" customFormat="false" ht="30" hidden="false" customHeight="true" outlineLevel="0" collapsed="false">
      <c r="A84" s="1"/>
      <c r="B84" s="1"/>
      <c r="C84" s="1" t="n">
        <v>75</v>
      </c>
      <c r="D84" s="49" t="s">
        <v>366</v>
      </c>
      <c r="E84" s="2"/>
      <c r="F84" s="2"/>
    </row>
    <row r="85" customFormat="false" ht="30" hidden="false" customHeight="true" outlineLevel="0" collapsed="false">
      <c r="A85" s="1"/>
      <c r="B85" s="1"/>
      <c r="C85" s="1" t="n">
        <v>76</v>
      </c>
      <c r="D85" s="49" t="s">
        <v>367</v>
      </c>
      <c r="E85" s="2"/>
      <c r="F85" s="2"/>
    </row>
    <row r="86" customFormat="false" ht="30" hidden="false" customHeight="true" outlineLevel="0" collapsed="false">
      <c r="A86" s="1"/>
      <c r="B86" s="1"/>
      <c r="C86" s="1" t="n">
        <v>77</v>
      </c>
      <c r="D86" s="49" t="s">
        <v>368</v>
      </c>
      <c r="E86" s="2"/>
      <c r="F86" s="2"/>
    </row>
    <row r="87" customFormat="false" ht="30" hidden="false" customHeight="true" outlineLevel="0" collapsed="false">
      <c r="A87" s="1"/>
      <c r="B87" s="1"/>
      <c r="C87" s="1" t="n">
        <v>78</v>
      </c>
      <c r="D87" s="49" t="s">
        <v>369</v>
      </c>
      <c r="E87" s="2"/>
      <c r="F87" s="2"/>
    </row>
    <row r="88" customFormat="false" ht="30" hidden="false" customHeight="true" outlineLevel="0" collapsed="false">
      <c r="A88" s="1"/>
      <c r="B88" s="1"/>
      <c r="C88" s="1" t="n">
        <v>79</v>
      </c>
      <c r="D88" s="49" t="s">
        <v>370</v>
      </c>
      <c r="E88" s="2"/>
      <c r="F88" s="2"/>
    </row>
    <row r="89" customFormat="false" ht="30" hidden="false" customHeight="true" outlineLevel="0" collapsed="false">
      <c r="A89" s="1"/>
      <c r="B89" s="1"/>
      <c r="C89" s="1" t="n">
        <v>80</v>
      </c>
      <c r="D89" s="49" t="s">
        <v>371</v>
      </c>
      <c r="E89" s="2"/>
      <c r="F89" s="2"/>
    </row>
    <row r="90" customFormat="false" ht="30" hidden="false" customHeight="true" outlineLevel="0" collapsed="false">
      <c r="A90" s="1"/>
      <c r="B90" s="1"/>
      <c r="C90" s="1" t="n">
        <v>81</v>
      </c>
      <c r="D90" s="49" t="s">
        <v>372</v>
      </c>
      <c r="E90" s="2"/>
      <c r="F90" s="2"/>
    </row>
    <row r="91" customFormat="false" ht="30" hidden="false" customHeight="true" outlineLevel="0" collapsed="false">
      <c r="A91" s="1"/>
      <c r="B91" s="1"/>
      <c r="C91" s="1" t="n">
        <v>82</v>
      </c>
      <c r="D91" s="49" t="s">
        <v>373</v>
      </c>
      <c r="E91" s="2"/>
      <c r="F91" s="2"/>
    </row>
    <row r="92" customFormat="false" ht="30" hidden="false" customHeight="true" outlineLevel="0" collapsed="false">
      <c r="A92" s="1"/>
      <c r="B92" s="1"/>
      <c r="C92" s="1" t="n">
        <v>83</v>
      </c>
      <c r="D92" s="49" t="s">
        <v>374</v>
      </c>
      <c r="E92" s="2"/>
      <c r="F92" s="2"/>
    </row>
    <row r="93" customFormat="false" ht="30" hidden="false" customHeight="true" outlineLevel="0" collapsed="false">
      <c r="A93" s="1"/>
      <c r="B93" s="1"/>
      <c r="C93" s="1" t="n">
        <v>84</v>
      </c>
      <c r="D93" s="49" t="s">
        <v>375</v>
      </c>
      <c r="E93" s="2"/>
      <c r="F93" s="2"/>
    </row>
    <row r="94" customFormat="false" ht="30" hidden="false" customHeight="true" outlineLevel="0" collapsed="false">
      <c r="A94" s="1"/>
      <c r="B94" s="1"/>
      <c r="C94" s="1" t="n">
        <v>85</v>
      </c>
      <c r="D94" s="49" t="s">
        <v>376</v>
      </c>
      <c r="E94" s="2"/>
      <c r="F94" s="2"/>
    </row>
    <row r="95" customFormat="false" ht="30" hidden="false" customHeight="true" outlineLevel="0" collapsed="false">
      <c r="A95" s="1"/>
      <c r="B95" s="1"/>
      <c r="C95" s="1" t="n">
        <v>86</v>
      </c>
      <c r="D95" s="49" t="s">
        <v>377</v>
      </c>
      <c r="E95" s="2"/>
      <c r="F95" s="2"/>
    </row>
    <row r="96" customFormat="false" ht="30" hidden="false" customHeight="true" outlineLevel="0" collapsed="false">
      <c r="A96" s="1"/>
      <c r="B96" s="1"/>
      <c r="C96" s="1" t="n">
        <v>87</v>
      </c>
      <c r="D96" s="49" t="s">
        <v>378</v>
      </c>
      <c r="E96" s="2"/>
      <c r="F96" s="2"/>
    </row>
    <row r="97" customFormat="false" ht="30" hidden="false" customHeight="true" outlineLevel="0" collapsed="false">
      <c r="A97" s="1"/>
      <c r="B97" s="1"/>
      <c r="C97" s="1" t="n">
        <v>88</v>
      </c>
      <c r="D97" s="49" t="s">
        <v>379</v>
      </c>
      <c r="E97" s="2"/>
      <c r="F97" s="2"/>
    </row>
    <row r="98" customFormat="false" ht="30" hidden="false" customHeight="true" outlineLevel="0" collapsed="false">
      <c r="A98" s="1"/>
      <c r="B98" s="1"/>
      <c r="C98" s="1" t="n">
        <v>89</v>
      </c>
      <c r="D98" s="49" t="s">
        <v>380</v>
      </c>
      <c r="E98" s="2"/>
      <c r="F98" s="2"/>
    </row>
    <row r="99" customFormat="false" ht="30" hidden="false" customHeight="true" outlineLevel="0" collapsed="false">
      <c r="A99" s="1"/>
      <c r="B99" s="1"/>
      <c r="C99" s="1" t="n">
        <v>90</v>
      </c>
      <c r="D99" s="49" t="s">
        <v>381</v>
      </c>
      <c r="E99" s="2"/>
      <c r="F99" s="2"/>
    </row>
    <row r="100" customFormat="false" ht="30" hidden="false" customHeight="true" outlineLevel="0" collapsed="false">
      <c r="A100" s="1"/>
      <c r="B100" s="1"/>
      <c r="C100" s="1" t="n">
        <v>91</v>
      </c>
      <c r="D100" s="49" t="s">
        <v>382</v>
      </c>
      <c r="E100" s="2"/>
      <c r="F100" s="2"/>
    </row>
    <row r="101" customFormat="false" ht="30" hidden="false" customHeight="true" outlineLevel="0" collapsed="false">
      <c r="A101" s="1"/>
      <c r="B101" s="1"/>
      <c r="C101" s="1" t="n">
        <v>92</v>
      </c>
      <c r="D101" s="49" t="s">
        <v>132</v>
      </c>
      <c r="E101" s="2" t="s">
        <v>383</v>
      </c>
      <c r="F101" s="2"/>
    </row>
    <row r="102" customFormat="false" ht="25" hidden="false" customHeight="true" outlineLevel="0" collapsed="false">
      <c r="A102" s="1"/>
      <c r="B102" s="1"/>
      <c r="C102" s="1"/>
      <c r="D102" s="2"/>
      <c r="E102" s="2"/>
      <c r="F102" s="2"/>
    </row>
    <row r="103" customFormat="false" ht="25" hidden="false" customHeight="true" outlineLevel="0" collapsed="false">
      <c r="A103" s="1"/>
      <c r="B103" s="1"/>
      <c r="C103" s="1" t="s">
        <v>384</v>
      </c>
      <c r="D103" s="26" t="n">
        <f aca="false">COUNTA(D9:D101)</f>
        <v>93</v>
      </c>
      <c r="E103" s="2"/>
      <c r="F103" s="2"/>
    </row>
    <row r="104" customFormat="false" ht="25" hidden="false" customHeight="true" outlineLevel="0" collapsed="false">
      <c r="A104" s="1"/>
      <c r="B104" s="1"/>
      <c r="C104" s="1"/>
      <c r="D104" s="2"/>
      <c r="E104" s="2"/>
      <c r="F104" s="2"/>
    </row>
    <row r="105" customFormat="false" ht="25" hidden="false" customHeight="true" outlineLevel="0" collapsed="false">
      <c r="A105" s="1"/>
      <c r="B105" s="1"/>
      <c r="C105" s="9" t="s">
        <v>385</v>
      </c>
      <c r="D105" s="2"/>
      <c r="E105" s="2"/>
      <c r="F105" s="2"/>
    </row>
    <row r="106" customFormat="false" ht="25" hidden="false" customHeight="true" outlineLevel="0" collapsed="false">
      <c r="A106" s="1"/>
      <c r="B106" s="1"/>
      <c r="C106" s="1"/>
      <c r="D106" s="2"/>
      <c r="E106" s="2"/>
      <c r="F10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