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7193dbfc5545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e013a60a1ce45e6"/>
    <x:sheet xmlns:r="http://schemas.openxmlformats.org/officeDocument/2006/relationships" name="Setup" sheetId="2" r:id="Rc4a94d2833464a18"/>
    <x:sheet xmlns:r="http://schemas.openxmlformats.org/officeDocument/2006/relationships" name="Existing customers" sheetId="3" r:id="R3011ac6ab0d64dd5"/>
    <x:sheet xmlns:r="http://schemas.openxmlformats.org/officeDocument/2006/relationships" name="Survey" sheetId="4" r:id="R00d217aa327948d9"/>
    <x:sheet xmlns:r="http://schemas.openxmlformats.org/officeDocument/2006/relationships" name="Potential" sheetId="5" r:id="Rc4d0c5a0733248ad"/>
    <x:sheet xmlns:r="http://schemas.openxmlformats.org/officeDocument/2006/relationships" name="Respondents" sheetId="6" r:id="Rdcce37f5bb4148c7"/>
    <x:sheet xmlns:r="http://schemas.openxmlformats.org/officeDocument/2006/relationships" name="Entities" sheetId="7" r:id="Ra72780fd659247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;(#,##0);&quot;–&quot;"/>
    <x:numFmt numFmtId="201" formatCode="#,##0.00;(#,##0.00);&quot;–&quot;"/>
    <x:numFmt numFmtId="202" formatCode="0.0%;(0.0%);&quot;–&quot;"/>
    <x:numFmt numFmtId="203" formatCode="0.000"/>
    <x:numFmt numFmtId="204" formatCode="#,##0.0"/>
    <x:numFmt numFmtId="205" formatCode="0.0"/>
    <x:numFmt numFmtId="206" formatCode="0.00"/>
    <x:numFmt numFmtId="207" formatCode="#,##0"/>
  </x:numFmts>
  <x:fonts count="14">
    <x:font>
      <x:sz val="11"/>
      <x:name val="Carlito"/>
    </x:font>
    <x:font>
      <x:sz val="11"/>
      <x:color rgb="FF243247"/>
      <x:name val="Arial"/>
    </x:font>
    <x:font>
      <x:b/>
      <x:sz val="16"/>
      <x:color rgb="FF1D0090"/>
      <x:name val="Arial"/>
    </x:font>
    <x:font>
      <x:sz val="11"/>
      <x:color rgb="FF008000"/>
      <x:name val="Arial"/>
    </x:font>
    <x:font>
      <x:b/>
      <x:sz val="11"/>
      <x:color rgb="FF008000"/>
      <x:name val="Arial"/>
    </x:font>
    <x:font>
      <x:sz val="11"/>
      <x:color rgb="FF0000FF"/>
      <x:name val="Arial"/>
    </x:font>
    <x:font>
      <x:sz val="10"/>
      <x:color rgb="FF243247"/>
      <x:name val="Arial"/>
    </x:font>
    <x:font>
      <x:sz val="11"/>
      <x:color rgb="FF000000"/>
      <x:name val="Arial"/>
    </x:font>
    <x:font>
      <x:sz val="10"/>
      <x:color rgb="FF667085"/>
      <x:name val="Arial"/>
    </x:font>
    <x:font>
      <x:b/>
      <x:sz val="11"/>
      <x:color rgb="FFFFFFFF"/>
      <x:name val="Arial"/>
    </x:font>
    <x:font>
      <x:b/>
      <x:sz val="11"/>
      <x:color rgb="FF1D0090"/>
      <x:name val="Arial"/>
    </x:font>
    <x:font>
      <x:b/>
      <x:sz val="11"/>
      <x:color rgb="FF243247"/>
      <x:name val="Arial"/>
    </x:font>
    <x:font>
      <x:b/>
      <x:sz val="11"/>
      <x:color rgb="FF000000"/>
      <x:name val="Arial"/>
    </x:font>
    <x:font>
      <x:b/>
      <x:sz val="11"/>
      <x:color rgb="FF0000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1CC"/>
      </x:patternFill>
    </x:fill>
    <x:fill>
      <x:patternFill patternType="solid">
        <x:fgColor rgb="FFFFFFFF"/>
      </x:patternFill>
    </x:fill>
    <x:fill>
      <x:patternFill patternType="solid">
        <x:fgColor rgb="FF1D0090"/>
      </x:patternFill>
    </x:fill>
    <x:fill>
      <x:patternFill patternType="solid">
        <x:fgColor rgb="FFF4EFFF"/>
      </x:patternFill>
    </x:fill>
    <x:fill>
      <x:patternFill patternType="solid">
        <x:fgColor rgb="FFFFF1CC"/>
      </x:patternFill>
    </x:fill>
    <x:fill>
      <x:patternFill patternType="solid">
        <x:fgColor rgb="FFFFFFFF"/>
      </x:patternFill>
    </x:fill>
  </x:fills>
  <x:borders count="3">
    <x:border/>
    <x:border>
      <x:bottom style="thin">
        <x:color rgb="FF7000FF"/>
      </x:bottom>
    </x:border>
    <x:border>
      <x:top style="thin">
        <x:color rgb="FFB6A6D8"/>
      </x:top>
    </x:border>
  </x:borders>
  <x:cellStyleXfs count="1">
    <x:xf numFmtId="0" fontId="0" fillId="0" borderId="0"/>
  </x:cellStyleXfs>
  <x:cellXfs count="7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200" fontId="5" fillId="0" borderId="0" xfId="0" applyNumberFormat="1" applyFont="1" applyFill="1" applyBorder="1" applyAlignment="1">
      <x:alignment vertical="center"/>
    </x:xf>
    <x:xf numFmtId="200" fontId="5" fillId="2" borderId="0" xfId="0" applyNumberFormat="1" applyFont="1" applyFill="1" applyBorder="1" applyAlignment="1">
      <x:alignment vertical="center"/>
    </x:xf>
    <x:xf numFmtId="201" fontId="5" fillId="2" borderId="0" xfId="0" applyNumberFormat="1" applyFont="1" applyFill="1" applyBorder="1" applyAlignment="1">
      <x:alignment vertical="center"/>
    </x:xf>
    <x:xf numFmtId="202" fontId="5" fillId="2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200" fontId="9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 wrapText="1"/>
    </x:xf>
    <x:xf numFmtId="200" fontId="9" fillId="4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horizontal="center" vertical="center" wrapText="1"/>
    </x:xf>
    <x:xf numFmtId="200" fontId="9" fillId="4" borderId="0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/>
    </x:xf>
    <x:xf numFmtId="200" fontId="10" fillId="5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center"/>
    </x:xf>
    <x:xf numFmtId="200" fontId="12" fillId="0" borderId="0" xfId="0" applyNumberFormat="1" applyFont="1" applyFill="1" applyBorder="1" applyAlignment="1">
      <x:alignment vertical="center"/>
    </x:xf>
    <x:xf numFmtId="200" fontId="11" fillId="0" borderId="0" xfId="0" applyNumberFormat="1" applyFont="1" applyFill="1" applyBorder="1" applyAlignment="1">
      <x:alignment vertical="center"/>
    </x:xf>
    <x:xf numFmtId="0" fontId="11" fillId="0" borderId="2" xfId="0" applyNumberFormat="1" applyFont="1" applyFill="1" applyBorder="1" applyAlignment="1">
      <x:alignment vertical="center"/>
    </x:xf>
    <x:xf numFmtId="200" fontId="12" fillId="0" borderId="2" xfId="0" applyNumberFormat="1" applyFont="1" applyFill="1" applyBorder="1" applyAlignment="1">
      <x:alignment vertical="center"/>
    </x:xf>
    <x:xf numFmtId="200" fontId="11" fillId="0" borderId="2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11" fillId="0" borderId="2" xfId="0" applyNumberFormat="1" applyFont="1" applyFill="1" applyBorder="1" applyAlignment="1">
      <x:alignment vertical="center"/>
    </x:xf>
    <x:xf numFmtId="201" fontId="12" fillId="0" borderId="2" xfId="0" applyNumberFormat="1" applyFont="1" applyFill="1" applyBorder="1" applyAlignment="1">
      <x:alignment vertical="center"/>
    </x:xf>
    <x:xf numFmtId="202" fontId="12" fillId="0" borderId="2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204" fontId="5" fillId="2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11" fillId="0" borderId="2" xfId="0" applyNumberFormat="1" applyFont="1" applyFill="1" applyBorder="1" applyAlignment="1">
      <x:alignment vertical="center"/>
    </x:xf>
    <x:xf numFmtId="204" fontId="12" fillId="0" borderId="2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5" fontId="7" fillId="0" borderId="0" xfId="0" applyNumberFormat="1" applyFont="1" applyFill="1" applyBorder="1" applyAlignment="1">
      <x:alignment vertical="center"/>
    </x:xf>
    <x:xf numFmtId="206" fontId="7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horizontal="right" vertical="center"/>
    </x:xf>
    <x:xf numFmtId="200" fontId="7" fillId="0" borderId="0" xfId="0" applyNumberFormat="1" applyFont="1" applyFill="1" applyBorder="1" applyAlignment="1">
      <x:alignment horizontal="right" vertical="center"/>
    </x:xf>
    <x:xf numFmtId="202" fontId="7" fillId="0" borderId="0" xfId="0" applyNumberFormat="1" applyFont="1" applyFill="1" applyBorder="1" applyAlignment="1">
      <x:alignment horizontal="right" vertical="center"/>
    </x:xf>
    <x:xf numFmtId="200" fontId="4" fillId="6" borderId="0" xfId="0" applyNumberFormat="1" applyFont="1" applyFill="1" applyBorder="1" applyAlignment="1">
      <x:alignment vertical="center"/>
    </x:xf>
    <x:xf numFmtId="200" fontId="13" fillId="6" borderId="0" xfId="0" applyNumberFormat="1" applyFont="1" applyFill="1" applyBorder="1" applyAlignment="1">
      <x:alignment vertical="center"/>
    </x:xf>
    <x:xf numFmtId="207" fontId="13" fillId="6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200" fontId="5" fillId="7" borderId="0" xfId="0" applyNumberFormat="1" applyFont="1" applyFill="1" applyBorder="1" applyAlignment="1">
      <x:alignment vertical="center"/>
    </x:xf>
    <x:xf numFmtId="200" fontId="3" fillId="7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1">
    <x:dxf>
      <x:font>
        <x:color rgb="FFB42318"/>
      </x:font>
      <x:fill>
        <x:patternFill>
          <x:bgColor rgb="FFFDE9E7"/>
        </x:patternFill>
      </x:fill>
    </x:dxf>
    <x:dxf>
      <x:font>
        <x:color rgb="FFB42318"/>
      </x:font>
      <x:fill>
        <x:patternFill>
          <x:bgColor rgb="FFFDE9E7"/>
        </x:patternFill>
      </x:fill>
    </x:dxf>
    <x:dxf>
      <x:font>
        <x:color rgb="FFB42318"/>
      </x:font>
      <x:fill>
        <x:patternFill>
          <x:bgColor rgb="FFFDE9E7"/>
        </x:patternFill>
      </x:fill>
    </x:dxf>
    <x:dxf>
      <x:font>
        <x:color rgb="FFB42318"/>
      </x:font>
      <x:fill>
        <x:patternFill>
          <x:bgColor rgb="FFFDE9E7"/>
        </x:patternFill>
      </x:fill>
    </x:dxf>
    <x:dxf>
      <x:font>
        <x:color rgb="FFB42318"/>
      </x:font>
      <x:fill>
        <x:patternFill>
          <x:bgColor rgb="FFFDE9E7"/>
        </x:patternFill>
      </x:fill>
    </x:dxf>
    <x:dxf>
      <x:font>
        <x:color rgb="FFB42318"/>
      </x:font>
      <x:fill>
        <x:patternFill>
          <x:bgColor rgb="FFFDE9E7"/>
        </x:patternFill>
      </x:fill>
    </x:dxf>
    <x:dxf>
      <x:font>
        <x:color rgb="FFB42318"/>
      </x:font>
      <x:fill>
        <x:patternFill>
          <x:bgColor rgb="FFFDE9E7"/>
        </x:patternFill>
      </x:fill>
    </x:dxf>
    <x:dxf>
      <x:font>
        <x:color rgb="FFB42318"/>
      </x:font>
      <x:fill>
        <x:patternFill>
          <x:bgColor rgb="FFFDE9E7"/>
        </x:patternFill>
      </x:fill>
    </x:dxf>
    <x:dxf>
      <x:font>
        <x:color rgb="FFB42318"/>
      </x:font>
      <x:fill>
        <x:patternFill>
          <x:bgColor rgb="FFFDE9E7"/>
        </x:patternFill>
      </x:fill>
    </x:dxf>
    <x:dxf>
      <x:font>
        <x:color rgb="FFB42318"/>
      </x:font>
      <x:fill>
        <x:patternFill>
          <x:bgColor rgb="FFFDE9E7"/>
        </x:patternFill>
      </x:fill>
    </x:dxf>
    <x:dxf>
      <x:font>
        <x:color rgb="FFB42318"/>
      </x:font>
      <x:fill>
        <x:patternFill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98a4eb6a7d4099" /><Relationship Type="http://schemas.openxmlformats.org/officeDocument/2006/relationships/theme" Target="/xl/theme/theme1.xml" Id="R841ffbd54f37479c" /><Relationship Type="http://schemas.openxmlformats.org/officeDocument/2006/relationships/sharedStrings" Target="/xl/sharedStrings.xml" Id="R7f978336275748ae" /><Relationship Type="http://schemas.openxmlformats.org/officeDocument/2006/relationships/worksheet" Target="/xl/worksheets/sheet1.xml" Id="R1e013a60a1ce45e6" /><Relationship Type="http://schemas.openxmlformats.org/officeDocument/2006/relationships/worksheet" Target="/xl/worksheets/sheet2.xml" Id="Rc4a94d2833464a18" /><Relationship Type="http://schemas.openxmlformats.org/officeDocument/2006/relationships/worksheet" Target="/xl/worksheets/sheet3.xml" Id="R3011ac6ab0d64dd5" /><Relationship Type="http://schemas.openxmlformats.org/officeDocument/2006/relationships/worksheet" Target="/xl/worksheets/sheet4.xml" Id="R00d217aa327948d9" /><Relationship Type="http://schemas.openxmlformats.org/officeDocument/2006/relationships/worksheet" Target="/xl/worksheets/sheet5.xml" Id="Rc4d0c5a0733248ad" /><Relationship Type="http://schemas.openxmlformats.org/officeDocument/2006/relationships/worksheet" Target="/xl/worksheets/sheet6.xml" Id="Rdcce37f5bb4148c7" /><Relationship Type="http://schemas.openxmlformats.org/officeDocument/2006/relationships/worksheet" Target="/xl/worksheets/sheet7.xml" Id="Ra72780fd6592477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9ffbd5ac17246de" /><Relationship Type="http://schemas.openxmlformats.org/officeDocument/2006/relationships/chart" Target="/xl/drawings/charts/chart2.xml" Id="R69ac07968651491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Existing subscriptions (AED m)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Current subscription</c:v>
          </c:tx>
          <c:spPr>
            <a:solidFill xmlns:a="http://schemas.openxmlformats.org/drawingml/2006/main">
              <a:srgbClr val="1D0090"/>
            </a:solidFill>
          </c:spPr>
          <c:cat>
            <c:strRef>
              <c:f>'Summary'!$C$59</c:f>
              <c:strCache>
                <c:ptCount val="0"/>
              </c:strCache>
            </c:strRef>
          </c:cat>
          <c:val>
            <c:numRef>
              <c:f>'Summary'!$D$59</c:f>
              <c:numCache>
                <c:formatCode>#,##0;(#,##0);"–"</c:formatCode>
                <c:ptCount val="0"/>
              </c:numCache>
            </c:numRef>
          </c:val>
        </c:ser>
        <c:ser>
          <c:idx val="1"/>
          <c:order val="1"/>
          <c:tx>
            <c:v>Central subscription</c:v>
          </c:tx>
          <c:spPr>
            <a:solidFill xmlns:a="http://schemas.openxmlformats.org/drawingml/2006/main">
              <a:srgbClr val="7000FF"/>
            </a:solidFill>
          </c:spPr>
          <c:cat>
            <c:strRef>
              <c:f>'Summary'!$C$59</c:f>
              <c:strCache>
                <c:ptCount val="0"/>
              </c:strCache>
            </c:strRef>
          </c:cat>
          <c:val>
            <c:numRef>
              <c:f>'Summary'!$E$59</c:f>
              <c:numCache>
                <c:formatCode>#,##0;(#,##0);"–"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,,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Path to the selected commitment (users)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Users</c:v>
          </c:tx>
          <c:spPr>
            <a:solidFill xmlns:a="http://schemas.openxmlformats.org/drawingml/2006/main">
              <a:srgbClr val="1D0090"/>
            </a:solidFill>
          </c:spPr>
          <c:cat>
            <c:strRef>
              <c:f>'Summary'!$C$62:$C$66</c:f>
              <c:strCache>
                <c:ptCount val="0"/>
              </c:strCache>
            </c:strRef>
          </c:cat>
          <c:val>
            <c:numRef>
              <c:f>'Summary'!$D$62:$D$66</c:f>
              <c:numCache>
                <c:formatCode>#,##0;(#,##0);"–"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</xdr:col>
      <xdr:colOff>0</xdr:colOff>
      <xdr:row>40</xdr:row>
      <xdr:rowOff>0</xdr:rowOff>
    </xdr:from>
    <xdr:to>
      <xdr:col>6</xdr:col>
      <xdr:colOff>0</xdr:colOff>
      <xdr:row>56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ffbd5ac17246de"/>
        </a:graphicData>
      </a:graphic>
    </xdr:graphicFrame>
    <xdr:clientData/>
  </xdr:twoCellAnchor>
  <xdr:twoCellAnchor>
    <xdr:from>
      <xdr:col>5</xdr:col>
      <xdr:colOff>0</xdr:colOff>
      <xdr:row>40</xdr:row>
      <xdr:rowOff>0</xdr:rowOff>
    </xdr:from>
    <xdr:to>
      <xdr:col>10</xdr:col>
      <xdr:colOff>0</xdr:colOff>
      <xdr:row>56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ac07968651491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453a00e4f0447d6" /></Relationships>
</file>

<file path=xl/worksheets/sheet1.xml><?xml version="1.0" encoding="utf-8"?>
<x:worksheet xmlns:x="http://schemas.openxmlformats.org/spreadsheetml/2006/main">
  <x:sheetPr>
    <x:tabColor rgb="FF1D0090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5" customHeight="1">
      <x:c r="A1" s="2"/>
      <x:c r="B1" s="2"/>
      <x:c r="C1" s="2"/>
      <x:c r="D1" s="3"/>
      <x:c r="E1" s="3"/>
      <x:c r="F1" s="3"/>
      <x:c r="G1" s="3"/>
      <x:c r="H1" s="3"/>
      <x:c r="I1" s="3"/>
      <x:c r="J1" s="3"/>
    </x:row>
    <x:row r="2" ht="25" customHeight="1">
      <x:c r="A2" s="2"/>
      <x:c r="B2" s="2"/>
      <x:c r="C2" s="4" t="str">
        <x:v>DDA central procurement — savings and adoption</x:v>
      </x:c>
      <x:c r="D2" s="3"/>
      <x:c r="E2" s="3"/>
      <x:c r="F2" s="3"/>
      <x:c r="G2" s="3"/>
      <x:c r="H2" s="3"/>
      <x:c r="I2" s="3"/>
      <x:c r="J2" s="3"/>
    </x:row>
    <x:row r="3" ht="25" customHeight="1">
      <x:c r="A3" s="2"/>
      <x:c r="B3" s="2"/>
      <x:c r="C3" s="5"/>
      <x:c r="D3" s="6"/>
      <x:c r="E3" s="6"/>
      <x:c r="F3" s="6"/>
      <x:c r="G3" s="6"/>
      <x:c r="H3" s="6"/>
      <x:c r="I3" s="3"/>
      <x:c r="J3" s="3"/>
    </x:row>
    <x:row r="4" ht="25" customHeight="1">
      <x:c r="A4" s="2"/>
      <x:c r="B4" s="2"/>
      <x:c r="C4" s="2" t="str">
        <x:v>Annual commitment — edit E4</x:v>
      </x:c>
      <x:c r="D4" s="3"/>
      <x:c r="E4" s="68" t="n">
        <x:v>8000</x:v>
      </x:c>
      <x:c r="F4" s="3"/>
      <x:c r="G4" s="69" t="str">
        <x:v>Enter 5,000, 8,000 or 10,000 users.</x:v>
      </x:c>
      <x:c r="H4" s="3"/>
      <x:c r="I4" s="3"/>
      <x:c r="J4" s="3"/>
    </x:row>
    <x:row r="5" ht="25" customHeight="1">
      <x:c r="A5" s="2"/>
      <x:c r="B5" s="2"/>
      <x:c r="C5" s="2" t="str">
        <x:v>Seats beyond existing users + Year 1 growth</x:v>
      </x:c>
      <x:c r="D5" s="3"/>
      <x:c r="E5" s="3" t="n">
        <x:f>'Potential'!E65</x:f>
        <x:v>6428</x:v>
      </x:c>
      <x:c r="F5" s="3"/>
      <x:c r="G5" s="3" t="str">
        <x:v>Survey share of this gap</x:v>
      </x:c>
      <x:c r="H5" s="3"/>
      <x:c r="I5" s="62" t="n">
        <x:f>'Potential'!E77</x:f>
        <x:v>0.765556938394524</x:v>
      </x:c>
      <x:c r="J5" s="3"/>
    </x:row>
    <x:row r="6" ht="25" customHeight="1">
      <x:c r="A6" s="2"/>
      <x:c r="B6" s="2"/>
      <x:c r="C6" s="19" t="str">
        <x:v>A1 uses current subscriptions; A2 shows expected Year 1 user growth. B/C are modeled opportunities. Support is separate.</x:v>
      </x:c>
      <x:c r="D6" s="3"/>
      <x:c r="E6" s="3"/>
      <x:c r="F6" s="3"/>
      <x:c r="G6" s="3"/>
      <x:c r="H6" s="3"/>
      <x:c r="I6" s="3"/>
      <x:c r="J6" s="3"/>
    </x:row>
    <x:row r="7" ht="25" customHeight="1">
      <x:c r="A7" s="2"/>
      <x:c r="B7" s="2"/>
      <x:c r="C7" s="2"/>
      <x:c r="D7" s="3"/>
      <x:c r="E7" s="3"/>
      <x:c r="F7" s="3"/>
      <x:c r="G7" s="3"/>
      <x:c r="H7" s="3"/>
      <x:c r="I7" s="3"/>
      <x:c r="J7" s="3"/>
    </x:row>
    <x:row r="8" ht="40" customHeight="1">
      <x:c r="A8" s="2"/>
      <x:c r="B8" s="2"/>
      <x:c r="C8" s="26" t="str">
        <x:v>Savings source</x:v>
      </x:c>
      <x:c r="D8" s="27" t="str">
        <x:v>Year 1 users</x:v>
      </x:c>
      <x:c r="E8" s="27" t="str">
        <x:v>Year 1 benchmark AED</x:v>
      </x:c>
      <x:c r="F8" s="27" t="str">
        <x:v>Year 1 central AED</x:v>
      </x:c>
      <x:c r="G8" s="27" t="str">
        <x:v>Year 1 saving AED</x:v>
      </x:c>
      <x:c r="H8" s="27" t="str">
        <x:v>Five-year saving AED</x:v>
      </x:c>
      <x:c r="I8" s="3"/>
      <x:c r="J8" s="3"/>
    </x:row>
    <x:row r="9" ht="38" customHeight="1">
      <x:c r="A9" s="2"/>
      <x:c r="B9" s="2"/>
      <x:c r="C9" s="34" t="str">
        <x:f>'Potential'!C87</x:f>
        <x:v>A1. Existing customers — current users</x:v>
      </x:c>
      <x:c r="D9" s="3" t="n">
        <x:f>'Potential'!D87</x:f>
        <x:v>1310</x:v>
      </x:c>
      <x:c r="E9" s="3" t="n">
        <x:f>'Potential'!E87</x:f>
        <x:v>1929169.75</x:v>
      </x:c>
      <x:c r="F9" s="3" t="n">
        <x:f>'Potential'!F87</x:f>
        <x:v>1739024.9999999998</x:v>
      </x:c>
      <x:c r="G9" s="3" t="n">
        <x:f>'Potential'!G87</x:f>
        <x:v>190144.75000000023</x:v>
      </x:c>
      <x:c r="H9" s="3" t="n">
        <x:f>'Potential'!H87</x:f>
        <x:v>1051118.24268448</x:v>
      </x:c>
      <x:c r="I9" s="3"/>
      <x:c r="J9" s="3"/>
    </x:row>
    <x:row r="10" ht="38" customHeight="1">
      <x:c r="A10" s="2"/>
      <x:c r="B10" s="2"/>
      <x:c r="C10" s="34" t="str">
        <x:f>'Potential'!C88</x:f>
        <x:v>A2. Existing customers — Year 1 growth</x:v>
      </x:c>
      <x:c r="D10" s="3" t="n">
        <x:f>'Potential'!D88</x:f>
        <x:v>262</x:v>
      </x:c>
      <x:c r="E10" s="3" t="n">
        <x:f>'Potential'!E88</x:f>
        <x:v>385833.95</x:v>
      </x:c>
      <x:c r="F10" s="3" t="n">
        <x:f>'Potential'!F88</x:f>
        <x:v>347804.99999999994</x:v>
      </x:c>
      <x:c r="G10" s="3" t="n">
        <x:f>'Potential'!G88</x:f>
        <x:v>38028.95000000007</x:v>
      </x:c>
      <x:c r="H10" s="3" t="n">
        <x:f>'Potential'!H88</x:f>
        <x:v>210223.648536896</x:v>
      </x:c>
      <x:c r="I10" s="3"/>
      <x:c r="J10" s="3"/>
    </x:row>
    <x:row r="11" ht="38" customHeight="1">
      <x:c r="A11" s="2"/>
      <x:c r="B11" s="2"/>
      <x:c r="C11" s="34" t="str">
        <x:f>'Potential'!C89</x:f>
        <x:v>B. Survey-based opportunity</x:v>
      </x:c>
      <x:c r="D11" s="3" t="n">
        <x:f>'Potential'!D89</x:f>
        <x:v>4921</x:v>
      </x:c>
      <x:c r="E11" s="3" t="n">
        <x:f>'Potential'!E89</x:f>
        <x:v>14516950</x:v>
      </x:c>
      <x:c r="F11" s="3" t="n">
        <x:f>'Potential'!F89</x:f>
        <x:v>6532627.499999999</x:v>
      </x:c>
      <x:c r="G11" s="3" t="n">
        <x:f>'Potential'!G89</x:f>
        <x:v>7984322.500000001</x:v>
      </x:c>
      <x:c r="H11" s="3" t="n">
        <x:f>'Potential'!H89</x:f>
        <x:v>44115775.00000001</x:v>
      </x:c>
      <x:c r="I11" s="3"/>
      <x:c r="J11" s="3"/>
    </x:row>
    <x:row r="12" ht="38" customHeight="1">
      <x:c r="A12" s="2"/>
      <x:c r="B12" s="2"/>
      <x:c r="C12" s="34" t="str">
        <x:f>'Potential'!C90</x:f>
        <x:v>C. Other departments — adoption target</x:v>
      </x:c>
      <x:c r="D12" s="3" t="n">
        <x:f>'Potential'!D90</x:f>
        <x:v>1507</x:v>
      </x:c>
      <x:c r="E12" s="3" t="n">
        <x:f>'Potential'!E90</x:f>
        <x:v>4445650</x:v>
      </x:c>
      <x:c r="F12" s="3" t="n">
        <x:f>'Potential'!F90</x:f>
        <x:v>2000542.4999999998</x:v>
      </x:c>
      <x:c r="G12" s="3" t="n">
        <x:f>'Potential'!G90</x:f>
        <x:v>2445107.5</x:v>
      </x:c>
      <x:c r="H12" s="3" t="n">
        <x:f>'Potential'!H90</x:f>
        <x:v>13507312.500000002</x:v>
      </x:c>
      <x:c r="I12" s="3"/>
      <x:c r="J12" s="3"/>
    </x:row>
    <x:row r="13" ht="38" customHeight="1">
      <x:c r="A13" s="2"/>
      <x:c r="B13" s="2"/>
      <x:c r="C13" s="38" t="str">
        <x:f>'Potential'!C91</x:f>
        <x:v>Selected commitment total</x:v>
      </x:c>
      <x:c r="D13" s="40" t="n">
        <x:f>'Potential'!D91</x:f>
        <x:v>8000</x:v>
      </x:c>
      <x:c r="E13" s="40" t="n">
        <x:f>'Potential'!E91</x:f>
        <x:v>21277603.7</x:v>
      </x:c>
      <x:c r="F13" s="40" t="n">
        <x:f>'Potential'!F91</x:f>
        <x:v>10619999.999999998</x:v>
      </x:c>
      <x:c r="G13" s="40" t="n">
        <x:f>'Potential'!G91</x:f>
        <x:v>10657603.700000001</x:v>
      </x:c>
      <x:c r="H13" s="40" t="n">
        <x:f>'Potential'!H91</x:f>
        <x:v>58884429.39122138</x:v>
      </x:c>
      <x:c r="I13" s="3"/>
      <x:c r="J13" s="3"/>
    </x:row>
    <x:row r="14" ht="25" customHeight="1">
      <x:c r="A14" s="2"/>
      <x:c r="B14" s="2"/>
      <x:c r="C14" s="19" t="str">
        <x:v>B uses the numerical survey minimum by default. B/C compare with list price until matched costs are supplied.</x:v>
      </x:c>
      <x:c r="D14" s="3"/>
      <x:c r="E14" s="3"/>
      <x:c r="F14" s="3"/>
      <x:c r="G14" s="3"/>
      <x:c r="H14" s="3"/>
      <x:c r="I14" s="3"/>
      <x:c r="J14" s="3"/>
    </x:row>
    <x:row r="15" ht="25" customHeight="1">
      <x:c r="A15" s="2"/>
      <x:c r="B15" s="2"/>
      <x:c r="C15" s="19" t="str">
        <x:v>Per user instruction, survey counts are added without an existing-user deduction. This is a modeling assumption.</x:v>
      </x:c>
      <x:c r="D15" s="3"/>
      <x:c r="E15" s="3"/>
      <x:c r="F15" s="3"/>
      <x:c r="G15" s="3"/>
      <x:c r="H15" s="3"/>
      <x:c r="I15" s="3"/>
      <x:c r="J15" s="3"/>
    </x:row>
    <x:row r="16" ht="25" customHeight="1">
      <x:c r="A16" s="2"/>
      <x:c r="B16" s="2"/>
      <x:c r="C16" s="2"/>
      <x:c r="D16" s="3"/>
      <x:c r="E16" s="3"/>
      <x:c r="F16" s="3"/>
      <x:c r="G16" s="3"/>
      <x:c r="H16" s="3"/>
      <x:c r="I16" s="3"/>
      <x:c r="J16" s="3"/>
    </x:row>
    <x:row r="17" ht="27" customHeight="1">
      <x:c r="A17" s="2"/>
      <x:c r="B17" s="2"/>
      <x:c r="C17" s="31" t="str">
        <x:v>Survey user counts — current / expected usage</x:v>
      </x:c>
      <x:c r="D17" s="32"/>
      <x:c r="E17" s="32"/>
      <x:c r="F17" s="32"/>
      <x:c r="G17" s="32"/>
      <x:c r="H17" s="32"/>
      <x:c r="I17" s="3"/>
      <x:c r="J17" s="3"/>
    </x:row>
    <x:row r="18" ht="40" customHeight="1">
      <x:c r="A18" s="2"/>
      <x:c r="B18" s="2"/>
      <x:c r="C18" s="26" t="str">
        <x:v>Survey user band</x:v>
      </x:c>
      <x:c r="D18" s="27" t="str">
        <x:v>Responses</x:v>
      </x:c>
      <x:c r="E18" s="27" t="str">
        <x:v>Minimum users per entity</x:v>
      </x:c>
      <x:c r="F18" s="27" t="str">
        <x:v>Minimum total users</x:v>
      </x:c>
      <x:c r="G18" s="27" t="str">
        <x:v>Illustrative average</x:v>
      </x:c>
      <x:c r="H18" s="27" t="str">
        <x:v>Illustrative total users</x:v>
      </x:c>
      <x:c r="I18" s="3"/>
      <x:c r="J18" s="3"/>
    </x:row>
    <x:row r="19" ht="25" customHeight="1">
      <x:c r="A19" s="2"/>
      <x:c r="B19" s="2"/>
      <x:c r="C19" s="2" t="str">
        <x:f>'Survey'!C22</x:f>
        <x:v>1–50 users</x:v>
      </x:c>
      <x:c r="D19" s="3" t="n">
        <x:f>'Survey'!D22</x:f>
        <x:v>6</x:v>
      </x:c>
      <x:c r="E19" s="3" t="n">
        <x:f>'Survey'!E22</x:f>
        <x:v>1</x:v>
      </x:c>
      <x:c r="F19" s="3" t="n">
        <x:f>'Survey'!H22</x:f>
        <x:v>6</x:v>
      </x:c>
      <x:c r="G19" s="49" t="n">
        <x:f>'Survey'!F22</x:f>
        <x:v>25.5</x:v>
      </x:c>
      <x:c r="H19" s="49" t="n">
        <x:f>'Survey'!G22</x:f>
        <x:v>153</x:v>
      </x:c>
      <x:c r="I19" s="3"/>
      <x:c r="J19" s="3"/>
    </x:row>
    <x:row r="20" ht="25" customHeight="1">
      <x:c r="A20" s="2"/>
      <x:c r="B20" s="2"/>
      <x:c r="C20" s="2" t="str">
        <x:f>'Survey'!C23</x:f>
        <x:v>51–100 users</x:v>
      </x:c>
      <x:c r="D20" s="3" t="n">
        <x:f>'Survey'!D23</x:f>
        <x:v>4</x:v>
      </x:c>
      <x:c r="E20" s="3" t="n">
        <x:f>'Survey'!E23</x:f>
        <x:v>51</x:v>
      </x:c>
      <x:c r="F20" s="3" t="n">
        <x:f>'Survey'!H23</x:f>
        <x:v>204</x:v>
      </x:c>
      <x:c r="G20" s="49" t="n">
        <x:f>'Survey'!F23</x:f>
        <x:v>75.5</x:v>
      </x:c>
      <x:c r="H20" s="49" t="n">
        <x:f>'Survey'!G23</x:f>
        <x:v>302</x:v>
      </x:c>
      <x:c r="I20" s="3"/>
      <x:c r="J20" s="3"/>
    </x:row>
    <x:row r="21" ht="25" customHeight="1">
      <x:c r="A21" s="2"/>
      <x:c r="B21" s="2"/>
      <x:c r="C21" s="2" t="str">
        <x:f>'Survey'!C24</x:f>
        <x:v>101–500 users</x:v>
      </x:c>
      <x:c r="D21" s="3" t="n">
        <x:f>'Survey'!D24</x:f>
        <x:v>7</x:v>
      </x:c>
      <x:c r="E21" s="3" t="n">
        <x:f>'Survey'!E24</x:f>
        <x:v>101</x:v>
      </x:c>
      <x:c r="F21" s="3" t="n">
        <x:f>'Survey'!H24</x:f>
        <x:v>707</x:v>
      </x:c>
      <x:c r="G21" s="49" t="n">
        <x:f>'Survey'!F24</x:f>
        <x:v>300.5</x:v>
      </x:c>
      <x:c r="H21" s="49" t="n">
        <x:f>'Survey'!G24</x:f>
        <x:v>2103.5</x:v>
      </x:c>
      <x:c r="I21" s="3"/>
      <x:c r="J21" s="3"/>
    </x:row>
    <x:row r="22" ht="25" customHeight="1">
      <x:c r="A22" s="2"/>
      <x:c r="B22" s="2"/>
      <x:c r="C22" s="2" t="str">
        <x:f>'Survey'!C25</x:f>
        <x:v>More than 1,000 users</x:v>
      </x:c>
      <x:c r="D22" s="3" t="n">
        <x:f>'Survey'!D25</x:f>
        <x:v>4</x:v>
      </x:c>
      <x:c r="E22" s="3" t="n">
        <x:f>'Survey'!E25</x:f>
        <x:v>1001</x:v>
      </x:c>
      <x:c r="F22" s="3" t="n">
        <x:f>'Survey'!H25</x:f>
        <x:v>4004</x:v>
      </x:c>
      <x:c r="G22" s="49" t="n">
        <x:f>'Survey'!F25</x:f>
        <x:v>2000</x:v>
      </x:c>
      <x:c r="H22" s="49" t="n">
        <x:f>'Survey'!G25</x:f>
        <x:v>8000</x:v>
      </x:c>
      <x:c r="I22" s="3"/>
      <x:c r="J22" s="3"/>
    </x:row>
    <x:row r="23" ht="25" customHeight="1">
      <x:c r="A23" s="2"/>
      <x:c r="B23" s="2"/>
      <x:c r="C23" s="38" t="str">
        <x:v>21 quantified responses</x:v>
      </x:c>
      <x:c r="D23" s="40" t="n">
        <x:f>SUM(D19:D22)</x:f>
        <x:v>21</x:v>
      </x:c>
      <x:c r="E23" s="40"/>
      <x:c r="F23" s="40" t="n">
        <x:f>SUM(F19:F22)</x:f>
        <x:v>4921</x:v>
      </x:c>
      <x:c r="G23" s="50"/>
      <x:c r="H23" s="50" t="n">
        <x:f>SUM(H19:H22)</x:f>
        <x:v>10558.5</x:v>
      </x:c>
      <x:c r="I23" s="3"/>
      <x:c r="J23" s="3"/>
    </x:row>
    <x:row r="24" ht="25" customHeight="1">
      <x:c r="A24" s="2"/>
      <x:c r="B24" s="2"/>
      <x:c r="C24" s="2"/>
      <x:c r="D24" s="3"/>
      <x:c r="E24" s="3"/>
      <x:c r="F24" s="3"/>
      <x:c r="G24" s="3"/>
      <x:c r="H24" s="3"/>
      <x:c r="I24" s="3"/>
      <x:c r="J24" s="3"/>
    </x:row>
    <x:row r="25" ht="25" customHeight="1">
      <x:c r="A25" s="2"/>
      <x:c r="B25" s="2"/>
      <x:c r="C25" s="19" t="str">
        <x:v>Illustration uses band midpoints and 2,000 users for each &gt;1,000 response. It is not an observed user total.</x:v>
      </x:c>
      <x:c r="D25" s="3"/>
      <x:c r="E25" s="3"/>
      <x:c r="F25" s="3"/>
      <x:c r="G25" s="3"/>
      <x:c r="H25" s="3"/>
      <x:c r="I25" s="3"/>
      <x:c r="J25" s="3"/>
    </x:row>
    <x:row r="26" ht="25" customHeight="1">
      <x:c r="A26" s="2"/>
      <x:c r="B26" s="2"/>
      <x:c r="C26" s="19" t="str">
        <x:v>The 16 entities expressing demand add no extra quantified users here. Their user counts are not supplied.</x:v>
      </x:c>
      <x:c r="D26" s="3"/>
      <x:c r="E26" s="3"/>
      <x:c r="F26" s="3"/>
      <x:c r="G26" s="3"/>
      <x:c r="H26" s="3"/>
      <x:c r="I26" s="3"/>
      <x:c r="J26" s="3"/>
    </x:row>
    <x:row r="27" ht="25" customHeight="1">
      <x:c r="A27" s="2"/>
      <x:c r="B27" s="2"/>
      <x:c r="C27" s="2"/>
      <x:c r="D27" s="3"/>
      <x:c r="E27" s="3"/>
      <x:c r="F27" s="3"/>
      <x:c r="G27" s="3"/>
      <x:c r="H27" s="3"/>
      <x:c r="I27" s="3"/>
      <x:c r="J27" s="3"/>
    </x:row>
    <x:row r="28" ht="27" customHeight="1">
      <x:c r="A28" s="2"/>
      <x:c r="B28" s="2"/>
      <x:c r="C28" s="31" t="str">
        <x:v>Path to the commitment and breadth of opportunity</x:v>
      </x:c>
      <x:c r="D28" s="32"/>
      <x:c r="E28" s="32"/>
      <x:c r="F28" s="32"/>
      <x:c r="G28" s="32"/>
      <x:c r="H28" s="32"/>
      <x:c r="I28" s="32"/>
      <x:c r="J28" s="3"/>
    </x:row>
    <x:row r="29" ht="25" customHeight="1">
      <x:c r="A29" s="2"/>
      <x:c r="B29" s="2"/>
      <x:c r="C29" s="2" t="str">
        <x:v>Existing customer users today</x:v>
      </x:c>
      <x:c r="D29" s="3"/>
      <x:c r="E29" s="3" t="n">
        <x:f>'Potential'!E14</x:f>
        <x:v>1310</x:v>
      </x:c>
      <x:c r="F29" s="3"/>
      <x:c r="G29" s="3" t="str">
        <x:v>Total entities</x:v>
      </x:c>
      <x:c r="H29" s="3"/>
      <x:c r="I29" s="3" t="n">
        <x:f>'Setup'!E54</x:f>
        <x:v>92</x:v>
      </x:c>
      <x:c r="J29" s="3"/>
    </x:row>
    <x:row r="30" ht="25" customHeight="1">
      <x:c r="A30" s="2"/>
      <x:c r="B30" s="2"/>
      <x:c r="C30" s="2" t="str">
        <x:f>"Existing growth — Year 1 ("&amp;TEXT('Setup'!E67,"0%")&amp;")"</x:f>
        <x:v>Existing growth — Year 1 (20%)</x:v>
      </x:c>
      <x:c r="D30" s="3"/>
      <x:c r="E30" s="3" t="n">
        <x:f>'Potential'!E23</x:f>
        <x:v>262</x:v>
      </x:c>
      <x:c r="F30" s="3"/>
      <x:c r="G30" s="3" t="str">
        <x:v>Entities surveyed</x:v>
      </x:c>
      <x:c r="H30" s="3"/>
      <x:c r="I30" s="3" t="n">
        <x:f>'Survey'!E54</x:f>
        <x:v>38</x:v>
      </x:c>
      <x:c r="J30" s="3"/>
    </x:row>
    <x:row r="31" ht="25" customHeight="1">
      <x:c r="A31" s="2"/>
      <x:c r="B31" s="2"/>
      <x:c r="C31" s="2" t="str">
        <x:v>Survey users in the Year 1 plan</x:v>
      </x:c>
      <x:c r="D31" s="3"/>
      <x:c r="E31" s="3" t="n">
        <x:f>'Potential'!E71</x:f>
        <x:v>4921</x:v>
      </x:c>
      <x:c r="F31" s="3"/>
      <x:c r="G31" s="3" t="str">
        <x:v>Entities not surveyed</x:v>
      </x:c>
      <x:c r="H31" s="3"/>
      <x:c r="I31" s="3" t="n">
        <x:f>'Survey'!E66</x:f>
        <x:v>54</x:v>
      </x:c>
      <x:c r="J31" s="3"/>
    </x:row>
    <x:row r="32" ht="25" customHeight="1">
      <x:c r="A32" s="2"/>
      <x:c r="B32" s="2"/>
      <x:c r="C32" s="2" t="str">
        <x:v>Covered by existing + growth + survey</x:v>
      </x:c>
      <x:c r="D32" s="3"/>
      <x:c r="E32" s="62" t="n">
        <x:f>SUM('Potential'!D87:D89)/'Setup'!E5</x:f>
        <x:v>0.811625</x:v>
      </x:c>
      <x:c r="F32" s="3"/>
      <x:c r="G32" s="3" t="str">
        <x:v>Already use digital signatures</x:v>
      </x:c>
      <x:c r="H32" s="3"/>
      <x:c r="I32" s="3" t="n">
        <x:f>'Survey'!E55</x:f>
        <x:v>21</x:v>
      </x:c>
      <x:c r="J32" s="3"/>
    </x:row>
    <x:row r="33" ht="25" customHeight="1">
      <x:c r="A33" s="2"/>
      <x:c r="B33" s="2"/>
      <x:c r="C33" s="2" t="str">
        <x:v>Other-department users required</x:v>
      </x:c>
      <x:c r="D33" s="3"/>
      <x:c r="E33" s="3" t="n">
        <x:f>'Potential'!E72</x:f>
        <x:v>1507</x:v>
      </x:c>
      <x:c r="F33" s="3"/>
      <x:c r="G33" s="3" t="str">
        <x:v>Additional demand entities</x:v>
      </x:c>
      <x:c r="H33" s="3"/>
      <x:c r="I33" s="3" t="n">
        <x:f>'Survey'!E58</x:f>
        <x:v>16</x:v>
      </x:c>
      <x:c r="J33" s="3"/>
    </x:row>
    <x:row r="34" ht="25" customHeight="1">
      <x:c r="A34" s="2"/>
      <x:c r="B34" s="2"/>
      <x:c r="C34" s="2" t="str">
        <x:v>Users per unsurveyed entity (rounded up)</x:v>
      </x:c>
      <x:c r="D34" s="3"/>
      <x:c r="E34" s="3" t="n">
        <x:f>ROUNDUP('Potential'!E76,0)</x:f>
        <x:v>28</x:v>
      </x:c>
      <x:c r="F34" s="3"/>
      <x:c r="G34" s="3" t="str">
        <x:v>Expect usage growth</x:v>
      </x:c>
      <x:c r="H34" s="3"/>
      <x:c r="I34" s="62" t="n">
        <x:f>'Survey'!E61</x:f>
        <x:v>0.7727272727272727</x:v>
      </x:c>
      <x:c r="J34" s="3"/>
    </x:row>
    <x:row r="35" ht="25" customHeight="1">
      <x:c r="A35" s="2"/>
      <x:c r="B35" s="2"/>
      <x:c r="C35" s="2" t="str">
        <x:v>Employee-based potential users</x:v>
      </x:c>
      <x:c r="D35" s="3"/>
      <x:c r="E35" s="3" t="n">
        <x:f>'Potential'!E11</x:f>
        <x:v>15200</x:v>
      </x:c>
      <x:c r="F35" s="3"/>
      <x:c r="G35" s="3" t="str">
        <x:v>Growth driven by more users</x:v>
      </x:c>
      <x:c r="H35" s="3"/>
      <x:c r="I35" s="62" t="n">
        <x:f>'Survey'!E64</x:f>
        <x:v>0.7647058823529411</x:v>
      </x:c>
      <x:c r="J35" s="3"/>
    </x:row>
    <x:row r="36" ht="25" customHeight="1">
      <x:c r="A36" s="2"/>
      <x:c r="B36" s="2"/>
      <x:c r="C36" s="2"/>
      <x:c r="D36" s="3"/>
      <x:c r="E36" s="3"/>
      <x:c r="F36" s="3"/>
      <x:c r="G36" s="3"/>
      <x:c r="H36" s="3"/>
      <x:c r="I36" s="3"/>
      <x:c r="J36" s="3"/>
    </x:row>
    <x:row r="37" ht="25" customHeight="1">
      <x:c r="A37" s="2"/>
      <x:c r="B37" s="2"/>
      <x:c r="C37" s="19" t="str">
        <x:v>Demand: 10 current requirements + 6 future needs. Growth: 17/22 organizations; more users: 13/17 growth respondents.</x:v>
      </x:c>
      <x:c r="D37" s="3"/>
      <x:c r="E37" s="3"/>
      <x:c r="F37" s="3"/>
      <x:c r="G37" s="3"/>
      <x:c r="H37" s="3"/>
      <x:c r="I37" s="3"/>
      <x:c r="J37" s="3"/>
    </x:row>
    <x:row r="38" ht="25" customHeight="1">
      <x:c r="A38" s="2"/>
      <x:c r="B38" s="2"/>
      <x:c r="C38" s="2" t="str">
        <x:v>Separate annual support fee — AED</x:v>
      </x:c>
      <x:c r="D38" s="3"/>
      <x:c r="E38" s="3" t="n">
        <x:f>'Potential'!D41</x:f>
        <x:v>1699199.9999999998</x:v>
      </x:c>
      <x:c r="F38" s="3"/>
      <x:c r="G38" s="3"/>
      <x:c r="H38" s="3"/>
      <x:c r="I38" s="3"/>
      <x:c r="J38" s="3"/>
    </x:row>
    <x:row r="39" ht="25" customHeight="1">
      <x:c r="A39" s="2"/>
      <x:c r="B39" s="2"/>
      <x:c r="C39" s="19" t="str">
        <x:f>"Years 2–5: "&amp;TEXT('Setup'!E68,"0%")&amp;" annual user growth, paid at the locked unit price. Full-year billing assumed; support remains separate."</x:f>
        <x:v>Years 2–5: 5% annual user growth, paid at the locked unit price. Full-year billing assumed; support remains separate.</x:v>
      </x:c>
      <x:c r="D39" s="3"/>
      <x:c r="E39" s="3"/>
      <x:c r="F39" s="3"/>
      <x:c r="G39" s="3"/>
      <x:c r="H39" s="3"/>
      <x:c r="I39" s="3"/>
      <x:c r="J39" s="3"/>
    </x:row>
    <x:row r="40" ht="25" customHeight="1">
      <x:c r="A40" s="2"/>
      <x:c r="B40" s="2"/>
      <x:c r="C40" s="2"/>
      <x:c r="D40" s="3"/>
      <x:c r="E40" s="3"/>
      <x:c r="F40" s="3"/>
      <x:c r="G40" s="3"/>
      <x:c r="H40" s="3"/>
      <x:c r="I40" s="3"/>
      <x:c r="J40" s="3"/>
    </x:row>
    <x:row r="41" ht="25" customHeight="1">
      <x:c r="A41" s="2"/>
      <x:c r="B41" s="2"/>
      <x:c r="C41" s="2"/>
      <x:c r="D41" s="3"/>
      <x:c r="E41" s="3"/>
      <x:c r="F41" s="3"/>
      <x:c r="G41" s="3"/>
      <x:c r="H41" s="3"/>
      <x:c r="I41" s="3"/>
      <x:c r="J41" s="3"/>
    </x:row>
    <x:row r="42" ht="25" customHeight="1">
      <x:c r="A42" s="2"/>
      <x:c r="B42" s="2"/>
      <x:c r="C42" s="2"/>
      <x:c r="D42" s="3"/>
      <x:c r="E42" s="3"/>
      <x:c r="F42" s="3"/>
      <x:c r="G42" s="3"/>
      <x:c r="H42" s="3"/>
      <x:c r="I42" s="3"/>
      <x:c r="J42" s="3"/>
    </x:row>
    <x:row r="43" ht="25" customHeight="1">
      <x:c r="A43" s="2"/>
      <x:c r="B43" s="2"/>
      <x:c r="C43" s="2"/>
      <x:c r="D43" s="3"/>
      <x:c r="E43" s="3"/>
      <x:c r="F43" s="3"/>
      <x:c r="G43" s="3"/>
      <x:c r="H43" s="3"/>
      <x:c r="I43" s="3"/>
      <x:c r="J43" s="3"/>
    </x:row>
    <x:row r="44" ht="25" customHeight="1">
      <x:c r="A44" s="2"/>
      <x:c r="B44" s="2"/>
      <x:c r="C44" s="2"/>
      <x:c r="D44" s="3"/>
      <x:c r="E44" s="3"/>
      <x:c r="F44" s="3"/>
      <x:c r="G44" s="3"/>
      <x:c r="H44" s="3"/>
      <x:c r="I44" s="3"/>
      <x:c r="J44" s="3"/>
    </x:row>
    <x:row r="45" ht="25" customHeight="1">
      <x:c r="A45" s="2"/>
      <x:c r="B45" s="2"/>
      <x:c r="C45" s="2"/>
      <x:c r="D45" s="3"/>
      <x:c r="E45" s="3"/>
      <x:c r="F45" s="3"/>
      <x:c r="G45" s="3"/>
      <x:c r="H45" s="3"/>
      <x:c r="I45" s="3"/>
      <x:c r="J45" s="3"/>
    </x:row>
    <x:row r="46" ht="25" customHeight="1">
      <x:c r="A46" s="2"/>
      <x:c r="B46" s="2"/>
      <x:c r="C46" s="2"/>
      <x:c r="D46" s="3"/>
      <x:c r="E46" s="3"/>
      <x:c r="F46" s="3"/>
      <x:c r="G46" s="3"/>
      <x:c r="H46" s="3"/>
      <x:c r="I46" s="3"/>
      <x:c r="J46" s="3"/>
    </x:row>
    <x:row r="47" ht="25" customHeight="1">
      <x:c r="A47" s="2"/>
      <x:c r="B47" s="2"/>
      <x:c r="C47" s="2"/>
      <x:c r="D47" s="3"/>
      <x:c r="E47" s="3"/>
      <x:c r="F47" s="3"/>
      <x:c r="G47" s="3"/>
      <x:c r="H47" s="3"/>
      <x:c r="I47" s="3"/>
      <x:c r="J47" s="3"/>
    </x:row>
    <x:row r="48" ht="25" customHeight="1">
      <x:c r="A48" s="2"/>
      <x:c r="B48" s="2"/>
      <x:c r="C48" s="2"/>
      <x:c r="D48" s="3"/>
      <x:c r="E48" s="3"/>
      <x:c r="F48" s="3"/>
      <x:c r="G48" s="3"/>
      <x:c r="H48" s="3"/>
      <x:c r="I48" s="3"/>
      <x:c r="J48" s="3"/>
    </x:row>
    <x:row r="49" ht="25" customHeight="1">
      <x:c r="A49" s="2"/>
      <x:c r="B49" s="2"/>
      <x:c r="C49" s="2"/>
      <x:c r="D49" s="3"/>
      <x:c r="E49" s="3"/>
      <x:c r="F49" s="3"/>
      <x:c r="G49" s="3"/>
      <x:c r="H49" s="3"/>
      <x:c r="I49" s="3"/>
      <x:c r="J49" s="3"/>
    </x:row>
    <x:row r="50" ht="25" customHeight="1">
      <x:c r="A50" s="2"/>
      <x:c r="B50" s="2"/>
      <x:c r="C50" s="2"/>
      <x:c r="D50" s="3"/>
      <x:c r="E50" s="3"/>
      <x:c r="F50" s="3"/>
      <x:c r="G50" s="3"/>
      <x:c r="H50" s="3"/>
      <x:c r="I50" s="3"/>
      <x:c r="J50" s="3"/>
    </x:row>
    <x:row r="51" ht="25" customHeight="1">
      <x:c r="A51" s="2"/>
      <x:c r="B51" s="2"/>
      <x:c r="C51" s="2"/>
      <x:c r="D51" s="3"/>
      <x:c r="E51" s="3"/>
      <x:c r="F51" s="3"/>
      <x:c r="G51" s="3"/>
      <x:c r="H51" s="3"/>
      <x:c r="I51" s="3"/>
      <x:c r="J51" s="3"/>
    </x:row>
    <x:row r="52" ht="25" customHeight="1">
      <x:c r="A52" s="2"/>
      <x:c r="B52" s="2"/>
      <x:c r="C52" s="2"/>
      <x:c r="D52" s="3"/>
      <x:c r="E52" s="3"/>
      <x:c r="F52" s="3"/>
      <x:c r="G52" s="3"/>
      <x:c r="H52" s="3"/>
      <x:c r="I52" s="3"/>
      <x:c r="J52" s="3"/>
    </x:row>
    <x:row r="53" ht="25" customHeight="1">
      <x:c r="A53" s="2"/>
      <x:c r="B53" s="2"/>
      <x:c r="C53" s="2"/>
      <x:c r="D53" s="3"/>
      <x:c r="E53" s="3"/>
      <x:c r="F53" s="3"/>
      <x:c r="G53" s="3"/>
      <x:c r="H53" s="3"/>
      <x:c r="I53" s="3"/>
      <x:c r="J53" s="3"/>
    </x:row>
    <x:row r="54" ht="25" customHeight="1">
      <x:c r="A54" s="2"/>
      <x:c r="B54" s="2"/>
      <x:c r="C54" s="2"/>
      <x:c r="D54" s="3"/>
      <x:c r="E54" s="3"/>
      <x:c r="F54" s="3"/>
      <x:c r="G54" s="3"/>
      <x:c r="H54" s="3"/>
      <x:c r="I54" s="3"/>
      <x:c r="J54" s="3"/>
    </x:row>
    <x:row r="55" ht="25" customHeight="1">
      <x:c r="A55" s="2"/>
      <x:c r="B55" s="2"/>
      <x:c r="C55" s="2"/>
      <x:c r="D55" s="3"/>
      <x:c r="E55" s="3"/>
      <x:c r="F55" s="3"/>
      <x:c r="G55" s="3"/>
      <x:c r="H55" s="3"/>
      <x:c r="I55" s="3"/>
      <x:c r="J55" s="3"/>
    </x:row>
    <x:row r="56" ht="25" customHeight="1">
      <x:c r="A56" s="2"/>
      <x:c r="B56" s="2"/>
      <x:c r="C56" s="2"/>
      <x:c r="D56" s="3"/>
      <x:c r="E56" s="3"/>
      <x:c r="F56" s="3"/>
      <x:c r="G56" s="3"/>
      <x:c r="H56" s="3"/>
      <x:c r="I56" s="3"/>
      <x:c r="J56" s="3"/>
    </x:row>
    <x:row r="57" ht="25" customHeight="1">
      <x:c r="A57" s="2"/>
      <x:c r="B57" s="2"/>
      <x:c r="C57" s="2"/>
      <x:c r="D57" s="3"/>
      <x:c r="E57" s="3"/>
      <x:c r="F57" s="3"/>
      <x:c r="G57" s="3"/>
      <x:c r="H57" s="3"/>
      <x:c r="I57" s="3"/>
      <x:c r="J57" s="3"/>
    </x:row>
    <x:row r="58" ht="40" customHeight="1">
      <x:c r="A58" s="2"/>
      <x:c r="B58" s="2"/>
      <x:c r="C58" s="26" t="str">
        <x:v>Chart data</x:v>
      </x:c>
      <x:c r="D58" s="27" t="str">
        <x:v>Current subscription</x:v>
      </x:c>
      <x:c r="E58" s="27" t="str">
        <x:v>Central subscription</x:v>
      </x:c>
      <x:c r="F58" s="3"/>
      <x:c r="G58" s="3"/>
      <x:c r="H58" s="3"/>
      <x:c r="I58" s="3"/>
      <x:c r="J58" s="3"/>
    </x:row>
    <x:row r="59" ht="25" customHeight="1">
      <x:c r="A59" s="2"/>
      <x:c r="B59" s="2"/>
      <x:c r="C59" s="2" t="str">
        <x:v>Existing customers</x:v>
      </x:c>
      <x:c r="D59" s="7" t="n">
        <x:f>'Existing customers'!G16</x:f>
        <x:v>1929169.75</x:v>
      </x:c>
      <x:c r="E59" s="7" t="n">
        <x:f>'Existing customers'!H16</x:f>
        <x:v>1739024.9999999998</x:v>
      </x:c>
      <x:c r="F59" s="3"/>
      <x:c r="G59" s="3"/>
      <x:c r="H59" s="3"/>
      <x:c r="I59" s="3"/>
      <x:c r="J59" s="3"/>
    </x:row>
    <x:row r="60" ht="25" customHeight="1">
      <x:c r="A60" s="2"/>
      <x:c r="B60" s="2"/>
      <x:c r="C60" s="2"/>
      <x:c r="D60" s="3"/>
      <x:c r="E60" s="3"/>
      <x:c r="F60" s="3"/>
      <x:c r="G60" s="3"/>
      <x:c r="H60" s="3"/>
      <x:c r="I60" s="3"/>
      <x:c r="J60" s="3"/>
    </x:row>
    <x:row r="61" ht="40" customHeight="1">
      <x:c r="A61" s="2"/>
      <x:c r="B61" s="2"/>
      <x:c r="C61" s="26" t="str">
        <x:v>Adoption source</x:v>
      </x:c>
      <x:c r="D61" s="27" t="str">
        <x:v>Users</x:v>
      </x:c>
      <x:c r="E61" s="3"/>
      <x:c r="F61" s="3"/>
      <x:c r="G61" s="3"/>
      <x:c r="H61" s="3"/>
      <x:c r="I61" s="3"/>
      <x:c r="J61" s="3"/>
    </x:row>
    <x:row r="62" ht="25" customHeight="1">
      <x:c r="A62" s="2"/>
      <x:c r="B62" s="2"/>
      <x:c r="C62" s="2" t="str">
        <x:v>Existing</x:v>
      </x:c>
      <x:c r="D62" s="7" t="n">
        <x:f>'Potential'!E14</x:f>
        <x:v>1310</x:v>
      </x:c>
      <x:c r="E62" s="3"/>
      <x:c r="F62" s="3"/>
      <x:c r="G62" s="3"/>
      <x:c r="H62" s="3"/>
      <x:c r="I62" s="3"/>
      <x:c r="J62" s="3"/>
    </x:row>
    <x:row r="63" ht="25" customHeight="1">
      <x:c r="A63" s="2"/>
      <x:c r="B63" s="2"/>
      <x:c r="C63" s="2" t="str">
        <x:v>Existing growth (Year 1)</x:v>
      </x:c>
      <x:c r="D63" s="7" t="n">
        <x:f>'Potential'!E23</x:f>
        <x:v>262</x:v>
      </x:c>
      <x:c r="E63" s="3"/>
      <x:c r="F63" s="3"/>
      <x:c r="G63" s="3"/>
      <x:c r="H63" s="3"/>
      <x:c r="I63" s="3"/>
      <x:c r="J63" s="3"/>
    </x:row>
    <x:row r="64" ht="25" customHeight="1">
      <x:c r="A64" s="2"/>
      <x:c r="B64" s="2"/>
      <x:c r="C64" s="2" t="str">
        <x:v>Survey</x:v>
      </x:c>
      <x:c r="D64" s="7" t="n">
        <x:f>'Potential'!E71</x:f>
        <x:v>4921</x:v>
      </x:c>
      <x:c r="E64" s="3"/>
      <x:c r="F64" s="3"/>
      <x:c r="G64" s="3"/>
      <x:c r="H64" s="3"/>
      <x:c r="I64" s="3"/>
      <x:c r="J64" s="3"/>
    </x:row>
    <x:row r="65" ht="25" customHeight="1">
      <x:c r="A65" s="2"/>
      <x:c r="B65" s="2"/>
      <x:c r="C65" s="2" t="str">
        <x:v>Other</x:v>
      </x:c>
      <x:c r="D65" s="7" t="n">
        <x:f>'Potential'!E72</x:f>
        <x:v>1507</x:v>
      </x:c>
      <x:c r="E65" s="3"/>
      <x:c r="F65" s="3"/>
      <x:c r="G65" s="3"/>
      <x:c r="H65" s="3"/>
      <x:c r="I65" s="3"/>
      <x:c r="J65" s="3"/>
    </x:row>
    <x:row r="66" ht="25" customHeight="1">
      <x:c r="A66" s="2"/>
      <x:c r="B66" s="2"/>
      <x:c r="C66" s="2" t="str">
        <x:v>Unused</x:v>
      </x:c>
      <x:c r="D66" s="7" t="n">
        <x:f>'Potential'!E73</x:f>
        <x:v>0</x:v>
      </x:c>
      <x:c r="E66" s="3"/>
      <x:c r="F66" s="3"/>
      <x:c r="G66" s="3"/>
      <x:c r="H66" s="3"/>
      <x:c r="I66" s="3"/>
      <x:c r="J66" s="3"/>
    </x:row>
    <x:row r="67" ht="25" customHeight="1">
      <x:c r="A67" s="2"/>
      <x:c r="B67" s="2"/>
      <x:c r="C67" s="2"/>
      <x:c r="D67" s="3"/>
      <x:c r="E67" s="3"/>
      <x:c r="F67" s="3"/>
      <x:c r="G67" s="3"/>
      <x:c r="H67" s="3"/>
      <x:c r="I67" s="3"/>
      <x:c r="J67" s="3"/>
    </x:row>
    <x:row r="68" ht="25" customHeight="1">
      <x:c r="A68" s="2"/>
      <x:c r="B68" s="2"/>
      <x:c r="C68" s="2"/>
      <x:c r="D68" s="3"/>
      <x:c r="E68" s="3"/>
      <x:c r="F68" s="3"/>
      <x:c r="G68" s="3"/>
      <x:c r="H68" s="3"/>
      <x:c r="I68" s="3"/>
      <x:c r="J68" s="3"/>
    </x:row>
  </x:sheetData>
  <x:conditionalFormatting sqref="G9:H13">
    <x:cfRule type="cellIs" dxfId="10" priority="1" operator="lessThan">
      <x:formula>0</x:formula>
    </x:cfRule>
  </x:conditionalFormatting>
  <x:dataValidations count="1">
    <x:dataValidation type="whole" operator="greaterThanOrEqual" sqref="E4">
      <x:formula1>1</x:formula1>
    </x:dataValidation>
  </x:dataValidations>
  <x:pageMargins left="0.7" right="0.7" top="0.75" bottom="0.75" header="0.3" footer="0.3"/>
  <x:drawing xmlns:r="http://schemas.openxmlformats.org/officeDocument/2006/relationships" r:id="Rc453a00e4f0447d6"/>
</x:worksheet>
</file>

<file path=xl/worksheets/sheet2.xml><?xml version="1.0" encoding="utf-8"?>
<x:worksheet xmlns:x="http://schemas.openxmlformats.org/spreadsheetml/2006/main">
  <x:sheetPr>
    <x:tabColor rgb="FF7000FF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25" customHeight="1">
      <x:c r="A1" s="2"/>
      <x:c r="B1" s="2"/>
      <x:c r="C1" s="2"/>
      <x:c r="D1" s="3"/>
      <x:c r="E1" s="3"/>
      <x:c r="F1" s="3"/>
      <x:c r="G1" s="3"/>
      <x:c r="H1" s="3"/>
      <x:c r="I1" s="3"/>
      <x:c r="J1" s="3"/>
      <x:c r="K1" s="3"/>
    </x:row>
    <x:row r="2" ht="25" customHeight="1">
      <x:c r="A2" s="2"/>
      <x:c r="B2" s="2"/>
      <x:c r="C2" s="4" t="str">
        <x:v>Commitment, pricing and assumptions</x:v>
      </x:c>
      <x:c r="D2" s="3"/>
      <x:c r="E2" s="3"/>
      <x:c r="F2" s="3"/>
      <x:c r="G2" s="3"/>
      <x:c r="H2" s="3"/>
      <x:c r="I2" s="3"/>
      <x:c r="J2" s="3"/>
      <x:c r="K2" s="3"/>
    </x:row>
    <x:row r="3" ht="25" customHeight="1">
      <x:c r="A3" s="2"/>
      <x:c r="B3" s="2"/>
      <x:c r="C3" s="5"/>
      <x:c r="D3" s="6"/>
      <x:c r="E3" s="6"/>
      <x:c r="F3" s="6"/>
      <x:c r="G3" s="6"/>
      <x:c r="H3" s="6"/>
      <x:c r="I3" s="3"/>
      <x:c r="J3" s="3"/>
      <x:c r="K3" s="3"/>
    </x:row>
    <x:row r="4" ht="25" customHeight="1">
      <x:c r="A4" s="2"/>
      <x:c r="B4" s="2"/>
      <x:c r="C4" s="2"/>
      <x:c r="D4" s="3"/>
      <x:c r="E4" s="3"/>
      <x:c r="F4" s="3"/>
      <x:c r="G4" s="3"/>
      <x:c r="H4" s="3"/>
      <x:c r="I4" s="3"/>
      <x:c r="J4" s="3"/>
      <x:c r="K4" s="3"/>
    </x:row>
    <x:row r="5" ht="25" customHeight="1">
      <x:c r="A5" s="2"/>
      <x:c r="B5" s="2"/>
      <x:c r="C5" s="2" t="str">
        <x:v>Annual commitment — from Summary</x:v>
      </x:c>
      <x:c r="D5" s="3"/>
      <x:c r="E5" s="71" t="n">
        <x:f>'Summary'!E4</x:f>
        <x:v>8000</x:v>
      </x:c>
      <x:c r="F5" s="3"/>
      <x:c r="G5" s="3" t="str">
        <x:v>Edit Summary E4 to change the commitment.</x:v>
      </x:c>
      <x:c r="H5" s="3"/>
      <x:c r="I5" s="3"/>
      <x:c r="J5" s="3"/>
      <x:c r="K5" s="3"/>
    </x:row>
    <x:row r="6" ht="25" customHeight="1">
      <x:c r="A6" s="2"/>
      <x:c r="B6" s="2"/>
      <x:c r="C6" s="2" t="str">
        <x:v>Capacity check</x:v>
      </x:c>
      <x:c r="D6" s="3"/>
      <x:c r="E6" s="7" t="str">
        <x:f>IF(E5&lt;ROUND('Existing customers'!D16*(1+E67),0),"Below existing users","Ready")</x:f>
        <x:v>Ready</x:v>
      </x:c>
      <x:c r="F6" s="3"/>
      <x:c r="G6" s="3"/>
      <x:c r="H6" s="3"/>
      <x:c r="I6" s="3"/>
      <x:c r="J6" s="3"/>
      <x:c r="K6" s="3"/>
    </x:row>
    <x:row r="7" ht="25" customHeight="1">
      <x:c r="A7" s="2"/>
      <x:c r="B7" s="2"/>
      <x:c r="C7" s="2"/>
      <x:c r="D7" s="3"/>
      <x:c r="E7" s="3"/>
      <x:c r="F7" s="3"/>
      <x:c r="G7" s="3"/>
      <x:c r="H7" s="3"/>
      <x:c r="I7" s="3"/>
      <x:c r="J7" s="3"/>
      <x:c r="K7" s="3"/>
    </x:row>
    <x:row r="8" ht="25" customHeight="1">
      <x:c r="A8" s="2"/>
      <x:c r="B8" s="2"/>
      <x:c r="C8" s="2" t="str">
        <x:v>Regular Basic Price</x:v>
      </x:c>
      <x:c r="D8" s="3"/>
      <x:c r="E8" s="12" t="n">
        <x:v>2950</x:v>
      </x:c>
      <x:c r="F8" s="3"/>
      <x:c r="G8" s="14" t="str">
        <x:v>V2-S03. Subscription benchmark, not actual spending.</x:v>
      </x:c>
      <x:c r="H8" s="3"/>
      <x:c r="I8" s="3"/>
      <x:c r="J8" s="3"/>
      <x:c r="K8" s="3"/>
    </x:row>
    <x:row r="9" ht="25" customHeight="1">
      <x:c r="A9" s="2"/>
      <x:c r="B9" s="2"/>
      <x:c r="C9" s="2" t="str">
        <x:v>Comparison period — years</x:v>
      </x:c>
      <x:c r="D9" s="3"/>
      <x:c r="E9" s="15" t="n">
        <x:v>5</x:v>
      </x:c>
      <x:c r="F9" s="3"/>
      <x:c r="G9" s="14" t="str">
        <x:v>Five years, billed annually. Paid users grow from Year 2.</x:v>
      </x:c>
      <x:c r="H9" s="3"/>
      <x:c r="I9" s="3"/>
      <x:c r="J9" s="3"/>
      <x:c r="K9" s="3"/>
    </x:row>
    <x:row r="10" ht="25" customHeight="1">
      <x:c r="A10" s="2"/>
      <x:c r="B10" s="2"/>
      <x:c r="C10" s="2" t="str">
        <x:v>Employee population</x:v>
      </x:c>
      <x:c r="D10" s="3"/>
      <x:c r="E10" s="11" t="n">
        <x:v>76000</x:v>
      </x:c>
      <x:c r="F10" s="3"/>
      <x:c r="G10" s="14" t="str">
        <x:v>V2-S05. User-supplied planning population.</x:v>
      </x:c>
      <x:c r="H10" s="3"/>
      <x:c r="I10" s="3"/>
      <x:c r="J10" s="3"/>
      <x:c r="K10" s="3"/>
    </x:row>
    <x:row r="11" ht="25" customHeight="1">
      <x:c r="A11" s="2"/>
      <x:c r="B11" s="2"/>
      <x:c r="C11" s="2" t="str">
        <x:v>Potential adoption share</x:v>
      </x:c>
      <x:c r="D11" s="3"/>
      <x:c r="E11" s="13" t="n">
        <x:v>0.2</x:v>
      </x:c>
      <x:c r="F11" s="3"/>
      <x:c r="G11" s="14" t="str">
        <x:v>V2-S05. Assumption; includes existing users.</x:v>
      </x:c>
      <x:c r="H11" s="3"/>
      <x:c r="I11" s="3"/>
      <x:c r="J11" s="3"/>
      <x:c r="K11" s="3"/>
    </x:row>
    <x:row r="12" ht="25" customHeight="1">
      <x:c r="A12" s="2"/>
      <x:c r="B12" s="2"/>
      <x:c r="C12" s="2" t="str">
        <x:v>Baseline annual price escalation</x:v>
      </x:c>
      <x:c r="D12" s="3"/>
      <x:c r="E12" s="13" t="n">
        <x:v>0</x:v>
      </x:c>
      <x:c r="F12" s="3"/>
      <x:c r="G12" s="14" t="str">
        <x:v>Optional assumption. Central unit prices stay fixed.</x:v>
      </x:c>
      <x:c r="H12" s="3"/>
      <x:c r="I12" s="3"/>
      <x:c r="J12" s="3"/>
      <x:c r="K12" s="3"/>
    </x:row>
    <x:row r="13" ht="25" customHeight="1">
      <x:c r="A13" s="2"/>
      <x:c r="B13" s="2"/>
      <x:c r="C13" s="2" t="str">
        <x:v>Additional seats used beyond Year 1 existing</x:v>
      </x:c>
      <x:c r="D13" s="3"/>
      <x:c r="E13" s="13" t="n">
        <x:v>1</x:v>
      </x:c>
      <x:c r="F13" s="3"/>
      <x:c r="G13" s="14" t="str">
        <x:v>Usage of remaining capacity after existing-customer growth.</x:v>
      </x:c>
      <x:c r="H13" s="3"/>
      <x:c r="I13" s="3"/>
      <x:c r="J13" s="3"/>
      <x:c r="K13" s="3"/>
    </x:row>
    <x:row r="14" ht="25" customHeight="1">
      <x:c r="A14" s="2"/>
      <x:c r="B14" s="2"/>
      <x:c r="C14" s="2"/>
      <x:c r="D14" s="3"/>
      <x:c r="E14" s="3"/>
      <x:c r="F14" s="3"/>
      <x:c r="G14" s="3"/>
      <x:c r="H14" s="3"/>
      <x:c r="I14" s="3"/>
      <x:c r="J14" s="3"/>
      <x:c r="K14" s="3"/>
    </x:row>
    <x:row r="15" ht="25" customHeight="1">
      <x:c r="A15" s="2"/>
      <x:c r="B15" s="2"/>
      <x:c r="C15" s="2" t="str">
        <x:v>Selected tier</x:v>
      </x:c>
      <x:c r="D15" s="3"/>
      <x:c r="E15" s="16" t="n">
        <x:f>MATCH(E5,D27:D33,1)</x:f>
        <x:v>5</x:v>
      </x:c>
      <x:c r="F15" s="3"/>
      <x:c r="G15" s="3"/>
      <x:c r="H15" s="3"/>
      <x:c r="I15" s="3"/>
      <x:c r="J15" s="3"/>
      <x:c r="K15" s="3"/>
    </x:row>
    <x:row r="16" ht="25" customHeight="1">
      <x:c r="A16" s="2"/>
      <x:c r="B16" s="2"/>
      <x:c r="C16" s="2" t="str">
        <x:v>Subscription discount</x:v>
      </x:c>
      <x:c r="D16" s="3"/>
      <x:c r="E16" s="17" t="n">
        <x:f>INDEX(F27:F33,E15)</x:f>
        <x:v>0.55</x:v>
      </x:c>
      <x:c r="F16" s="3"/>
      <x:c r="G16" s="3"/>
      <x:c r="H16" s="3"/>
      <x:c r="I16" s="3"/>
      <x:c r="J16" s="3"/>
      <x:c r="K16" s="3"/>
    </x:row>
    <x:row r="17" ht="25" customHeight="1">
      <x:c r="A17" s="2"/>
      <x:c r="B17" s="2"/>
      <x:c r="C17" s="2" t="str">
        <x:v>Support rate</x:v>
      </x:c>
      <x:c r="D17" s="3"/>
      <x:c r="E17" s="17" t="n">
        <x:f>INDEX(G27:G33,E15)</x:f>
        <x:v>0.16</x:v>
      </x:c>
      <x:c r="F17" s="3"/>
      <x:c r="G17" s="3"/>
      <x:c r="H17" s="3"/>
      <x:c r="I17" s="3"/>
      <x:c r="J17" s="3"/>
      <x:c r="K17" s="3"/>
    </x:row>
    <x:row r="18" ht="25" customHeight="1">
      <x:c r="A18" s="2"/>
      <x:c r="B18" s="2"/>
      <x:c r="C18" s="2" t="str">
        <x:v>Subscription AED/user/year</x:v>
      </x:c>
      <x:c r="D18" s="3"/>
      <x:c r="E18" s="18" t="n">
        <x:f>INDEX(H27:H33,E15)</x:f>
        <x:v>1327.4999999999998</x:v>
      </x:c>
      <x:c r="F18" s="3"/>
      <x:c r="G18" s="3"/>
      <x:c r="H18" s="3"/>
      <x:c r="I18" s="3"/>
      <x:c r="J18" s="3"/>
      <x:c r="K18" s="3"/>
    </x:row>
    <x:row r="19" ht="25" customHeight="1">
      <x:c r="A19" s="2"/>
      <x:c r="B19" s="2"/>
      <x:c r="C19" s="2" t="str">
        <x:v>Separate support AED/user/year</x:v>
      </x:c>
      <x:c r="D19" s="3"/>
      <x:c r="E19" s="18" t="n">
        <x:f>INDEX(I27:I33,E15)</x:f>
        <x:v>212.39999999999998</x:v>
      </x:c>
      <x:c r="F19" s="3"/>
      <x:c r="G19" s="3"/>
      <x:c r="H19" s="3"/>
      <x:c r="I19" s="3"/>
      <x:c r="J19" s="3"/>
      <x:c r="K19" s="3"/>
    </x:row>
    <x:row r="20" ht="25" customHeight="1">
      <x:c r="A20" s="2"/>
      <x:c r="B20" s="2"/>
      <x:c r="C20" s="2"/>
      <x:c r="D20" s="3"/>
      <x:c r="E20" s="3"/>
      <x:c r="F20" s="3"/>
      <x:c r="G20" s="3"/>
      <x:c r="H20" s="3"/>
      <x:c r="I20" s="3"/>
      <x:c r="J20" s="3"/>
      <x:c r="K20" s="3"/>
    </x:row>
    <x:row r="21" ht="25" customHeight="1">
      <x:c r="A21" s="2"/>
      <x:c r="B21" s="2"/>
      <x:c r="C21" s="19" t="str">
        <x:v>Amber cells are editable assumptions. Blue numbers are inputs; green formulas link sheets.</x:v>
      </x:c>
      <x:c r="D21" s="3"/>
      <x:c r="E21" s="3"/>
      <x:c r="F21" s="3"/>
      <x:c r="G21" s="3"/>
      <x:c r="H21" s="3"/>
      <x:c r="I21" s="3"/>
      <x:c r="J21" s="3"/>
      <x:c r="K21" s="3"/>
    </x:row>
    <x:row r="22" ht="25" customHeight="1">
      <x:c r="A22" s="2"/>
      <x:c r="B22" s="2"/>
      <x:c r="C22" s="19" t="str">
        <x:v>Existing-customer savings exclude support. Central support is added separately to the budget.</x:v>
      </x:c>
      <x:c r="D22" s="3"/>
      <x:c r="E22" s="3"/>
      <x:c r="F22" s="3"/>
      <x:c r="G22" s="3"/>
      <x:c r="H22" s="3"/>
      <x:c r="I22" s="3"/>
      <x:c r="J22" s="3"/>
      <x:c r="K22" s="3"/>
    </x:row>
    <x:row r="23" ht="25" customHeight="1">
      <x:c r="A23" s="2"/>
      <x:c r="B23" s="2"/>
      <x:c r="C23" s="19" t="str">
        <x:v>Survey adoption is modeled explicitly. Savings against reported costs require matched respondents.</x:v>
      </x:c>
      <x:c r="D23" s="3"/>
      <x:c r="E23" s="3"/>
      <x:c r="F23" s="3"/>
      <x:c r="G23" s="3"/>
      <x:c r="H23" s="3"/>
      <x:c r="I23" s="3"/>
      <x:c r="J23" s="3"/>
      <x:c r="K23" s="3"/>
    </x:row>
    <x:row r="24" ht="25" customHeight="1">
      <x:c r="A24" s="2"/>
      <x:c r="B24" s="2"/>
      <x:c r="C24" s="2"/>
      <x:c r="D24" s="3"/>
      <x:c r="E24" s="3"/>
      <x:c r="F24" s="3"/>
      <x:c r="G24" s="3"/>
      <x:c r="H24" s="3"/>
      <x:c r="I24" s="3"/>
      <x:c r="J24" s="3"/>
      <x:c r="K24" s="3"/>
    </x:row>
    <x:row r="25" ht="25" customHeight="1">
      <x:c r="A25" s="2"/>
      <x:c r="B25" s="2"/>
      <x:c r="C25" s="2"/>
      <x:c r="D25" s="3"/>
      <x:c r="E25" s="3"/>
      <x:c r="F25" s="3"/>
      <x:c r="G25" s="3"/>
      <x:c r="H25" s="3"/>
      <x:c r="I25" s="3"/>
      <x:c r="J25" s="3"/>
      <x:c r="K25" s="3"/>
    </x:row>
    <x:row r="26" ht="40" customHeight="1">
      <x:c r="A26" s="2"/>
      <x:c r="B26" s="2"/>
      <x:c r="C26" s="26" t="str">
        <x:v>Tier</x:v>
      </x:c>
      <x:c r="D26" s="27" t="str">
        <x:v>Minimum users</x:v>
      </x:c>
      <x:c r="E26" s="27" t="str">
        <x:v>Maximum users</x:v>
      </x:c>
      <x:c r="F26" s="27" t="str">
        <x:v>Discount</x:v>
      </x:c>
      <x:c r="G26" s="27" t="str">
        <x:v>Support rate</x:v>
      </x:c>
      <x:c r="H26" s="27" t="str">
        <x:v>Subscription AED/user</x:v>
      </x:c>
      <x:c r="I26" s="27" t="str">
        <x:v>Separate support AED/user</x:v>
      </x:c>
      <x:c r="J26" s="3"/>
      <x:c r="K26" s="3"/>
    </x:row>
    <x:row r="27" ht="25" customHeight="1">
      <x:c r="A27" s="2"/>
      <x:c r="B27" s="2"/>
      <x:c r="C27" s="2" t="n">
        <x:v>1</x:v>
      </x:c>
      <x:c r="D27" s="11" t="n">
        <x:v>1</x:v>
      </x:c>
      <x:c r="E27" s="11" t="n">
        <x:v>1000</x:v>
      </x:c>
      <x:c r="F27" s="13" t="n">
        <x:v>0.25</x:v>
      </x:c>
      <x:c r="G27" s="13" t="n">
        <x:v>0.25</x:v>
      </x:c>
      <x:c r="H27" s="18" t="n">
        <x:f>$E$8*(1-F27)</x:f>
        <x:v>2212.5</x:v>
      </x:c>
      <x:c r="I27" s="18" t="n">
        <x:f>H27*G27</x:f>
        <x:v>553.125</x:v>
      </x:c>
      <x:c r="J27" s="3"/>
      <x:c r="K27" s="3"/>
    </x:row>
    <x:row r="28" ht="25" customHeight="1">
      <x:c r="A28" s="2"/>
      <x:c r="B28" s="2"/>
      <x:c r="C28" s="2" t="n">
        <x:v>2</x:v>
      </x:c>
      <x:c r="D28" s="11" t="n">
        <x:v>1001</x:v>
      </x:c>
      <x:c r="E28" s="11" t="n">
        <x:v>1999</x:v>
      </x:c>
      <x:c r="F28" s="13" t="n">
        <x:v>0.3</x:v>
      </x:c>
      <x:c r="G28" s="13" t="n">
        <x:v>0.22</x:v>
      </x:c>
      <x:c r="H28" s="18" t="n">
        <x:f>$E$8*(1-F28)</x:f>
        <x:v>2065</x:v>
      </x:c>
      <x:c r="I28" s="18" t="n">
        <x:f>H28*G28</x:f>
        <x:v>454.3</x:v>
      </x:c>
      <x:c r="J28" s="3"/>
      <x:c r="K28" s="3"/>
    </x:row>
    <x:row r="29" ht="25" customHeight="1">
      <x:c r="A29" s="2"/>
      <x:c r="B29" s="2"/>
      <x:c r="C29" s="2" t="n">
        <x:v>3</x:v>
      </x:c>
      <x:c r="D29" s="11" t="n">
        <x:v>2000</x:v>
      </x:c>
      <x:c r="E29" s="11" t="n">
        <x:v>4999</x:v>
      </x:c>
      <x:c r="F29" s="13" t="n">
        <x:v>0.4</x:v>
      </x:c>
      <x:c r="G29" s="13" t="n">
        <x:v>0.2</x:v>
      </x:c>
      <x:c r="H29" s="18" t="n">
        <x:f>$E$8*(1-F29)</x:f>
        <x:v>1770</x:v>
      </x:c>
      <x:c r="I29" s="18" t="n">
        <x:f>H29*G29</x:f>
        <x:v>354</x:v>
      </x:c>
      <x:c r="J29" s="3"/>
      <x:c r="K29" s="3"/>
    </x:row>
    <x:row r="30" ht="25" customHeight="1">
      <x:c r="A30" s="2"/>
      <x:c r="B30" s="2"/>
      <x:c r="C30" s="2" t="n">
        <x:v>4</x:v>
      </x:c>
      <x:c r="D30" s="11" t="n">
        <x:v>5000</x:v>
      </x:c>
      <x:c r="E30" s="11" t="n">
        <x:v>7999</x:v>
      </x:c>
      <x:c r="F30" s="13" t="n">
        <x:v>0.5</x:v>
      </x:c>
      <x:c r="G30" s="13" t="n">
        <x:v>0.18</x:v>
      </x:c>
      <x:c r="H30" s="18" t="n">
        <x:f>$E$8*(1-F30)</x:f>
        <x:v>1475</x:v>
      </x:c>
      <x:c r="I30" s="18" t="n">
        <x:f>H30*G30</x:f>
        <x:v>265.5</x:v>
      </x:c>
      <x:c r="J30" s="3"/>
      <x:c r="K30" s="3"/>
    </x:row>
    <x:row r="31" ht="25" customHeight="1">
      <x:c r="A31" s="2"/>
      <x:c r="B31" s="2"/>
      <x:c r="C31" s="2" t="n">
        <x:v>5</x:v>
      </x:c>
      <x:c r="D31" s="11" t="n">
        <x:v>8000</x:v>
      </x:c>
      <x:c r="E31" s="11" t="n">
        <x:v>9999</x:v>
      </x:c>
      <x:c r="F31" s="13" t="n">
        <x:v>0.55</x:v>
      </x:c>
      <x:c r="G31" s="13" t="n">
        <x:v>0.16</x:v>
      </x:c>
      <x:c r="H31" s="18" t="n">
        <x:f>$E$8*(1-F31)</x:f>
        <x:v>1327.4999999999998</x:v>
      </x:c>
      <x:c r="I31" s="18" t="n">
        <x:f>H31*G31</x:f>
        <x:v>212.39999999999998</x:v>
      </x:c>
      <x:c r="J31" s="3"/>
      <x:c r="K31" s="3"/>
    </x:row>
    <x:row r="32" ht="25" customHeight="1">
      <x:c r="A32" s="2"/>
      <x:c r="B32" s="2"/>
      <x:c r="C32" s="2" t="n">
        <x:v>6</x:v>
      </x:c>
      <x:c r="D32" s="11" t="n">
        <x:v>10000</x:v>
      </x:c>
      <x:c r="E32" s="11" t="n">
        <x:v>12000</x:v>
      </x:c>
      <x:c r="F32" s="13" t="n">
        <x:v>0.6</x:v>
      </x:c>
      <x:c r="G32" s="13" t="n">
        <x:v>0.14</x:v>
      </x:c>
      <x:c r="H32" s="18" t="n">
        <x:f>$E$8*(1-F32)</x:f>
        <x:v>1180</x:v>
      </x:c>
      <x:c r="I32" s="18" t="n">
        <x:f>H32*G32</x:f>
        <x:v>165.20000000000002</x:v>
      </x:c>
      <x:c r="J32" s="3"/>
      <x:c r="K32" s="3"/>
    </x:row>
    <x:row r="33" ht="25" customHeight="1">
      <x:c r="A33" s="2"/>
      <x:c r="B33" s="2"/>
      <x:c r="C33" s="2" t="n">
        <x:v>7</x:v>
      </x:c>
      <x:c r="D33" s="11" t="n">
        <x:v>12001</x:v>
      </x:c>
      <x:c r="E33" s="11"/>
      <x:c r="F33" s="13" t="n">
        <x:v>0.65</x:v>
      </x:c>
      <x:c r="G33" s="13" t="n">
        <x:v>0.12</x:v>
      </x:c>
      <x:c r="H33" s="18" t="n">
        <x:f>$E$8*(1-F33)</x:f>
        <x:v>1032.5</x:v>
      </x:c>
      <x:c r="I33" s="18" t="n">
        <x:f>H33*G33</x:f>
        <x:v>123.89999999999999</x:v>
      </x:c>
      <x:c r="J33" s="3"/>
      <x:c r="K33" s="3"/>
    </x:row>
    <x:row r="34" ht="25" customHeight="1">
      <x:c r="A34" s="2"/>
      <x:c r="B34" s="2"/>
      <x:c r="C34" s="2"/>
      <x:c r="D34" s="3"/>
      <x:c r="E34" s="3"/>
      <x:c r="F34" s="3"/>
      <x:c r="G34" s="3"/>
      <x:c r="H34" s="3"/>
      <x:c r="I34" s="3"/>
      <x:c r="J34" s="3"/>
      <x:c r="K34" s="3"/>
    </x:row>
    <x:row r="35" ht="25" customHeight="1">
      <x:c r="A35" s="2"/>
      <x:c r="B35" s="2"/>
      <x:c r="C35" s="19" t="str">
        <x:v>Pricing source: V2-P04 accepted for this workbook by the user; endpoints from V2-S07.</x:v>
      </x:c>
      <x:c r="D35" s="3"/>
      <x:c r="E35" s="3"/>
      <x:c r="F35" s="3"/>
      <x:c r="G35" s="3"/>
      <x:c r="H35" s="3"/>
      <x:c r="I35" s="3"/>
      <x:c r="J35" s="3"/>
      <x:c r="K35" s="3"/>
    </x:row>
    <x:row r="36" ht="25" customHeight="1">
      <x:c r="A36" s="2"/>
      <x:c r="B36" s="2"/>
      <x:c r="C36" s="19" t="str">
        <x:v>Above 12,000 starts at 12,001. A tier rate applies to the full committed pool, not marginal bands.</x:v>
      </x:c>
      <x:c r="D36" s="3"/>
      <x:c r="E36" s="3"/>
      <x:c r="F36" s="3"/>
      <x:c r="G36" s="3"/>
      <x:c r="H36" s="3"/>
      <x:c r="I36" s="3"/>
      <x:c r="J36" s="3"/>
      <x:c r="K36" s="3"/>
    </x:row>
    <x:row r="37" ht="25" customHeight="1">
      <x:c r="A37" s="2"/>
      <x:c r="B37" s="2"/>
      <x:c r="C37" s="19" t="str">
        <x:v>Full-pool discounts create price drops at thresholds. Review the better commitment near each boundary.</x:v>
      </x:c>
      <x:c r="D37" s="3"/>
      <x:c r="E37" s="3"/>
      <x:c r="F37" s="3"/>
      <x:c r="G37" s="3"/>
      <x:c r="H37" s="3"/>
      <x:c r="I37" s="3"/>
      <x:c r="J37" s="3"/>
      <x:c r="K37" s="3"/>
    </x:row>
    <x:row r="38" ht="25" customHeight="1">
      <x:c r="A38" s="2"/>
      <x:c r="B38" s="2"/>
      <x:c r="C38" s="2"/>
      <x:c r="D38" s="3"/>
      <x:c r="E38" s="3"/>
      <x:c r="F38" s="3"/>
      <x:c r="G38" s="3"/>
      <x:c r="H38" s="3"/>
      <x:c r="I38" s="3"/>
      <x:c r="J38" s="3"/>
      <x:c r="K38" s="3"/>
    </x:row>
    <x:row r="39" ht="25" customHeight="1">
      <x:c r="A39" s="2"/>
      <x:c r="B39" s="2"/>
      <x:c r="C39" s="2"/>
      <x:c r="D39" s="3"/>
      <x:c r="E39" s="3"/>
      <x:c r="F39" s="3"/>
      <x:c r="G39" s="3"/>
      <x:c r="H39" s="3"/>
      <x:c r="I39" s="3"/>
      <x:c r="J39" s="3"/>
      <x:c r="K39" s="3"/>
    </x:row>
    <x:row r="40" ht="27" customHeight="1">
      <x:c r="A40" s="2"/>
      <x:c r="B40" s="2"/>
      <x:c r="C40" s="31" t="str">
        <x:v>Scope and source notes</x:v>
      </x:c>
      <x:c r="D40" s="32"/>
      <x:c r="E40" s="32"/>
      <x:c r="F40" s="32"/>
      <x:c r="G40" s="32"/>
      <x:c r="H40" s="32"/>
      <x:c r="I40" s="32"/>
      <x:c r="J40" s="3"/>
      <x:c r="K40" s="3"/>
    </x:row>
    <x:row r="41" ht="25" customHeight="1">
      <x:c r="A41" s="2"/>
      <x:c r="B41" s="2"/>
      <x:c r="C41" s="2"/>
      <x:c r="D41" s="3"/>
      <x:c r="E41" s="3"/>
      <x:c r="F41" s="3"/>
      <x:c r="G41" s="3"/>
      <x:c r="H41" s="3"/>
      <x:c r="I41" s="3"/>
      <x:c r="J41" s="3"/>
      <x:c r="K41" s="3"/>
    </x:row>
    <x:row r="42" ht="25" customHeight="1">
      <x:c r="A42" s="2"/>
      <x:c r="B42" s="2"/>
      <x:c r="C42" s="19" t="str">
        <x:v>All savings compare subscriptions only. Support is a separate charge; onboarding, tax and optional services are excluded.</x:v>
      </x:c>
      <x:c r="D42" s="3"/>
      <x:c r="E42" s="3"/>
      <x:c r="F42" s="3"/>
      <x:c r="G42" s="3"/>
      <x:c r="H42" s="3"/>
      <x:c r="I42" s="3"/>
      <x:c r="J42" s="3"/>
      <x:c r="K42" s="3"/>
    </x:row>
    <x:row r="43" ht="25" customHeight="1">
      <x:c r="A43" s="2"/>
      <x:c r="B43" s="2"/>
      <x:c r="C43" s="19" t="str">
        <x:v>No deployment-specific support override is applied in this simplified tier model.</x:v>
      </x:c>
      <x:c r="D43" s="3"/>
      <x:c r="E43" s="3"/>
      <x:c r="F43" s="3"/>
      <x:c r="G43" s="3"/>
      <x:c r="H43" s="3"/>
      <x:c r="I43" s="3"/>
      <x:c r="J43" s="3"/>
      <x:c r="K43" s="3"/>
    </x:row>
    <x:row r="44" ht="25" customHeight="1">
      <x:c r="A44" s="2"/>
      <x:c r="B44" s="2"/>
      <x:c r="C44" s="19" t="str">
        <x:v>Current support fees are not supplied. No all-in savings or complete project ROI is claimed.</x:v>
      </x:c>
      <x:c r="D44" s="3"/>
      <x:c r="E44" s="3"/>
      <x:c r="F44" s="3"/>
      <x:c r="G44" s="3"/>
      <x:c r="H44" s="3"/>
      <x:c r="I44" s="3"/>
      <x:c r="J44" s="3"/>
      <x:c r="K44" s="3"/>
    </x:row>
    <x:row r="45" ht="25" customHeight="1">
      <x:c r="A45" s="2"/>
      <x:c r="B45" s="2"/>
      <x:c r="C45" s="19" t="str">
        <x:v>Employee scale context: DDA, GITEX Europe announcement, May 2025; over 76,000 Smart Employee users.</x:v>
      </x:c>
      <x:c r="D45" s="3"/>
      <x:c r="E45" s="3"/>
      <x:c r="F45" s="3"/>
      <x:c r="G45" s="3"/>
      <x:c r="H45" s="3"/>
      <x:c r="I45" s="3"/>
      <x:c r="J45" s="3"/>
      <x:c r="K45" s="3"/>
    </x:row>
    <x:row r="46" ht="25" customHeight="1">
      <x:c r="A46" s="2"/>
      <x:c r="B46" s="2"/>
      <x:c r="C46" s="19" t="str">
        <x:v>https://www.digitaldubai.ae/newsroom/news/dubai-to-make-presence-felt-at-gitex-europe-x-ai-everything-2025-with-a-joint-pavilion-featuring-12-government-and-private-entities</x:v>
      </x:c>
      <x:c r="D46" s="3"/>
      <x:c r="E46" s="3"/>
      <x:c r="F46" s="3"/>
      <x:c r="G46" s="3"/>
      <x:c r="H46" s="3"/>
      <x:c r="I46" s="3"/>
      <x:c r="J46" s="3"/>
      <x:c r="K46" s="3"/>
    </x:row>
    <x:row r="47" ht="25" customHeight="1">
      <x:c r="A47" s="2"/>
      <x:c r="B47" s="2"/>
      <x:c r="C47" s="2"/>
      <x:c r="D47" s="3"/>
      <x:c r="E47" s="3"/>
      <x:c r="F47" s="3"/>
      <x:c r="G47" s="3"/>
      <x:c r="H47" s="3"/>
      <x:c r="I47" s="3"/>
      <x:c r="J47" s="3"/>
      <x:c r="K47" s="3"/>
    </x:row>
    <x:row r="48" ht="25" customHeight="1">
      <x:c r="A48" s="2"/>
      <x:c r="B48" s="2"/>
      <x:c r="C48" s="19" t="str">
        <x:v>Change Summary E4 for 10K, 8K or 5K. Rates, customer savings, budget and charts update together.</x:v>
      </x:c>
      <x:c r="D48" s="3"/>
      <x:c r="E48" s="3"/>
      <x:c r="F48" s="3"/>
      <x:c r="G48" s="3"/>
      <x:c r="H48" s="3"/>
      <x:c r="I48" s="3"/>
      <x:c r="J48" s="3"/>
      <x:c r="K48" s="3"/>
    </x:row>
    <x:row r="49" ht="25" customHeight="1">
      <x:c r="A49" s="2"/>
      <x:c r="B49" s="2"/>
      <x:c r="C49" s="19" t="str">
        <x:v>Workforce percentage is a planning assumption. Entity names do not establish user allocations.</x:v>
      </x:c>
      <x:c r="D49" s="3"/>
      <x:c r="E49" s="3"/>
      <x:c r="F49" s="3"/>
      <x:c r="G49" s="3"/>
      <x:c r="H49" s="3"/>
      <x:c r="I49" s="3"/>
      <x:c r="J49" s="3"/>
      <x:c r="K49" s="3"/>
    </x:row>
    <x:row r="50" ht="25" customHeight="1">
      <x:c r="A50" s="2"/>
      <x:c r="B50" s="2"/>
      <x:c r="C50" s="2"/>
      <x:c r="D50" s="3"/>
      <x:c r="E50" s="3"/>
      <x:c r="F50" s="3"/>
      <x:c r="G50" s="3"/>
      <x:c r="H50" s="3"/>
      <x:c r="I50" s="3"/>
      <x:c r="J50" s="3"/>
      <x:c r="K50" s="3"/>
    </x:row>
    <x:row r="51" ht="25" customHeight="1">
      <x:c r="A51" s="2"/>
      <x:c r="B51" s="2"/>
      <x:c r="C51" s="2"/>
      <x:c r="D51" s="3"/>
      <x:c r="E51" s="3"/>
      <x:c r="F51" s="3"/>
      <x:c r="G51" s="3"/>
      <x:c r="H51" s="3"/>
      <x:c r="I51" s="3"/>
      <x:c r="J51" s="3"/>
      <x:c r="K51" s="3"/>
    </x:row>
    <x:row r="52" ht="27" customHeight="1">
      <x:c r="A52" s="2"/>
      <x:c r="B52" s="2"/>
      <x:c r="C52" s="31" t="str">
        <x:v>Adoption planning assumptions</x:v>
      </x:c>
      <x:c r="D52" s="32"/>
      <x:c r="E52" s="32"/>
      <x:c r="F52" s="32"/>
      <x:c r="G52" s="32"/>
      <x:c r="H52" s="32"/>
      <x:c r="I52" s="32"/>
      <x:c r="J52" s="3"/>
      <x:c r="K52" s="3"/>
    </x:row>
    <x:row r="53" ht="25" customHeight="1">
      <x:c r="A53" s="2"/>
      <x:c r="B53" s="2"/>
      <x:c r="C53" s="2"/>
      <x:c r="D53" s="3"/>
      <x:c r="E53" s="3"/>
      <x:c r="F53" s="3"/>
      <x:c r="G53" s="3"/>
      <x:c r="H53" s="3"/>
      <x:c r="I53" s="3"/>
      <x:c r="J53" s="3"/>
      <x:c r="K53" s="3"/>
    </x:row>
    <x:row r="54" ht="25" customHeight="1">
      <x:c r="A54" s="2"/>
      <x:c r="B54" s="2"/>
      <x:c r="C54" s="2" t="str">
        <x:v>Total entities in scope</x:v>
      </x:c>
      <x:c r="D54" s="3"/>
      <x:c r="E54" s="11" t="n">
        <x:v>92</x:v>
      </x:c>
      <x:c r="F54" s="3"/>
      <x:c r="G54" s="3" t="str">
        <x:v>User-supplied scope count; raw list has repeated rows.</x:v>
      </x:c>
      <x:c r="H54" s="3"/>
      <x:c r="I54" s="3"/>
      <x:c r="J54" s="3"/>
      <x:c r="K54" s="3"/>
    </x:row>
    <x:row r="55" ht="25" customHeight="1">
      <x:c r="A55" s="2"/>
      <x:c r="B55" s="2"/>
      <x:c r="C55" s="2" t="str">
        <x:v>Existing Circularo entities</x:v>
      </x:c>
      <x:c r="D55" s="3"/>
      <x:c r="E55" s="10" t="n">
        <x:v>6</x:v>
      </x:c>
      <x:c r="F55" s="3"/>
      <x:c r="G55" s="3" t="str">
        <x:v>Six distinct entities across seven supplied projects.</x:v>
      </x:c>
      <x:c r="H55" s="3"/>
      <x:c r="I55" s="3"/>
      <x:c r="J55" s="3"/>
      <x:c r="K55" s="3"/>
    </x:row>
    <x:row r="56" ht="25" customHeight="1">
      <x:c r="A56" s="2"/>
      <x:c r="B56" s="2"/>
      <x:c r="C56" s="2" t="str">
        <x:v>Existing users deducted from survey — share</x:v>
      </x:c>
      <x:c r="D56" s="3"/>
      <x:c r="E56" s="13" t="n">
        <x:v>0</x:v>
      </x:c>
      <x:c r="F56" s="3"/>
      <x:c r="G56" s="3" t="str">
        <x:v>User instruction: use full survey counts, no deduction.</x:v>
      </x:c>
      <x:c r="H56" s="3"/>
      <x:c r="I56" s="3"/>
      <x:c r="J56" s="3"/>
      <x:c r="K56" s="3"/>
    </x:row>
    <x:row r="57" ht="25" customHeight="1">
      <x:c r="A57" s="2"/>
      <x:c r="B57" s="2"/>
      <x:c r="C57" s="2" t="str">
        <x:v>Survey estimate basis</x:v>
      </x:c>
      <x:c r="D57" s="3"/>
      <x:c r="E57" s="11" t="n">
        <x:v>1</x:v>
      </x:c>
      <x:c r="F57" s="3"/>
      <x:c r="G57" s="3" t="str">
        <x:v>1 = numerical minimum; 2 = midpoint illustration.</x:v>
      </x:c>
      <x:c r="H57" s="3"/>
      <x:c r="I57" s="3"/>
      <x:c r="J57" s="3"/>
      <x:c r="K57" s="3"/>
    </x:row>
    <x:row r="58" ht="25" customHeight="1">
      <x:c r="A58" s="2"/>
      <x:c r="B58" s="2"/>
      <x:c r="C58" s="2" t="str">
        <x:v>Five-year baseline price factor</x:v>
      </x:c>
      <x:c r="D58" s="3"/>
      <x:c r="E58" s="33" t="n">
        <x:f>IF(E12=0,E9,((1+E12)^E9-1)/E12)</x:f>
        <x:v>5</x:v>
      </x:c>
      <x:c r="F58" s="3"/>
      <x:c r="G58" s="3"/>
      <x:c r="H58" s="3"/>
      <x:c r="I58" s="3"/>
      <x:c r="J58" s="3"/>
      <x:c r="K58" s="3"/>
    </x:row>
    <x:row r="59" ht="25" customHeight="1">
      <x:c r="A59" s="2"/>
      <x:c r="B59" s="2"/>
      <x:c r="C59" s="2"/>
      <x:c r="D59" s="3"/>
      <x:c r="E59" s="3"/>
      <x:c r="F59" s="3"/>
      <x:c r="G59" s="3"/>
      <x:c r="H59" s="3"/>
      <x:c r="I59" s="3"/>
      <x:c r="J59" s="3"/>
      <x:c r="K59" s="3"/>
    </x:row>
    <x:row r="60" ht="25" customHeight="1">
      <x:c r="A60" s="2"/>
      <x:c r="B60" s="2"/>
      <x:c r="C60" s="19" t="str">
        <x:v>The default uses the survey numerical minimum. The illustration uses editable band averages on Survey, including the open band.</x:v>
      </x:c>
      <x:c r="D60" s="3"/>
      <x:c r="E60" s="3"/>
      <x:c r="F60" s="3"/>
      <x:c r="G60" s="3"/>
      <x:c r="H60" s="3"/>
      <x:c r="I60" s="3"/>
      <x:c r="J60" s="3"/>
      <x:c r="K60" s="3"/>
    </x:row>
    <x:row r="61" ht="25" customHeight="1">
      <x:c r="A61" s="2"/>
      <x:c r="B61" s="2"/>
      <x:c r="C61" s="19" t="str">
        <x:v>Per user instruction, no existing users are deducted from the survey. The additive treatment is a modeling assumption.</x:v>
      </x:c>
      <x:c r="D61" s="3"/>
      <x:c r="E61" s="3"/>
      <x:c r="F61" s="3"/>
      <x:c r="G61" s="3"/>
      <x:c r="H61" s="3"/>
      <x:c r="I61" s="3"/>
      <x:c r="J61" s="3"/>
      <x:c r="K61" s="3"/>
    </x:row>
    <x:row r="62" ht="25" customHeight="1">
      <x:c r="A62" s="2"/>
      <x:c r="B62" s="2"/>
      <x:c r="C62" s="19" t="str">
        <x:v>Current/expected survey users are an opportunity, not a purchase commitment. The 16 demand entities are not added as extra users.</x:v>
      </x:c>
      <x:c r="D62" s="3"/>
      <x:c r="E62" s="3"/>
      <x:c r="F62" s="3"/>
      <x:c r="G62" s="3"/>
      <x:c r="H62" s="3"/>
      <x:c r="I62" s="3"/>
      <x:c r="J62" s="3"/>
      <x:c r="K62" s="3"/>
    </x:row>
    <x:row r="63" ht="25" customHeight="1">
      <x:c r="A63" s="2"/>
      <x:c r="B63" s="2"/>
      <x:c r="C63" s="19" t="str">
        <x:v>Other departments receive the residual seat target. Their required average is a feasibility test, not a demand forecast.</x:v>
      </x:c>
      <x:c r="D63" s="3"/>
      <x:c r="E63" s="3"/>
      <x:c r="F63" s="3"/>
      <x:c r="G63" s="3"/>
      <x:c r="H63" s="3"/>
      <x:c r="I63" s="3"/>
      <x:c r="J63" s="3"/>
      <x:c r="K63" s="3"/>
    </x:row>
    <x:row r="64" ht="25" customHeight="1">
      <x:c r="A64" s="2"/>
      <x:c r="B64" s="2"/>
      <x:c r="C64" s="2"/>
      <x:c r="D64" s="3"/>
      <x:c r="E64" s="3"/>
      <x:c r="F64" s="3"/>
      <x:c r="G64" s="3"/>
      <x:c r="H64" s="3"/>
      <x:c r="I64" s="3"/>
      <x:c r="J64" s="3"/>
      <x:c r="K64" s="3"/>
    </x:row>
    <x:row r="65" ht="27" customHeight="1">
      <x:c r="A65" s="2"/>
      <x:c r="B65" s="2"/>
      <x:c r="C65" s="31" t="str">
        <x:v>User growth assumptions</x:v>
      </x:c>
      <x:c r="D65" s="32"/>
      <x:c r="E65" s="32"/>
      <x:c r="F65" s="32"/>
      <x:c r="G65" s="32"/>
      <x:c r="H65" s="32"/>
      <x:c r="I65" s="32"/>
      <x:c r="J65" s="3"/>
      <x:c r="K65" s="3"/>
    </x:row>
    <x:row r="66" ht="25" customHeight="1">
      <x:c r="A66" s="2"/>
      <x:c r="B66" s="2"/>
      <x:c r="C66" s="2"/>
      <x:c r="D66" s="3"/>
      <x:c r="E66" s="3"/>
      <x:c r="F66" s="3"/>
      <x:c r="G66" s="3"/>
      <x:c r="H66" s="3"/>
      <x:c r="I66" s="3"/>
      <x:c r="J66" s="3"/>
      <x:c r="K66" s="3"/>
    </x:row>
    <x:row r="67" ht="25" customHeight="1">
      <x:c r="A67" s="2"/>
      <x:c r="B67" s="2"/>
      <x:c r="C67" s="2" t="str">
        <x:v>Existing customers — Year 1 growth</x:v>
      </x:c>
      <x:c r="D67" s="3"/>
      <x:c r="E67" s="13" t="n">
        <x:v>0.2</x:v>
      </x:c>
      <x:c r="F67" s="3"/>
      <x:c r="G67" s="3" t="str">
        <x:v>V2-S13: user-reported Year 1 growth.</x:v>
      </x:c>
      <x:c r="H67" s="3"/>
      <x:c r="I67" s="3"/>
      <x:c r="J67" s="3"/>
      <x:c r="K67" s="3"/>
    </x:row>
    <x:row r="68" ht="25" customHeight="1">
      <x:c r="A68" s="2"/>
      <x:c r="B68" s="2"/>
      <x:c r="C68" s="2" t="str">
        <x:v>All cohorts — annual growth, Years 2–5</x:v>
      </x:c>
      <x:c r="D68" s="3"/>
      <x:c r="E68" s="13" t="n">
        <x:v>0.05</x:v>
      </x:c>
      <x:c r="F68" s="3"/>
      <x:c r="G68" s="3" t="str">
        <x:v>V2-S13: expected annual user growth.</x:v>
      </x:c>
      <x:c r="H68" s="3"/>
      <x:c r="I68" s="3"/>
      <x:c r="J68" s="3"/>
      <x:c r="K68" s="3"/>
    </x:row>
    <x:row r="69" ht="25" customHeight="1">
      <x:c r="A69" s="2"/>
      <x:c r="B69" s="2"/>
      <x:c r="C69" s="2"/>
      <x:c r="D69" s="3"/>
      <x:c r="E69" s="3"/>
      <x:c r="F69" s="3"/>
      <x:c r="G69" s="3"/>
      <x:c r="H69" s="3"/>
      <x:c r="I69" s="3"/>
      <x:c r="J69" s="3"/>
      <x:c r="K69" s="3"/>
    </x:row>
    <x:row r="70" ht="25" customHeight="1">
      <x:c r="A70" s="2"/>
      <x:c r="B70" s="2"/>
      <x:c r="C70" s="19" t="str">
        <x:v>Paid volume rises with users above the initial annual minimum. The selected subscription and support rates remain fixed.</x:v>
      </x:c>
      <x:c r="D70" s="3"/>
      <x:c r="E70" s="3"/>
      <x:c r="F70" s="3"/>
      <x:c r="G70" s="3"/>
      <x:c r="H70" s="3"/>
      <x:c r="I70" s="3"/>
      <x:c r="J70" s="3"/>
      <x:c r="K70" s="3"/>
    </x:row>
    <x:row r="71" ht="25" customHeight="1">
      <x:c r="A71" s="2"/>
      <x:c r="B71" s="2"/>
      <x:c r="C71" s="19" t="str">
        <x:v>Forecast counts are rounded to whole users by cohort each year and assumed billable for the full year.</x:v>
      </x:c>
      <x:c r="D71" s="3"/>
      <x:c r="E71" s="3"/>
      <x:c r="F71" s="3"/>
      <x:c r="G71" s="3"/>
      <x:c r="H71" s="3"/>
      <x:c r="I71" s="3"/>
      <x:c r="J71" s="3"/>
      <x:c r="K71" s="3"/>
    </x:row>
    <x:row r="72" ht="25" customHeight="1">
      <x:c r="A72" s="2"/>
      <x:c r="B72" s="2"/>
      <x:c r="C72" s="19" t="str">
        <x:v>Existing growth uses the current weighted subscription price. Survey/other growth preserves each cohort’s Year 1 cost mix.</x:v>
      </x:c>
      <x:c r="D72" s="3"/>
      <x:c r="E72" s="3"/>
      <x:c r="F72" s="3"/>
      <x:c r="G72" s="3"/>
      <x:c r="H72" s="3"/>
      <x:c r="I72" s="3"/>
      <x:c r="J72" s="3"/>
      <x:c r="K72" s="3"/>
    </x:row>
    <x:row r="73" ht="25" customHeight="1">
      <x:c r="A73" s="2"/>
      <x:c r="B73" s="2"/>
      <x:c r="C73" s="19" t="str">
        <x:v>These growth and baseline-price assumptions are modeled expectations, not newly signed subscriptions.</x:v>
      </x:c>
      <x:c r="D73" s="3"/>
      <x:c r="E73" s="3"/>
      <x:c r="F73" s="3"/>
      <x:c r="G73" s="3"/>
      <x:c r="H73" s="3"/>
      <x:c r="I73" s="3"/>
      <x:c r="J73" s="3"/>
      <x:c r="K73" s="3"/>
    </x:row>
    <x:row r="74" ht="25" customHeight="1">
      <x:c r="A74" s="2"/>
      <x:c r="B74" s="2"/>
      <x:c r="C74" s="2"/>
      <x:c r="D74" s="3"/>
      <x:c r="E74" s="3"/>
      <x:c r="F74" s="3"/>
      <x:c r="G74" s="3"/>
      <x:c r="H74" s="3"/>
      <x:c r="I74" s="3"/>
      <x:c r="J74" s="3"/>
      <x:c r="K74" s="3"/>
    </x:row>
  </x:sheetData>
  <x:conditionalFormatting sqref="E6:E6">
    <x:cfRule type="containsText" dxfId="0" priority="1" operator="containsText" text="Below"/>
  </x:conditionalFormatting>
  <x:dataValidations count="8">
    <x:dataValidation type="whole" operator="greaterThanOrEqual" sqref="E5">
      <x:formula1>1</x:formula1>
    </x:dataValidation>
    <x:dataValidation type="whole" operator="equal" sqref="E9">
      <x:formula1>5</x:formula1>
    </x:dataValidation>
    <x:dataValidation type="decimal" operator="between" sqref="E11">
      <x:formula1>0</x:formula1>
      <x:formula2>1</x:formula2>
    </x:dataValidation>
    <x:dataValidation type="decimal" operator="between" sqref="E13">
      <x:formula1>0</x:formula1>
      <x:formula2>1</x:formula2>
    </x:dataValidation>
    <x:dataValidation type="decimal" operator="between" sqref="E56">
      <x:formula1>0</x:formula1>
      <x:formula2>1</x:formula2>
    </x:dataValidation>
    <x:dataValidation type="whole" operator="between" sqref="E57">
      <x:formula1>1</x:formula1>
      <x:formula2>2</x:formula2>
    </x:dataValidation>
    <x:dataValidation type="decimal" operator="between" sqref="E67">
      <x:formula1>0</x:formula1>
      <x:formula2>1</x:formula2>
    </x:dataValidation>
    <x:dataValidation type="decimal" operator="between" sqref="E68">
      <x:formula1>0</x:formula1>
      <x:formula2>1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51" hidden="0" customWidth="1"/>
    <x:col min="4" max="4" width="12" hidden="0" customWidth="1"/>
    <x:col min="5" max="5" width="18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15" hidden="0" customWidth="1"/>
    <x:col min="12" max="12" width="22" hidden="0" customWidth="1"/>
  </x:cols>
  <x:sheetData>
    <x:row r="1" ht="25" customHeight="1">
      <x:c r="A1" s="2"/>
      <x:c r="B1" s="2"/>
      <x:c r="C1" s="2"/>
      <x:c r="D1" s="3"/>
      <x:c r="E1" s="3"/>
      <x:c r="F1" s="3"/>
      <x:c r="G1" s="3"/>
      <x:c r="H1" s="3"/>
      <x:c r="I1" s="3"/>
      <x:c r="J1" s="3"/>
      <x:c r="K1" s="3"/>
      <x:c r="L1" s="3"/>
    </x:row>
    <x:row r="2" ht="25" customHeight="1">
      <x:c r="A2" s="2"/>
      <x:c r="B2" s="2"/>
      <x:c r="C2" s="4" t="str">
        <x:v>Existing customers — subscription savings</x:v>
      </x:c>
      <x:c r="D2" s="3"/>
      <x:c r="E2" s="3"/>
      <x:c r="F2" s="3"/>
      <x:c r="G2" s="3"/>
      <x:c r="H2" s="3"/>
      <x:c r="I2" s="3"/>
      <x:c r="J2" s="3"/>
      <x:c r="K2" s="3"/>
      <x:c r="L2" s="3"/>
    </x:row>
    <x:row r="3" ht="25" customHeight="1">
      <x:c r="A3" s="2"/>
      <x:c r="B3" s="2"/>
      <x:c r="C3" s="5"/>
      <x:c r="D3" s="6"/>
      <x:c r="E3" s="6"/>
      <x:c r="F3" s="6"/>
      <x:c r="G3" s="6"/>
      <x:c r="H3" s="6"/>
      <x:c r="I3" s="3"/>
      <x:c r="J3" s="3"/>
      <x:c r="K3" s="3"/>
      <x:c r="L3" s="3"/>
    </x:row>
    <x:row r="4" ht="25" customHeight="1">
      <x:c r="A4" s="2"/>
      <x:c r="B4" s="2"/>
      <x:c r="C4" s="2" t="str">
        <x:v>Annual commitment selected</x:v>
      </x:c>
      <x:c r="D4" s="3"/>
      <x:c r="E4" s="8" t="n">
        <x:f>'Setup'!E5</x:f>
        <x:v>8000</x:v>
      </x:c>
      <x:c r="F4" s="3"/>
      <x:c r="G4" s="3"/>
      <x:c r="H4" s="3"/>
      <x:c r="I4" s="3"/>
      <x:c r="J4" s="3"/>
      <x:c r="K4" s="3"/>
      <x:c r="L4" s="3"/>
    </x:row>
    <x:row r="5" ht="25" customHeight="1">
      <x:c r="A5" s="2"/>
      <x:c r="B5" s="2"/>
      <x:c r="C5" s="2"/>
      <x:c r="D5" s="3"/>
      <x:c r="E5" s="3"/>
      <x:c r="F5" s="3"/>
      <x:c r="G5" s="3"/>
      <x:c r="H5" s="3"/>
      <x:c r="I5" s="3"/>
      <x:c r="J5" s="3"/>
      <x:c r="K5" s="3"/>
      <x:c r="L5" s="3"/>
    </x:row>
    <x:row r="6" ht="25" customHeight="1">
      <x:c r="A6" s="2"/>
      <x:c r="B6" s="2"/>
      <x:c r="C6" s="19" t="str">
        <x:v>Source: user-supplied subscriptions (V2-S01) plus Rulers Court addition (V2-S12). Support is separate.</x:v>
      </x:c>
      <x:c r="D6" s="3"/>
      <x:c r="E6" s="3"/>
      <x:c r="F6" s="3"/>
      <x:c r="G6" s="3"/>
      <x:c r="H6" s="3"/>
      <x:c r="I6" s="3"/>
      <x:c r="J6" s="3"/>
      <x:c r="K6" s="3"/>
      <x:c r="L6" s="3"/>
    </x:row>
    <x:row r="7" ht="25" customHeight="1">
      <x:c r="A7" s="2"/>
      <x:c r="B7" s="2"/>
      <x:c r="C7" s="2"/>
      <x:c r="D7" s="3"/>
      <x:c r="E7" s="3"/>
      <x:c r="F7" s="3"/>
      <x:c r="G7" s="3"/>
      <x:c r="H7" s="3"/>
      <x:c r="I7" s="3"/>
      <x:c r="J7" s="3"/>
      <x:c r="K7" s="3"/>
      <x:c r="L7" s="3"/>
    </x:row>
    <x:row r="8" ht="40" customHeight="1">
      <x:c r="A8" s="2"/>
      <x:c r="B8" s="2"/>
      <x:c r="C8" s="26" t="str">
        <x:v>Customer / project</x:v>
      </x:c>
      <x:c r="D8" s="27" t="str">
        <x:v>Users</x:v>
      </x:c>
      <x:c r="E8" s="27" t="str">
        <x:v>Current AED/user</x:v>
      </x:c>
      <x:c r="F8" s="27" t="str">
        <x:v>Central AED/user</x:v>
      </x:c>
      <x:c r="G8" s="27" t="str">
        <x:v>Current annual AED</x:v>
      </x:c>
      <x:c r="H8" s="27" t="str">
        <x:v>Central annual AED</x:v>
      </x:c>
      <x:c r="I8" s="27" t="str">
        <x:v>Annual saving AED</x:v>
      </x:c>
      <x:c r="J8" s="27" t="str">
        <x:v>Five-year saving AED</x:v>
      </x:c>
      <x:c r="K8" s="27" t="str">
        <x:v>Saving %</x:v>
      </x:c>
      <x:c r="L8" s="27" t="str">
        <x:v>Central support AED</x:v>
      </x:c>
    </x:row>
    <x:row r="9" ht="42" customHeight="1">
      <x:c r="A9" s="2"/>
      <x:c r="B9" s="2"/>
      <x:c r="C9" s="34" t="str">
        <x:v>Digital Dubai Authority (VIP Project)</x:v>
      </x:c>
      <x:c r="D9" s="11" t="n">
        <x:v>50</x:v>
      </x:c>
      <x:c r="E9" s="12" t="n">
        <x:v>1850.94</x:v>
      </x:c>
      <x:c r="F9" s="41" t="n">
        <x:f>'Setup'!$E$18</x:f>
        <x:v>1327.4999999999998</x:v>
      </x:c>
      <x:c r="G9" s="18" t="n">
        <x:f>D9*E9</x:f>
        <x:v>92547</x:v>
      </x:c>
      <x:c r="H9" s="18" t="n">
        <x:f>D9*F9</x:f>
        <x:v>66374.99999999999</x:v>
      </x:c>
      <x:c r="I9" s="18" t="n">
        <x:f>G9-H9</x:f>
        <x:v>26172.000000000015</x:v>
      </x:c>
      <x:c r="J9" s="41" t="n">
        <x:f>I9*'Setup'!$E$9</x:f>
        <x:v>130860.00000000007</x:v>
      </x:c>
      <x:c r="K9" s="17" t="n">
        <x:f>IF(G9=0,"n.a.",I9/G9)</x:f>
        <x:v>0.28279684916853076</x:v>
      </x:c>
      <x:c r="L9" s="41" t="n">
        <x:f>H9*'Setup'!$E$17</x:f>
        <x:v>10619.999999999998</x:v>
      </x:c>
    </x:row>
    <x:row r="10" ht="42" customHeight="1">
      <x:c r="A10" s="2"/>
      <x:c r="B10" s="2"/>
      <x:c r="C10" s="34" t="str">
        <x:v>Digital Dubai Authority</x:v>
      </x:c>
      <x:c r="D10" s="11" t="n">
        <x:v>100</x:v>
      </x:c>
      <x:c r="E10" s="12" t="n">
        <x:v>2212.5</x:v>
      </x:c>
      <x:c r="F10" s="41" t="n">
        <x:f>'Setup'!$E$18</x:f>
        <x:v>1327.4999999999998</x:v>
      </x:c>
      <x:c r="G10" s="18" t="n">
        <x:f>D10*E10</x:f>
        <x:v>221250</x:v>
      </x:c>
      <x:c r="H10" s="18" t="n">
        <x:f>D10*F10</x:f>
        <x:v>132749.99999999997</x:v>
      </x:c>
      <x:c r="I10" s="18" t="n">
        <x:f>G10-H10</x:f>
        <x:v>88500.00000000003</x:v>
      </x:c>
      <x:c r="J10" s="41" t="n">
        <x:f>I10*'Setup'!$E$9</x:f>
        <x:v>442500.0000000001</x:v>
      </x:c>
      <x:c r="K10" s="17" t="n">
        <x:f>IF(G10=0,"n.a.",I10/G10)</x:f>
        <x:v>0.40000000000000013</x:v>
      </x:c>
      <x:c r="L10" s="41" t="n">
        <x:f>H10*'Setup'!$E$17</x:f>
        <x:v>21239.999999999996</x:v>
      </x:c>
    </x:row>
    <x:row r="11" ht="42" customHeight="1">
      <x:c r="A11" s="2"/>
      <x:c r="B11" s="2"/>
      <x:c r="C11" s="34" t="str">
        <x:v>Dubai Culture &amp; Arts Authority</x:v>
      </x:c>
      <x:c r="D11" s="11" t="n">
        <x:v>25</x:v>
      </x:c>
      <x:c r="E11" s="12" t="n">
        <x:v>2212.48</x:v>
      </x:c>
      <x:c r="F11" s="41" t="n">
        <x:f>'Setup'!$E$18</x:f>
        <x:v>1327.4999999999998</x:v>
      </x:c>
      <x:c r="G11" s="18" t="n">
        <x:f>D11*E11</x:f>
        <x:v>55312</x:v>
      </x:c>
      <x:c r="H11" s="18" t="n">
        <x:f>D11*F11</x:f>
        <x:v>33187.49999999999</x:v>
      </x:c>
      <x:c r="I11" s="18" t="n">
        <x:f>G11-H11</x:f>
        <x:v>22124.500000000007</x:v>
      </x:c>
      <x:c r="J11" s="41" t="n">
        <x:f>I11*'Setup'!$E$9</x:f>
        <x:v>110622.50000000003</x:v>
      </x:c>
      <x:c r="K11" s="17" t="n">
        <x:f>IF(G11=0,"n.a.",I11/G11)</x:f>
        <x:v>0.39999457622215806</x:v>
      </x:c>
      <x:c r="L11" s="41" t="n">
        <x:f>H11*'Setup'!$E$17</x:f>
        <x:v>5309.999999999999</x:v>
      </x:c>
    </x:row>
    <x:row r="12" ht="42" customHeight="1">
      <x:c r="A12" s="2"/>
      <x:c r="B12" s="2"/>
      <x:c r="C12" s="34" t="str">
        <x:v>Dubai Electronic Security Center</x:v>
      </x:c>
      <x:c r="D12" s="11" t="n">
        <x:v>60</x:v>
      </x:c>
      <x:c r="E12" s="12" t="n">
        <x:v>2507.5</x:v>
      </x:c>
      <x:c r="F12" s="41" t="n">
        <x:f>'Setup'!$E$18</x:f>
        <x:v>1327.4999999999998</x:v>
      </x:c>
      <x:c r="G12" s="18" t="n">
        <x:f>D12*E12</x:f>
        <x:v>150450</x:v>
      </x:c>
      <x:c r="H12" s="18" t="n">
        <x:f>D12*F12</x:f>
        <x:v>79649.99999999999</x:v>
      </x:c>
      <x:c r="I12" s="18" t="n">
        <x:f>G12-H12</x:f>
        <x:v>70800.00000000001</x:v>
      </x:c>
      <x:c r="J12" s="41" t="n">
        <x:f>I12*'Setup'!$E$9</x:f>
        <x:v>354000.00000000006</x:v>
      </x:c>
      <x:c r="K12" s="17" t="n">
        <x:f>IF(G12=0,"n.a.",I12/G12)</x:f>
        <x:v>0.47058823529411775</x:v>
      </x:c>
      <x:c r="L12" s="41" t="n">
        <x:f>H12*'Setup'!$E$17</x:f>
        <x:v>12743.999999999998</x:v>
      </x:c>
    </x:row>
    <x:row r="13" ht="42" customHeight="1">
      <x:c r="A13" s="2"/>
      <x:c r="B13" s="2"/>
      <x:c r="C13" s="34" t="str">
        <x:v>Ports, Customs and Free Zone Corporation (PCFC)</x:v>
      </x:c>
      <x:c r="D13" s="11" t="n">
        <x:v>25</x:v>
      </x:c>
      <x:c r="E13" s="12" t="n">
        <x:v>2159.43</x:v>
      </x:c>
      <x:c r="F13" s="41" t="n">
        <x:f>'Setup'!$E$18</x:f>
        <x:v>1327.4999999999998</x:v>
      </x:c>
      <x:c r="G13" s="18" t="n">
        <x:f>D13*E13</x:f>
        <x:v>53985.74999999999</x:v>
      </x:c>
      <x:c r="H13" s="18" t="n">
        <x:f>D13*F13</x:f>
        <x:v>33187.49999999999</x:v>
      </x:c>
      <x:c r="I13" s="18" t="n">
        <x:f>G13-H13</x:f>
        <x:v>20798.25</x:v>
      </x:c>
      <x:c r="J13" s="41" t="n">
        <x:f>I13*'Setup'!$E$9</x:f>
        <x:v>103991.25</x:v>
      </x:c>
      <x:c r="K13" s="17" t="n">
        <x:f>IF(G13=0,"n.a.",I13/G13)</x:f>
        <x:v>0.3852544421444548</x:v>
      </x:c>
      <x:c r="L13" s="41" t="n">
        <x:f>H13*'Setup'!$E$17</x:f>
        <x:v>5309.999999999999</x:v>
      </x:c>
    </x:row>
    <x:row r="14" ht="42" customHeight="1">
      <x:c r="A14" s="2"/>
      <x:c r="B14" s="2"/>
      <x:c r="C14" s="34" t="str">
        <x:v>Roads and Transport Authority (RTA)</x:v>
      </x:c>
      <x:c r="D14" s="11" t="n">
        <x:v>1000</x:v>
      </x:c>
      <x:c r="E14" s="12" t="n">
        <x:v>1245</x:v>
      </x:c>
      <x:c r="F14" s="41" t="n">
        <x:f>'Setup'!$E$18</x:f>
        <x:v>1327.4999999999998</x:v>
      </x:c>
      <x:c r="G14" s="18" t="n">
        <x:f>D14*E14</x:f>
        <x:v>1245000</x:v>
      </x:c>
      <x:c r="H14" s="18" t="n">
        <x:f>D14*F14</x:f>
        <x:v>1327499.9999999998</x:v>
      </x:c>
      <x:c r="I14" s="18" t="n">
        <x:f>G14-H14</x:f>
        <x:v>-82499.99999999977</x:v>
      </x:c>
      <x:c r="J14" s="41" t="n">
        <x:f>I14*'Setup'!$E$9</x:f>
        <x:v>-412499.99999999884</x:v>
      </x:c>
      <x:c r="K14" s="17" t="n">
        <x:f>IF(G14=0,"n.a.",I14/G14)</x:f>
        <x:v>-0.06626506024096367</x:v>
      </x:c>
      <x:c r="L14" s="41" t="n">
        <x:f>H14*'Setup'!$E$17</x:f>
        <x:v>212399.99999999997</x:v>
      </x:c>
    </x:row>
    <x:row r="15" ht="42" customHeight="1">
      <x:c r="A15" s="2"/>
      <x:c r="B15" s="2"/>
      <x:c r="C15" s="34" t="str">
        <x:v>His Highness the Rulers Court</x:v>
      </x:c>
      <x:c r="D15" s="11" t="n">
        <x:v>50</x:v>
      </x:c>
      <x:c r="E15" s="12" t="n">
        <x:v>2212.5</x:v>
      </x:c>
      <x:c r="F15" s="41" t="n">
        <x:f>'Setup'!$E$18</x:f>
        <x:v>1327.4999999999998</x:v>
      </x:c>
      <x:c r="G15" s="18" t="n">
        <x:f>D15*E15</x:f>
        <x:v>110625</x:v>
      </x:c>
      <x:c r="H15" s="18" t="n">
        <x:f>D15*F15</x:f>
        <x:v>66374.99999999999</x:v>
      </x:c>
      <x:c r="I15" s="18" t="n">
        <x:f>G15-H15</x:f>
        <x:v>44250.000000000015</x:v>
      </x:c>
      <x:c r="J15" s="41" t="n">
        <x:f>I15*'Setup'!$E$9</x:f>
        <x:v>221250.00000000006</x:v>
      </x:c>
      <x:c r="K15" s="17" t="n">
        <x:f>IF(G15=0,"n.a.",I15/G15)</x:f>
        <x:v>0.40000000000000013</x:v>
      </x:c>
      <x:c r="L15" s="41" t="n">
        <x:f>H15*'Setup'!$E$17</x:f>
        <x:v>10619.999999999998</x:v>
      </x:c>
    </x:row>
    <x:row r="16" ht="25" customHeight="1">
      <x:c r="A16" s="2"/>
      <x:c r="B16" s="2"/>
      <x:c r="C16" s="38" t="str">
        <x:v>Existing customer total</x:v>
      </x:c>
      <x:c r="D16" s="39" t="n">
        <x:f>SUM(D9:D15)</x:f>
        <x:v>1310</x:v>
      </x:c>
      <x:c r="E16" s="42"/>
      <x:c r="F16" s="42"/>
      <x:c r="G16" s="43" t="n">
        <x:f>SUM(G9:G15)</x:f>
        <x:v>1929169.75</x:v>
      </x:c>
      <x:c r="H16" s="43" t="n">
        <x:f>SUM(H9:H15)</x:f>
        <x:v>1739024.9999999998</x:v>
      </x:c>
      <x:c r="I16" s="43" t="n">
        <x:f>SUM(I9:I15)</x:f>
        <x:v>190144.7500000003</x:v>
      </x:c>
      <x:c r="J16" s="43" t="n">
        <x:f>SUM(J9:J15)</x:f>
        <x:v>950723.7500000014</x:v>
      </x:c>
      <x:c r="K16" s="44" t="n">
        <x:f>I16/G16</x:f>
        <x:v>0.09856299581724226</x:v>
      </x:c>
      <x:c r="L16" s="43" t="n">
        <x:f>SUM(L9:L15)</x:f>
        <x:v>278243.99999999994</x:v>
      </x:c>
    </x:row>
    <x:row r="17" ht="25" customHeight="1">
      <x:c r="A17" s="2"/>
      <x:c r="B17" s="2"/>
      <x:c r="C17" s="2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25" customHeight="1">
      <x:c r="A18" s="2"/>
      <x:c r="B18" s="2"/>
      <x:c r="C18" s="19" t="str">
        <x:v>Positive savings = lower subscription fees. Negative values show a subscription increase.</x:v>
      </x:c>
      <x:c r="D18" s="3"/>
      <x:c r="E18" s="3"/>
      <x:c r="F18" s="3"/>
      <x:c r="G18" s="3"/>
      <x:c r="H18" s="3"/>
      <x:c r="I18" s="3"/>
      <x:c r="J18" s="3"/>
      <x:c r="K18" s="3"/>
      <x:c r="L18" s="3"/>
    </x:row>
    <x:row r="19" ht="25" customHeight="1">
      <x:c r="A19" s="2"/>
      <x:c r="B19" s="2"/>
      <x:c r="C19" s="19" t="str">
        <x:v>Central support is shown separately. Current support is unknown and excluded from the savings comparison.</x:v>
      </x:c>
      <x:c r="D19" s="3"/>
      <x:c r="E19" s="3"/>
      <x:c r="F19" s="3"/>
      <x:c r="G19" s="3"/>
      <x:c r="H19" s="3"/>
      <x:c r="I19" s="3"/>
      <x:c r="J19" s="3"/>
      <x:c r="K19" s="3"/>
      <x:c r="L19" s="3"/>
    </x:row>
    <x:row r="20" ht="25" customHeight="1">
      <x:c r="A20" s="2"/>
      <x:c r="B20" s="2"/>
      <x:c r="C20" s="19" t="str">
        <x:v>These costs allocate the central rate to existing users; DDA still pays for the full annual commitment.</x:v>
      </x:c>
      <x:c r="D20" s="3"/>
      <x:c r="E20" s="3"/>
      <x:c r="F20" s="3"/>
      <x:c r="G20" s="3"/>
      <x:c r="H20" s="3"/>
      <x:c r="I20" s="3"/>
      <x:c r="J20" s="3"/>
      <x:c r="K20" s="3"/>
      <x:c r="L20" s="3"/>
    </x:row>
    <x:row r="21" ht="25" customHeight="1">
      <x:c r="A21" s="2"/>
      <x:c r="B21" s="2"/>
      <x:c r="C21" s="19" t="str">
        <x:v>Five-year savings hold current subscription prices and existing user counts flat.</x:v>
      </x:c>
      <x:c r="D21" s="3"/>
      <x:c r="E21" s="3"/>
      <x:c r="F21" s="3"/>
      <x:c r="G21" s="3"/>
      <x:c r="H21" s="3"/>
      <x:c r="I21" s="3"/>
      <x:c r="J21" s="3"/>
      <x:c r="K21" s="3"/>
      <x:c r="L21" s="3"/>
    </x:row>
    <x:row r="22" ht="25" customHeight="1">
      <x:c r="A22" s="2"/>
      <x:c r="B22" s="2"/>
      <x:c r="C22" s="19" t="str">
        <x:v>Entity #92 added by user: Rulers Court. Transaction limits not supplied; the original six projects are unlimited.</x:v>
      </x:c>
      <x:c r="D22" s="3"/>
      <x:c r="E22" s="3"/>
      <x:c r="F22" s="3"/>
      <x:c r="G22" s="3"/>
      <x:c r="H22" s="3"/>
      <x:c r="I22" s="3"/>
      <x:c r="J22" s="3"/>
      <x:c r="K22" s="3"/>
      <x:c r="L22" s="3"/>
    </x:row>
    <x:row r="23" ht="25" customHeight="1">
      <x:c r="A23" s="2"/>
      <x:c r="B23" s="2"/>
      <x:c r="C23" s="2"/>
      <x:c r="D23" s="3"/>
      <x:c r="E23" s="3"/>
      <x:c r="F23" s="3"/>
      <x:c r="G23" s="3"/>
      <x:c r="H23" s="3"/>
      <x:c r="I23" s="3"/>
      <x:c r="J23" s="3"/>
      <x:c r="K23" s="3"/>
      <x:c r="L23" s="3"/>
    </x:row>
    <x:row r="24" ht="27" customHeight="1">
      <x:c r="A24" s="2"/>
      <x:c r="B24" s="2"/>
      <x:c r="C24" s="31" t="str">
        <x:v>Subscription comparison for charts</x:v>
      </x:c>
      <x:c r="D24" s="32"/>
      <x:c r="E24" s="32"/>
      <x:c r="F24" s="32"/>
      <x:c r="G24" s="3"/>
      <x:c r="H24" s="3"/>
      <x:c r="I24" s="3"/>
      <x:c r="J24" s="3"/>
      <x:c r="K24" s="3"/>
      <x:c r="L24" s="3"/>
    </x:row>
    <x:row r="25" ht="40" customHeight="1">
      <x:c r="A25" s="2"/>
      <x:c r="B25" s="2"/>
      <x:c r="C25" s="26" t="str">
        <x:v>Measure</x:v>
      </x:c>
      <x:c r="D25" s="27" t="str">
        <x:v>Current subscriptions</x:v>
      </x:c>
      <x:c r="E25" s="27" t="str">
        <x:v>Central subscriptions</x:v>
      </x:c>
      <x:c r="F25" s="3"/>
      <x:c r="G25" s="3"/>
      <x:c r="H25" s="3"/>
      <x:c r="I25" s="3"/>
      <x:c r="J25" s="3"/>
      <x:c r="K25" s="3"/>
      <x:c r="L25" s="3"/>
    </x:row>
    <x:row r="26" ht="25" customHeight="1">
      <x:c r="A26" s="2"/>
      <x:c r="B26" s="2"/>
      <x:c r="C26" s="2" t="str">
        <x:v>Existing customers</x:v>
      </x:c>
      <x:c r="D26" s="16" t="n">
        <x:f>G16</x:f>
        <x:v>1929169.75</x:v>
      </x:c>
      <x:c r="E26" s="16" t="n">
        <x:f>H16</x:f>
        <x:v>1739024.9999999998</x:v>
      </x:c>
      <x:c r="F26" s="3"/>
      <x:c r="G26" s="3"/>
      <x:c r="H26" s="3"/>
      <x:c r="I26" s="3"/>
      <x:c r="J26" s="3"/>
      <x:c r="K26" s="3"/>
      <x:c r="L26" s="3"/>
    </x:row>
    <x:row r="27" ht="25" customHeight="1">
      <x:c r="A27" s="2"/>
      <x:c r="B27" s="2"/>
      <x:c r="C27" s="2"/>
      <x:c r="D27" s="3"/>
      <x:c r="E27" s="3"/>
      <x:c r="F27" s="3"/>
      <x:c r="G27" s="3"/>
      <x:c r="H27" s="3"/>
      <x:c r="I27" s="3"/>
      <x:c r="J27" s="3"/>
      <x:c r="K27" s="3"/>
      <x:c r="L27" s="3"/>
    </x:row>
    <x:row r="28" ht="25" customHeight="1">
      <x:c r="A28" s="2"/>
      <x:c r="B28" s="2"/>
      <x:c r="C28" s="2"/>
      <x:c r="D28" s="3"/>
      <x:c r="E28" s="3"/>
      <x:c r="F28" s="3"/>
      <x:c r="G28" s="3"/>
      <x:c r="H28" s="3"/>
      <x:c r="I28" s="3"/>
      <x:c r="J28" s="3"/>
      <x:c r="K28" s="3"/>
      <x:c r="L28" s="3"/>
    </x:row>
    <x:row r="29" ht="25" customHeight="1">
      <x:c r="A29" s="2"/>
      <x:c r="B29" s="2"/>
      <x:c r="C29" s="2"/>
      <x:c r="D29" s="3"/>
      <x:c r="E29" s="3"/>
      <x:c r="F29" s="3"/>
      <x:c r="G29" s="3"/>
      <x:c r="H29" s="3"/>
      <x:c r="I29" s="3"/>
      <x:c r="J29" s="3"/>
      <x:c r="K29" s="3"/>
      <x:c r="L29" s="3"/>
    </x:row>
    <x:row r="30" ht="25" customHeight="1">
      <x:c r="A30" s="2"/>
      <x:c r="B30" s="2"/>
      <x:c r="C30" s="2"/>
      <x:c r="D30" s="3"/>
      <x:c r="E30" s="3"/>
      <x:c r="F30" s="3"/>
      <x:c r="G30" s="3"/>
      <x:c r="H30" s="3"/>
      <x:c r="I30" s="3"/>
      <x:c r="J30" s="3"/>
      <x:c r="K30" s="3"/>
      <x:c r="L30" s="3"/>
    </x:row>
    <x:row r="31" ht="25" customHeight="1">
      <x:c r="A31" s="2"/>
      <x:c r="B31" s="2"/>
      <x:c r="C31" s="2"/>
      <x:c r="D31" s="3"/>
      <x:c r="E31" s="3"/>
      <x:c r="F31" s="3"/>
      <x:c r="G31" s="3"/>
      <x:c r="H31" s="3"/>
      <x:c r="I31" s="3"/>
      <x:c r="J31" s="3"/>
      <x:c r="K31" s="3"/>
      <x:c r="L31" s="3"/>
    </x:row>
    <x:row r="32" ht="25" customHeight="1">
      <x:c r="A32" s="2"/>
      <x:c r="B32" s="2"/>
      <x:c r="C32" s="2"/>
      <x:c r="D32" s="3"/>
      <x:c r="E32" s="3"/>
      <x:c r="F32" s="3"/>
      <x:c r="G32" s="3"/>
      <x:c r="H32" s="3"/>
      <x:c r="I32" s="3"/>
      <x:c r="J32" s="3"/>
      <x:c r="K32" s="3"/>
      <x:c r="L32" s="3"/>
    </x:row>
    <x:row r="33" ht="25" customHeight="1">
      <x:c r="A33" s="2"/>
      <x:c r="B33" s="2"/>
      <x:c r="C33" s="2"/>
      <x:c r="D33" s="3"/>
      <x:c r="E33" s="3"/>
      <x:c r="F33" s="3"/>
      <x:c r="G33" s="3"/>
      <x:c r="H33" s="3"/>
      <x:c r="I33" s="3"/>
      <x:c r="J33" s="3"/>
      <x:c r="K33" s="3"/>
      <x:c r="L33" s="3"/>
    </x:row>
    <x:row r="34" ht="25" customHeight="1">
      <x:c r="A34" s="2"/>
      <x:c r="B34" s="2"/>
      <x:c r="C34" s="2"/>
      <x:c r="D34" s="3"/>
      <x:c r="E34" s="3"/>
      <x:c r="F34" s="3"/>
      <x:c r="G34" s="3"/>
      <x:c r="H34" s="3"/>
      <x:c r="I34" s="3"/>
      <x:c r="J34" s="3"/>
      <x:c r="K34" s="3"/>
      <x:c r="L34" s="3"/>
    </x:row>
    <x:row r="35" ht="25" customHeight="1">
      <x:c r="A35" s="2"/>
      <x:c r="B35" s="2"/>
      <x:c r="C35" s="2"/>
      <x:c r="D35" s="3"/>
      <x:c r="E35" s="3"/>
      <x:c r="F35" s="3"/>
      <x:c r="G35" s="3"/>
      <x:c r="H35" s="3"/>
      <x:c r="I35" s="3"/>
      <x:c r="J35" s="3"/>
      <x:c r="K35" s="3"/>
      <x:c r="L35" s="3"/>
    </x:row>
    <x:row r="36" ht="25" customHeight="1">
      <x:c r="A36" s="2"/>
      <x:c r="B36" s="2"/>
      <x:c r="C36" s="2"/>
      <x:c r="D36" s="3"/>
      <x:c r="E36" s="3"/>
      <x:c r="F36" s="3"/>
      <x:c r="G36" s="3"/>
      <x:c r="H36" s="3"/>
      <x:c r="I36" s="3"/>
      <x:c r="J36" s="3"/>
      <x:c r="K36" s="3"/>
      <x:c r="L36" s="3"/>
    </x:row>
    <x:row r="37" ht="25" customHeight="1">
      <x:c r="A37" s="2"/>
      <x:c r="B37" s="2"/>
      <x:c r="C37" s="2"/>
      <x:c r="D37" s="3"/>
      <x:c r="E37" s="3"/>
      <x:c r="F37" s="3"/>
      <x:c r="G37" s="3"/>
      <x:c r="H37" s="3"/>
      <x:c r="I37" s="3"/>
      <x:c r="J37" s="3"/>
      <x:c r="K37" s="3"/>
      <x:c r="L37" s="3"/>
    </x:row>
    <x:row r="38" ht="25" customHeight="1">
      <x:c r="A38" s="2"/>
      <x:c r="B38" s="2"/>
      <x:c r="C38" s="2"/>
      <x:c r="D38" s="3"/>
      <x:c r="E38" s="3"/>
      <x:c r="F38" s="3"/>
      <x:c r="G38" s="3"/>
      <x:c r="H38" s="3"/>
      <x:c r="I38" s="3"/>
      <x:c r="J38" s="3"/>
      <x:c r="K38" s="3"/>
      <x:c r="L38" s="3"/>
    </x:row>
  </x:sheetData>
  <x:conditionalFormatting sqref="I9:K16">
    <x:cfRule type="cellIs" dxfId="1" priority="1" operator="less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5" customHeight="1">
      <x:c r="A1" s="2"/>
      <x:c r="B1" s="2"/>
      <x:c r="C1" s="2"/>
      <x:c r="D1" s="3"/>
      <x:c r="E1" s="3"/>
      <x:c r="F1" s="3"/>
      <x:c r="G1" s="3"/>
      <x:c r="H1" s="3"/>
      <x:c r="I1" s="3"/>
      <x:c r="J1" s="3"/>
    </x:row>
    <x:row r="2" ht="25" customHeight="1">
      <x:c r="A2" s="2"/>
      <x:c r="B2" s="2"/>
      <x:c r="C2" s="4" t="str">
        <x:v>Survey — demand, costs and new customers</x:v>
      </x:c>
      <x:c r="D2" s="3"/>
      <x:c r="E2" s="3"/>
      <x:c r="F2" s="3"/>
      <x:c r="G2" s="3"/>
      <x:c r="H2" s="3"/>
      <x:c r="I2" s="3"/>
      <x:c r="J2" s="3"/>
    </x:row>
    <x:row r="3" ht="25" customHeight="1">
      <x:c r="A3" s="2"/>
      <x:c r="B3" s="2"/>
      <x:c r="C3" s="5"/>
      <x:c r="D3" s="6"/>
      <x:c r="E3" s="6"/>
      <x:c r="F3" s="6"/>
      <x:c r="G3" s="6"/>
      <x:c r="H3" s="6"/>
      <x:c r="I3" s="3"/>
      <x:c r="J3" s="3"/>
    </x:row>
    <x:row r="4" ht="25" customHeight="1">
      <x:c r="A4" s="2"/>
      <x:c r="B4" s="2"/>
      <x:c r="C4" s="2" t="str">
        <x:v>Annual commitment selected</x:v>
      </x:c>
      <x:c r="D4" s="3"/>
      <x:c r="E4" s="8" t="n">
        <x:f>'Setup'!E5</x:f>
        <x:v>8000</x:v>
      </x:c>
      <x:c r="F4" s="3"/>
      <x:c r="G4" s="3"/>
      <x:c r="H4" s="3"/>
      <x:c r="I4" s="3"/>
      <x:c r="J4" s="3"/>
    </x:row>
    <x:row r="5" ht="25" customHeight="1">
      <x:c r="A5" s="2"/>
      <x:c r="B5" s="2"/>
      <x:c r="C5" s="2"/>
      <x:c r="D5" s="3"/>
      <x:c r="E5" s="3"/>
      <x:c r="F5" s="3"/>
      <x:c r="G5" s="3"/>
      <x:c r="H5" s="3"/>
      <x:c r="I5" s="3"/>
      <x:c r="J5" s="3"/>
    </x:row>
    <x:row r="6" ht="25" customHeight="1">
      <x:c r="A6" s="2"/>
      <x:c r="B6" s="2"/>
      <x:c r="C6" s="19" t="str">
        <x:v>Source: DDA internal survey, supplied by the user. Cost and user bands are unpaired current/expected responses.</x:v>
      </x:c>
      <x:c r="D6" s="3"/>
      <x:c r="E6" s="3"/>
      <x:c r="F6" s="3"/>
      <x:c r="G6" s="3"/>
      <x:c r="H6" s="3"/>
      <x:c r="I6" s="3"/>
      <x:c r="J6" s="3"/>
    </x:row>
    <x:row r="7" ht="25" customHeight="1">
      <x:c r="A7" s="2"/>
      <x:c r="B7" s="2"/>
      <x:c r="C7" s="2"/>
      <x:c r="D7" s="3"/>
      <x:c r="E7" s="3"/>
      <x:c r="F7" s="3"/>
      <x:c r="G7" s="3"/>
      <x:c r="H7" s="3"/>
      <x:c r="I7" s="3"/>
      <x:c r="J7" s="3"/>
    </x:row>
    <x:row r="8" ht="40" customHeight="1">
      <x:c r="A8" s="2"/>
      <x:c r="B8" s="2"/>
      <x:c r="C8" s="26" t="str">
        <x:v>Annual system cost band</x:v>
      </x:c>
      <x:c r="D8" s="27" t="str">
        <x:v>Responses</x:v>
      </x:c>
      <x:c r="E8" s="27" t="str">
        <x:v>Lower bound AED</x:v>
      </x:c>
      <x:c r="F8" s="27" t="str">
        <x:v>Assumed average AED</x:v>
      </x:c>
      <x:c r="G8" s="27" t="str">
        <x:v>Estimated total AED</x:v>
      </x:c>
      <x:c r="H8" s="27" t="str">
        <x:v>Lower-bound total AED</x:v>
      </x:c>
      <x:c r="I8" s="3"/>
      <x:c r="J8" s="3"/>
    </x:row>
    <x:row r="9" ht="25" customHeight="1">
      <x:c r="A9" s="2"/>
      <x:c r="B9" s="2"/>
      <x:c r="C9" s="2" t="str">
        <x:v>Less than AED 50,000</x:v>
      </x:c>
      <x:c r="D9" s="3" t="n">
        <x:v>7</x:v>
      </x:c>
      <x:c r="E9" s="3" t="n">
        <x:v>0</x:v>
      </x:c>
      <x:c r="F9" s="12" t="n">
        <x:v>25000</x:v>
      </x:c>
      <x:c r="G9" s="16" t="n">
        <x:f>D9*F9</x:f>
        <x:v>175000</x:v>
      </x:c>
      <x:c r="H9" s="16" t="n">
        <x:f>D9*E9</x:f>
        <x:v>0</x:v>
      </x:c>
      <x:c r="I9" s="3"/>
      <x:c r="J9" s="3"/>
    </x:row>
    <x:row r="10" ht="25" customHeight="1">
      <x:c r="A10" s="2"/>
      <x:c r="B10" s="2"/>
      <x:c r="C10" s="2" t="str">
        <x:v>AED 50,001–100,000</x:v>
      </x:c>
      <x:c r="D10" s="3" t="n">
        <x:v>6</x:v>
      </x:c>
      <x:c r="E10" s="3" t="n">
        <x:v>50001</x:v>
      </x:c>
      <x:c r="F10" s="12" t="n">
        <x:v>75000.5</x:v>
      </x:c>
      <x:c r="G10" s="16" t="n">
        <x:f>D10*F10</x:f>
        <x:v>450003</x:v>
      </x:c>
      <x:c r="H10" s="16" t="n">
        <x:f>D10*E10</x:f>
        <x:v>300006</x:v>
      </x:c>
      <x:c r="I10" s="3"/>
      <x:c r="J10" s="3"/>
    </x:row>
    <x:row r="11" ht="25" customHeight="1">
      <x:c r="A11" s="2"/>
      <x:c r="B11" s="2"/>
      <x:c r="C11" s="2" t="str">
        <x:v>AED 100,001–250,000</x:v>
      </x:c>
      <x:c r="D11" s="3" t="n">
        <x:v>6</x:v>
      </x:c>
      <x:c r="E11" s="3" t="n">
        <x:v>100001</x:v>
      </x:c>
      <x:c r="F11" s="12" t="n">
        <x:v>175000.5</x:v>
      </x:c>
      <x:c r="G11" s="16" t="n">
        <x:f>D11*F11</x:f>
        <x:v>1050003</x:v>
      </x:c>
      <x:c r="H11" s="16" t="n">
        <x:f>D11*E11</x:f>
        <x:v>600006</x:v>
      </x:c>
      <x:c r="I11" s="3"/>
      <x:c r="J11" s="3"/>
    </x:row>
    <x:row r="12" ht="25" customHeight="1">
      <x:c r="A12" s="2"/>
      <x:c r="B12" s="2"/>
      <x:c r="C12" s="2" t="str">
        <x:v>AED 250,001–500,000</x:v>
      </x:c>
      <x:c r="D12" s="3" t="n">
        <x:v>1</x:v>
      </x:c>
      <x:c r="E12" s="3" t="n">
        <x:v>250001</x:v>
      </x:c>
      <x:c r="F12" s="12" t="n">
        <x:v>375000.5</x:v>
      </x:c>
      <x:c r="G12" s="16" t="n">
        <x:f>D12*F12</x:f>
        <x:v>375000.5</x:v>
      </x:c>
      <x:c r="H12" s="16" t="n">
        <x:f>D12*E12</x:f>
        <x:v>250001</x:v>
      </x:c>
      <x:c r="I12" s="3"/>
      <x:c r="J12" s="3"/>
    </x:row>
    <x:row r="13" ht="25" customHeight="1">
      <x:c r="A13" s="2"/>
      <x:c r="B13" s="2"/>
      <x:c r="C13" s="2" t="str">
        <x:v>More than AED 2,000,000</x:v>
      </x:c>
      <x:c r="D13" s="3" t="n">
        <x:v>1</x:v>
      </x:c>
      <x:c r="E13" s="3" t="n">
        <x:v>2000001</x:v>
      </x:c>
      <x:c r="F13" s="12" t="n">
        <x:v>2500000</x:v>
      </x:c>
      <x:c r="G13" s="16" t="n">
        <x:f>D13*F13</x:f>
        <x:v>2500000</x:v>
      </x:c>
      <x:c r="H13" s="16" t="n">
        <x:f>D13*E13</x:f>
        <x:v>2000001</x:v>
      </x:c>
      <x:c r="I13" s="3"/>
      <x:c r="J13" s="3"/>
    </x:row>
    <x:row r="14" ht="25" customHeight="1">
      <x:c r="A14" s="2"/>
      <x:c r="B14" s="2"/>
      <x:c r="C14" s="2" t="str">
        <x:v>Not available / unknown</x:v>
      </x:c>
      <x:c r="D14" s="3" t="n">
        <x:v>1</x:v>
      </x:c>
      <x:c r="E14" s="3"/>
      <x:c r="F14" s="3"/>
      <x:c r="G14" s="3"/>
      <x:c r="H14" s="3"/>
      <x:c r="I14" s="3"/>
      <x:c r="J14" s="3"/>
    </x:row>
    <x:row r="15" ht="25" customHeight="1">
      <x:c r="A15" s="2"/>
      <x:c r="B15" s="2"/>
      <x:c r="C15" s="38" t="str">
        <x:v>Total responses / quantified costs</x:v>
      </x:c>
      <x:c r="D15" s="39" t="n">
        <x:f>SUM(D9:D14)</x:f>
        <x:v>22</x:v>
      </x:c>
      <x:c r="E15" s="40"/>
      <x:c r="F15" s="40"/>
      <x:c r="G15" s="39" t="n">
        <x:f>SUM(G9:G14)</x:f>
        <x:v>4550006.5</x:v>
      </x:c>
      <x:c r="H15" s="39" t="n">
        <x:f>SUM(H9:H14)</x:f>
        <x:v>3150014</x:v>
      </x:c>
      <x:c r="I15" s="3"/>
      <x:c r="J15" s="3"/>
    </x:row>
    <x:row r="16" ht="25" customHeight="1">
      <x:c r="A16" s="2"/>
      <x:c r="B16" s="2"/>
      <x:c r="C16" s="2"/>
      <x:c r="D16" s="3"/>
      <x:c r="E16" s="3"/>
      <x:c r="F16" s="3"/>
      <x:c r="G16" s="3"/>
      <x:c r="H16" s="3"/>
      <x:c r="I16" s="3"/>
      <x:c r="J16" s="3"/>
    </x:row>
    <x:row r="17" ht="25" customHeight="1">
      <x:c r="A17" s="2"/>
      <x:c r="B17" s="2"/>
      <x:c r="C17" s="19" t="str">
        <x:v>Selected averages are assumptions. The open band has no reported ceiling; AED 2.5m is an editable illustration.</x:v>
      </x:c>
      <x:c r="D17" s="3"/>
      <x:c r="E17" s="3"/>
      <x:c r="F17" s="3"/>
      <x:c r="G17" s="3"/>
      <x:c r="H17" s="3"/>
      <x:c r="I17" s="3"/>
      <x:c r="J17" s="3"/>
    </x:row>
    <x:row r="18" ht="25" customHeight="1">
      <x:c r="A18" s="2"/>
      <x:c r="B18" s="2"/>
      <x:c r="C18" s="19" t="str">
        <x:v>The unknown response is from the earlier full survey. Quantified costs cover 21 of 22 responses.</x:v>
      </x:c>
      <x:c r="D18" s="3"/>
      <x:c r="E18" s="3"/>
      <x:c r="F18" s="3"/>
      <x:c r="G18" s="3"/>
      <x:c r="H18" s="3"/>
      <x:c r="I18" s="3"/>
      <x:c r="J18" s="3"/>
    </x:row>
    <x:row r="19" ht="25" customHeight="1">
      <x:c r="A19" s="2"/>
      <x:c r="B19" s="2"/>
      <x:c r="C19" s="2"/>
      <x:c r="D19" s="3"/>
      <x:c r="E19" s="3"/>
      <x:c r="F19" s="3"/>
      <x:c r="G19" s="3"/>
      <x:c r="H19" s="3"/>
      <x:c r="I19" s="3"/>
      <x:c r="J19" s="3"/>
    </x:row>
    <x:row r="20" ht="25" customHeight="1">
      <x:c r="A20" s="2"/>
      <x:c r="B20" s="2"/>
      <x:c r="C20" s="2"/>
      <x:c r="D20" s="3"/>
      <x:c r="E20" s="3"/>
      <x:c r="F20" s="3"/>
      <x:c r="G20" s="3"/>
      <x:c r="H20" s="3"/>
      <x:c r="I20" s="3"/>
      <x:c r="J20" s="3"/>
    </x:row>
    <x:row r="21" ht="40" customHeight="1">
      <x:c r="A21" s="2"/>
      <x:c r="B21" s="2"/>
      <x:c r="C21" s="26" t="str">
        <x:v>Digital signature user band</x:v>
      </x:c>
      <x:c r="D21" s="27" t="str">
        <x:v>Responses</x:v>
      </x:c>
      <x:c r="E21" s="27" t="str">
        <x:v>Minimum users</x:v>
      </x:c>
      <x:c r="F21" s="27" t="str">
        <x:v>Assumed average users</x:v>
      </x:c>
      <x:c r="G21" s="27" t="str">
        <x:v>Estimated users</x:v>
      </x:c>
      <x:c r="H21" s="27" t="str">
        <x:v>Minimum total users</x:v>
      </x:c>
      <x:c r="I21" s="3"/>
      <x:c r="J21" s="3"/>
    </x:row>
    <x:row r="22" ht="25" customHeight="1">
      <x:c r="A22" s="2"/>
      <x:c r="B22" s="2"/>
      <x:c r="C22" s="2" t="str">
        <x:v>1–50 users</x:v>
      </x:c>
      <x:c r="D22" s="3" t="n">
        <x:v>6</x:v>
      </x:c>
      <x:c r="E22" s="3" t="n">
        <x:v>1</x:v>
      </x:c>
      <x:c r="F22" s="47" t="n">
        <x:v>25.5</x:v>
      </x:c>
      <x:c r="G22" s="48" t="n">
        <x:f>D22*F22</x:f>
        <x:v>153</x:v>
      </x:c>
      <x:c r="H22" s="16" t="n">
        <x:f>D22*E22</x:f>
        <x:v>6</x:v>
      </x:c>
      <x:c r="I22" s="3"/>
      <x:c r="J22" s="3"/>
    </x:row>
    <x:row r="23" ht="25" customHeight="1">
      <x:c r="A23" s="2"/>
      <x:c r="B23" s="2"/>
      <x:c r="C23" s="2" t="str">
        <x:v>51–100 users</x:v>
      </x:c>
      <x:c r="D23" s="3" t="n">
        <x:v>4</x:v>
      </x:c>
      <x:c r="E23" s="3" t="n">
        <x:v>51</x:v>
      </x:c>
      <x:c r="F23" s="47" t="n">
        <x:v>75.5</x:v>
      </x:c>
      <x:c r="G23" s="48" t="n">
        <x:f>D23*F23</x:f>
        <x:v>302</x:v>
      </x:c>
      <x:c r="H23" s="16" t="n">
        <x:f>D23*E23</x:f>
        <x:v>204</x:v>
      </x:c>
      <x:c r="I23" s="3"/>
      <x:c r="J23" s="3"/>
    </x:row>
    <x:row r="24" ht="25" customHeight="1">
      <x:c r="A24" s="2"/>
      <x:c r="B24" s="2"/>
      <x:c r="C24" s="2" t="str">
        <x:v>101–500 users</x:v>
      </x:c>
      <x:c r="D24" s="3" t="n">
        <x:v>7</x:v>
      </x:c>
      <x:c r="E24" s="3" t="n">
        <x:v>101</x:v>
      </x:c>
      <x:c r="F24" s="47" t="n">
        <x:v>300.5</x:v>
      </x:c>
      <x:c r="G24" s="48" t="n">
        <x:f>D24*F24</x:f>
        <x:v>2103.5</x:v>
      </x:c>
      <x:c r="H24" s="16" t="n">
        <x:f>D24*E24</x:f>
        <x:v>707</x:v>
      </x:c>
      <x:c r="I24" s="3"/>
      <x:c r="J24" s="3"/>
    </x:row>
    <x:row r="25" ht="25" customHeight="1">
      <x:c r="A25" s="2"/>
      <x:c r="B25" s="2"/>
      <x:c r="C25" s="2" t="str">
        <x:v>More than 1,000 users</x:v>
      </x:c>
      <x:c r="D25" s="3" t="n">
        <x:v>4</x:v>
      </x:c>
      <x:c r="E25" s="3" t="n">
        <x:v>1001</x:v>
      </x:c>
      <x:c r="F25" s="47" t="n">
        <x:v>2000</x:v>
      </x:c>
      <x:c r="G25" s="48" t="n">
        <x:f>D25*F25</x:f>
        <x:v>8000</x:v>
      </x:c>
      <x:c r="H25" s="16" t="n">
        <x:f>D25*E25</x:f>
        <x:v>4004</x:v>
      </x:c>
      <x:c r="I25" s="3"/>
      <x:c r="J25" s="3"/>
    </x:row>
    <x:row r="26" ht="25" customHeight="1">
      <x:c r="A26" s="2"/>
      <x:c r="B26" s="2"/>
      <x:c r="C26" s="2" t="str">
        <x:v>Other / unspecified</x:v>
      </x:c>
      <x:c r="D26" s="3" t="n">
        <x:v>1</x:v>
      </x:c>
      <x:c r="E26" s="3"/>
      <x:c r="F26" s="49"/>
      <x:c r="G26" s="49"/>
      <x:c r="H26" s="3"/>
      <x:c r="I26" s="3"/>
      <x:c r="J26" s="3"/>
    </x:row>
    <x:row r="27" ht="25" customHeight="1">
      <x:c r="A27" s="2"/>
      <x:c r="B27" s="2"/>
      <x:c r="C27" s="38" t="str">
        <x:v>Total responses / quantified users</x:v>
      </x:c>
      <x:c r="D27" s="39" t="n">
        <x:f>SUM(D22:D26)</x:f>
        <x:v>22</x:v>
      </x:c>
      <x:c r="E27" s="40"/>
      <x:c r="F27" s="50"/>
      <x:c r="G27" s="51" t="n">
        <x:f>SUM(G22:G26)</x:f>
        <x:v>10558.5</x:v>
      </x:c>
      <x:c r="H27" s="39" t="n">
        <x:f>SUM(H22:H26)</x:f>
        <x:v>4921</x:v>
      </x:c>
      <x:c r="I27" s="3"/>
      <x:c r="J27" s="3"/>
    </x:row>
    <x:row r="28" ht="25" customHeight="1">
      <x:c r="A28" s="2"/>
      <x:c r="B28" s="2"/>
      <x:c r="C28" s="2"/>
      <x:c r="D28" s="3"/>
      <x:c r="E28" s="3"/>
      <x:c r="F28" s="3"/>
      <x:c r="G28" s="3"/>
      <x:c r="H28" s="3"/>
      <x:c r="I28" s="3"/>
      <x:c r="J28" s="3"/>
    </x:row>
    <x:row r="29" ht="25" customHeight="1">
      <x:c r="A29" s="2"/>
      <x:c r="B29" s="2"/>
      <x:c r="C29" s="19" t="str">
        <x:v>Midpoints are estimates. The open user band uses 2,000 as an editable assumption; the unknown is excluded.</x:v>
      </x:c>
      <x:c r="D29" s="3"/>
      <x:c r="E29" s="3"/>
      <x:c r="F29" s="3"/>
      <x:c r="G29" s="3"/>
      <x:c r="H29" s="3"/>
      <x:c r="I29" s="3"/>
      <x:c r="J29" s="3"/>
    </x:row>
    <x:row r="30" ht="25" customHeight="1">
      <x:c r="A30" s="2"/>
      <x:c r="B30" s="2"/>
      <x:c r="C30" s="19" t="str">
        <x:v>Summary adds full survey user counts as instructed. Unpaired reported cost totals are not used to claim subscription savings.</x:v>
      </x:c>
      <x:c r="D30" s="3"/>
      <x:c r="E30" s="3"/>
      <x:c r="F30" s="3"/>
      <x:c r="G30" s="3"/>
      <x:c r="H30" s="3"/>
      <x:c r="I30" s="3"/>
      <x:c r="J30" s="3"/>
    </x:row>
    <x:row r="31" ht="25" customHeight="1">
      <x:c r="A31" s="2"/>
      <x:c r="B31" s="2"/>
      <x:c r="C31" s="2"/>
      <x:c r="D31" s="3"/>
      <x:c r="E31" s="3"/>
      <x:c r="F31" s="3"/>
      <x:c r="G31" s="3"/>
      <x:c r="H31" s="3"/>
      <x:c r="I31" s="3"/>
      <x:c r="J31" s="3"/>
    </x:row>
    <x:row r="32" ht="27" customHeight="1">
      <x:c r="A32" s="2"/>
      <x:c r="B32" s="2"/>
      <x:c r="C32" s="31" t="str">
        <x:v>Identified new-customer comparison</x:v>
      </x:c>
      <x:c r="D32" s="32"/>
      <x:c r="E32" s="32"/>
      <x:c r="F32" s="32"/>
      <x:c r="G32" s="32"/>
      <x:c r="H32" s="32"/>
      <x:c r="I32" s="3"/>
      <x:c r="J32" s="3"/>
    </x:row>
    <x:row r="33" ht="25" customHeight="1">
      <x:c r="A33" s="2"/>
      <x:c r="B33" s="2"/>
      <x:c r="C33" s="2"/>
      <x:c r="D33" s="3"/>
      <x:c r="E33" s="3"/>
      <x:c r="F33" s="3"/>
      <x:c r="G33" s="3"/>
      <x:c r="H33" s="3"/>
      <x:c r="I33" s="3"/>
      <x:c r="J33" s="3"/>
    </x:row>
    <x:row r="34" ht="25" customHeight="1">
      <x:c r="A34" s="2"/>
      <x:c r="B34" s="2"/>
      <x:c r="C34" s="2" t="str">
        <x:v>Comparable new entities</x:v>
      </x:c>
      <x:c r="D34" s="3"/>
      <x:c r="E34" s="7" t="n">
        <x:f>COUNTIFS('Respondents'!K9:K46,"Ready")</x:f>
        <x:v>0</x:v>
      </x:c>
      <x:c r="F34" s="3"/>
      <x:c r="G34" s="3"/>
      <x:c r="H34" s="3"/>
      <x:c r="I34" s="3"/>
      <x:c r="J34" s="3"/>
    </x:row>
    <x:row r="35" ht="25" customHeight="1">
      <x:c r="A35" s="2"/>
      <x:c r="B35" s="2"/>
      <x:c r="C35" s="2" t="str">
        <x:v>Comparable new users</x:v>
      </x:c>
      <x:c r="D35" s="3"/>
      <x:c r="E35" s="7" t="n">
        <x:f>SUMIFS('Respondents'!E9:E46,'Respondents'!K9:K46,"Ready")</x:f>
        <x:v>0</x:v>
      </x:c>
      <x:c r="F35" s="3"/>
      <x:c r="G35" s="3"/>
      <x:c r="H35" s="3"/>
      <x:c r="I35" s="3"/>
      <x:c r="J35" s="3"/>
    </x:row>
    <x:row r="36" ht="25" customHeight="1">
      <x:c r="A36" s="2"/>
      <x:c r="B36" s="2"/>
      <x:c r="C36" s="2" t="str">
        <x:v>Current / expected subscriptions AED</x:v>
      </x:c>
      <x:c r="D36" s="3"/>
      <x:c r="E36" s="63" t="str">
        <x:f>IF(E34=0,"n.a.",SUMIFS('Respondents'!G9:G46,'Respondents'!K9:K46,"Ready"))</x:f>
        <x:v>n.a.</x:v>
      </x:c>
      <x:c r="F36" s="3"/>
      <x:c r="G36" s="3"/>
      <x:c r="H36" s="3"/>
      <x:c r="I36" s="3"/>
      <x:c r="J36" s="3"/>
    </x:row>
    <x:row r="37" ht="25" customHeight="1">
      <x:c r="A37" s="2"/>
      <x:c r="B37" s="2"/>
      <x:c r="C37" s="2" t="str">
        <x:v>Central subscriptions AED</x:v>
      </x:c>
      <x:c r="D37" s="3"/>
      <x:c r="E37" s="63" t="str">
        <x:f>IF(E34=0,"n.a.",SUMIFS('Respondents'!I9:I46,'Respondents'!K9:K46,"Ready"))</x:f>
        <x:v>n.a.</x:v>
      </x:c>
      <x:c r="F37" s="3"/>
      <x:c r="G37" s="3"/>
      <x:c r="H37" s="3"/>
      <x:c r="I37" s="3"/>
      <x:c r="J37" s="3"/>
    </x:row>
    <x:row r="38" ht="25" customHeight="1">
      <x:c r="A38" s="2"/>
      <x:c r="B38" s="2"/>
      <x:c r="C38" s="2" t="str">
        <x:v>Annual subscription saving AED</x:v>
      </x:c>
      <x:c r="D38" s="3"/>
      <x:c r="E38" s="64" t="str">
        <x:f>IF(E34=0,"n.a.",E36-E37)</x:f>
        <x:v>n.a.</x:v>
      </x:c>
      <x:c r="F38" s="3"/>
      <x:c r="G38" s="3"/>
      <x:c r="H38" s="3"/>
      <x:c r="I38" s="3"/>
      <x:c r="J38" s="3"/>
    </x:row>
    <x:row r="39" ht="25" customHeight="1">
      <x:c r="A39" s="2"/>
      <x:c r="B39" s="2"/>
      <x:c r="C39" s="2" t="str">
        <x:v>Subscription saving %</x:v>
      </x:c>
      <x:c r="D39" s="3"/>
      <x:c r="E39" s="65" t="str">
        <x:f>IF(OR(E34=0,E36=0),"n.a.",E38/E36)</x:f>
        <x:v>n.a.</x:v>
      </x:c>
      <x:c r="F39" s="3"/>
      <x:c r="G39" s="3"/>
      <x:c r="H39" s="3"/>
      <x:c r="I39" s="3"/>
      <x:c r="J39" s="3"/>
    </x:row>
    <x:row r="40" ht="25" customHeight="1">
      <x:c r="A40" s="2"/>
      <x:c r="B40" s="2"/>
      <x:c r="C40" s="2" t="str">
        <x:v>Five-year subscription saving AED</x:v>
      </x:c>
      <x:c r="D40" s="3"/>
      <x:c r="E40" s="63" t="str">
        <x:f>IF(E34=0,"n.a.",E38*'Setup'!E9)</x:f>
        <x:v>n.a.</x:v>
      </x:c>
      <x:c r="F40" s="3"/>
      <x:c r="G40" s="3"/>
      <x:c r="H40" s="3"/>
      <x:c r="I40" s="3"/>
      <x:c r="J40" s="3"/>
    </x:row>
    <x:row r="41" ht="25" customHeight="1">
      <x:c r="A41" s="2"/>
      <x:c r="B41" s="2"/>
      <x:c r="C41" s="2"/>
      <x:c r="D41" s="3"/>
      <x:c r="E41" s="3"/>
      <x:c r="F41" s="3"/>
      <x:c r="G41" s="3"/>
      <x:c r="H41" s="3"/>
      <x:c r="I41" s="3"/>
      <x:c r="J41" s="3"/>
    </x:row>
    <x:row r="42" ht="25" customHeight="1">
      <x:c r="A42" s="2"/>
      <x:c r="B42" s="2"/>
      <x:c r="C42" s="2" t="str">
        <x:v>Entities with current costs</x:v>
      </x:c>
      <x:c r="D42" s="3"/>
      <x:c r="E42" s="7" t="n">
        <x:f>COUNTIFS('Respondents'!K9:K46,"Ready",'Respondents'!H9:H46,"Current")</x:f>
        <x:v>0</x:v>
      </x:c>
      <x:c r="F42" s="3"/>
      <x:c r="G42" s="3"/>
      <x:c r="H42" s="3"/>
      <x:c r="I42" s="3"/>
      <x:c r="J42" s="3"/>
    </x:row>
    <x:row r="43" ht="25" customHeight="1">
      <x:c r="A43" s="2"/>
      <x:c r="B43" s="2"/>
      <x:c r="C43" s="2" t="str">
        <x:v>Entities with expected costs</x:v>
      </x:c>
      <x:c r="D43" s="3"/>
      <x:c r="E43" s="7" t="n">
        <x:f>COUNTIFS('Respondents'!K9:K46,"Ready",'Respondents'!H9:H46,"Expected")</x:f>
        <x:v>0</x:v>
      </x:c>
      <x:c r="F43" s="3"/>
      <x:c r="G43" s="3"/>
      <x:c r="H43" s="3"/>
      <x:c r="I43" s="3"/>
      <x:c r="J43" s="3"/>
    </x:row>
    <x:row r="44" ht="25" customHeight="1">
      <x:c r="A44" s="2"/>
      <x:c r="B44" s="2"/>
      <x:c r="C44" s="2" t="str">
        <x:v>Data status</x:v>
      </x:c>
      <x:c r="D44" s="3"/>
      <x:c r="E44" s="16" t="str">
        <x:f>IF(E34=0,"Awaiting respondent data","Matched rows only")</x:f>
        <x:v>Awaiting respondent data</x:v>
      </x:c>
      <x:c r="F44" s="3"/>
      <x:c r="G44" s="3"/>
      <x:c r="H44" s="3"/>
      <x:c r="I44" s="3"/>
      <x:c r="J44" s="3"/>
    </x:row>
    <x:row r="45" ht="25" customHeight="1">
      <x:c r="A45" s="2"/>
      <x:c r="B45" s="2"/>
      <x:c r="C45" s="2"/>
      <x:c r="D45" s="3"/>
      <x:c r="E45" s="3"/>
      <x:c r="F45" s="3"/>
      <x:c r="G45" s="3"/>
      <x:c r="H45" s="3"/>
      <x:c r="I45" s="3"/>
      <x:c r="J45" s="3"/>
    </x:row>
    <x:row r="46" ht="25" customHeight="1">
      <x:c r="A46" s="2"/>
      <x:c r="B46" s="2"/>
      <x:c r="C46" s="2"/>
      <x:c r="D46" s="3"/>
      <x:c r="E46" s="3"/>
      <x:c r="F46" s="3"/>
      <x:c r="G46" s="3"/>
      <x:c r="H46" s="3"/>
      <x:c r="I46" s="3"/>
      <x:c r="J46" s="3"/>
    </x:row>
    <x:row r="47" ht="25" customHeight="1">
      <x:c r="A47" s="2"/>
      <x:c r="B47" s="2"/>
      <x:c r="C47" s="19" t="str">
        <x:v>New-customer savings use matched subscription costs, explicit non-customer status and no duplicate entity names.</x:v>
      </x:c>
      <x:c r="D47" s="3"/>
      <x:c r="E47" s="3"/>
      <x:c r="F47" s="3"/>
      <x:c r="G47" s="3"/>
      <x:c r="H47" s="3"/>
      <x:c r="I47" s="3"/>
      <x:c r="J47" s="3"/>
    </x:row>
    <x:row r="48" ht="25" customHeight="1">
      <x:c r="A48" s="2"/>
      <x:c r="B48" s="2"/>
      <x:c r="C48" s="19" t="str">
        <x:v>Survey estimates are neither confirmed new demand nor a funded allocation of the annual commitment.</x:v>
      </x:c>
      <x:c r="D48" s="3"/>
      <x:c r="E48" s="3"/>
      <x:c r="F48" s="3"/>
      <x:c r="G48" s="3"/>
      <x:c r="H48" s="3"/>
      <x:c r="I48" s="3"/>
      <x:c r="J48" s="3"/>
    </x:row>
    <x:row r="49" ht="25" customHeight="1">
      <x:c r="A49" s="2"/>
      <x:c r="B49" s="2"/>
      <x:c r="C49" s="19" t="str">
        <x:v>Current/expected system costs may include support, transactions or other services. Scope must be matched first.</x:v>
      </x:c>
      <x:c r="D49" s="3"/>
      <x:c r="E49" s="3"/>
      <x:c r="F49" s="3"/>
      <x:c r="G49" s="3"/>
      <x:c r="H49" s="3"/>
      <x:c r="I49" s="3"/>
      <x:c r="J49" s="3"/>
    </x:row>
    <x:row r="50" ht="25" customHeight="1">
      <x:c r="A50" s="2"/>
      <x:c r="B50" s="2"/>
      <x:c r="C50" s="2"/>
      <x:c r="D50" s="3"/>
      <x:c r="E50" s="3"/>
      <x:c r="F50" s="3"/>
      <x:c r="G50" s="3"/>
      <x:c r="H50" s="3"/>
      <x:c r="I50" s="3"/>
      <x:c r="J50" s="3"/>
    </x:row>
    <x:row r="51" ht="25" customHeight="1">
      <x:c r="A51" s="2"/>
      <x:c r="B51" s="2"/>
      <x:c r="C51" s="2"/>
      <x:c r="D51" s="3"/>
      <x:c r="E51" s="3"/>
      <x:c r="F51" s="3"/>
      <x:c r="G51" s="3"/>
      <x:c r="H51" s="3"/>
      <x:c r="I51" s="3"/>
      <x:c r="J51" s="3"/>
    </x:row>
    <x:row r="52" ht="27" customHeight="1">
      <x:c r="A52" s="2"/>
      <x:c r="B52" s="2"/>
      <x:c r="C52" s="31" t="str">
        <x:v>Survey reach and demand signals</x:v>
      </x:c>
      <x:c r="D52" s="32"/>
      <x:c r="E52" s="32"/>
      <x:c r="F52" s="32"/>
      <x:c r="G52" s="32"/>
      <x:c r="H52" s="32"/>
      <x:c r="I52" s="3"/>
      <x:c r="J52" s="3"/>
    </x:row>
    <x:row r="53" ht="25" customHeight="1">
      <x:c r="A53" s="2"/>
      <x:c r="B53" s="2"/>
      <x:c r="C53" s="2"/>
      <x:c r="D53" s="3"/>
      <x:c r="E53" s="3"/>
      <x:c r="F53" s="3"/>
      <x:c r="G53" s="3"/>
      <x:c r="H53" s="3"/>
      <x:c r="I53" s="3"/>
      <x:c r="J53" s="3"/>
    </x:row>
    <x:row r="54" ht="25" customHeight="1">
      <x:c r="A54" s="2"/>
      <x:c r="B54" s="2"/>
      <x:c r="C54" s="2" t="str">
        <x:v>Entities surveyed</x:v>
      </x:c>
      <x:c r="D54" s="3"/>
      <x:c r="E54" s="10" t="n">
        <x:v>38</x:v>
      </x:c>
      <x:c r="F54" s="3"/>
      <x:c r="G54" s="3"/>
      <x:c r="H54" s="3"/>
      <x:c r="I54" s="3"/>
      <x:c r="J54" s="3"/>
    </x:row>
    <x:row r="55" ht="25" customHeight="1">
      <x:c r="A55" s="2"/>
      <x:c r="B55" s="2"/>
      <x:c r="C55" s="2" t="str">
        <x:v>Already use digital signatures</x:v>
      </x:c>
      <x:c r="D55" s="3"/>
      <x:c r="E55" s="10" t="n">
        <x:v>21</x:v>
      </x:c>
      <x:c r="F55" s="3"/>
      <x:c r="G55" s="3"/>
      <x:c r="H55" s="3"/>
      <x:c r="I55" s="3"/>
      <x:c r="J55" s="3"/>
    </x:row>
    <x:row r="56" ht="25" customHeight="1">
      <x:c r="A56" s="2"/>
      <x:c r="B56" s="2"/>
      <x:c r="C56" s="2" t="str">
        <x:v>Current requirement — additional entities</x:v>
      </x:c>
      <x:c r="D56" s="3"/>
      <x:c r="E56" s="10" t="n">
        <x:v>10</x:v>
      </x:c>
      <x:c r="F56" s="3"/>
      <x:c r="G56" s="3"/>
      <x:c r="H56" s="3"/>
      <x:c r="I56" s="3"/>
      <x:c r="J56" s="3"/>
    </x:row>
    <x:row r="57" ht="25" customHeight="1">
      <x:c r="A57" s="2"/>
      <x:c r="B57" s="2"/>
      <x:c r="C57" s="2" t="str">
        <x:v>Future demand — additional entities</x:v>
      </x:c>
      <x:c r="D57" s="3"/>
      <x:c r="E57" s="10" t="n">
        <x:v>6</x:v>
      </x:c>
      <x:c r="F57" s="3"/>
      <x:c r="G57" s="3"/>
      <x:c r="H57" s="3"/>
      <x:c r="I57" s="3"/>
      <x:c r="J57" s="3"/>
    </x:row>
    <x:row r="58" ht="25" customHeight="1">
      <x:c r="A58" s="2"/>
      <x:c r="B58" s="2"/>
      <x:c r="C58" s="2" t="str">
        <x:v>Total additional demand entities</x:v>
      </x:c>
      <x:c r="D58" s="3"/>
      <x:c r="E58" s="16" t="n">
        <x:f>SUM(E56:E57)</x:f>
        <x:v>16</x:v>
      </x:c>
      <x:c r="F58" s="3"/>
      <x:c r="G58" s="3"/>
      <x:c r="H58" s="3"/>
      <x:c r="I58" s="3"/>
      <x:c r="J58" s="3"/>
    </x:row>
    <x:row r="59" ht="25" customHeight="1">
      <x:c r="A59" s="2"/>
      <x:c r="B59" s="2"/>
      <x:c r="C59" s="2" t="str">
        <x:v>Expect growth — organizations</x:v>
      </x:c>
      <x:c r="D59" s="3"/>
      <x:c r="E59" s="10" t="n">
        <x:v>17</x:v>
      </x:c>
      <x:c r="F59" s="3"/>
      <x:c r="G59" s="3"/>
      <x:c r="H59" s="3"/>
      <x:c r="I59" s="3"/>
      <x:c r="J59" s="3"/>
    </x:row>
    <x:row r="60" ht="25" customHeight="1">
      <x:c r="A60" s="2"/>
      <x:c r="B60" s="2"/>
      <x:c r="C60" s="2" t="str">
        <x:v>Growth-question responses</x:v>
      </x:c>
      <x:c r="D60" s="3"/>
      <x:c r="E60" s="10" t="n">
        <x:v>22</x:v>
      </x:c>
      <x:c r="F60" s="3"/>
      <x:c r="G60" s="3"/>
      <x:c r="H60" s="3"/>
      <x:c r="I60" s="3"/>
      <x:c r="J60" s="3"/>
    </x:row>
    <x:row r="61" ht="25" customHeight="1">
      <x:c r="A61" s="2"/>
      <x:c r="B61" s="2"/>
      <x:c r="C61" s="2" t="str">
        <x:v>Share expecting growth</x:v>
      </x:c>
      <x:c r="D61" s="3"/>
      <x:c r="E61" s="17" t="n">
        <x:f>E59/E60</x:f>
        <x:v>0.7727272727272727</x:v>
      </x:c>
      <x:c r="F61" s="3"/>
      <x:c r="G61" s="3"/>
      <x:c r="H61" s="3"/>
      <x:c r="I61" s="3"/>
      <x:c r="J61" s="3"/>
    </x:row>
    <x:row r="62" ht="25" customHeight="1">
      <x:c r="A62" s="2"/>
      <x:c r="B62" s="2"/>
      <x:c r="C62" s="2" t="str">
        <x:v>Growth driven by more users — responses</x:v>
      </x:c>
      <x:c r="D62" s="3"/>
      <x:c r="E62" s="10" t="n">
        <x:v>13</x:v>
      </x:c>
      <x:c r="F62" s="3"/>
      <x:c r="G62" s="3"/>
      <x:c r="H62" s="3"/>
      <x:c r="I62" s="3"/>
      <x:c r="J62" s="3"/>
    </x:row>
    <x:row r="63" ht="25" customHeight="1">
      <x:c r="A63" s="2"/>
      <x:c r="B63" s="2"/>
      <x:c r="C63" s="2" t="str">
        <x:v>Respondents expecting growth</x:v>
      </x:c>
      <x:c r="D63" s="3"/>
      <x:c r="E63" s="10" t="n">
        <x:v>17</x:v>
      </x:c>
      <x:c r="F63" s="3"/>
      <x:c r="G63" s="3"/>
      <x:c r="H63" s="3"/>
      <x:c r="I63" s="3"/>
      <x:c r="J63" s="3"/>
    </x:row>
    <x:row r="64" ht="25" customHeight="1">
      <x:c r="A64" s="2"/>
      <x:c r="B64" s="2"/>
      <x:c r="C64" s="2" t="str">
        <x:v>Share citing more users</x:v>
      </x:c>
      <x:c r="D64" s="3"/>
      <x:c r="E64" s="17" t="n">
        <x:f>E62/E63</x:f>
        <x:v>0.7647058823529411</x:v>
      </x:c>
      <x:c r="F64" s="3"/>
      <x:c r="G64" s="3"/>
      <x:c r="H64" s="3"/>
      <x:c r="I64" s="3"/>
      <x:c r="J64" s="3"/>
    </x:row>
    <x:row r="65" ht="25" customHeight="1">
      <x:c r="A65" s="2"/>
      <x:c r="B65" s="2"/>
      <x:c r="C65" s="2"/>
      <x:c r="D65" s="3"/>
      <x:c r="E65" s="3"/>
      <x:c r="F65" s="3"/>
      <x:c r="G65" s="3"/>
      <x:c r="H65" s="3"/>
      <x:c r="I65" s="3"/>
      <x:c r="J65" s="3"/>
    </x:row>
    <x:row r="66" ht="25" customHeight="1">
      <x:c r="A66" s="2"/>
      <x:c r="B66" s="2"/>
      <x:c r="C66" s="2" t="str">
        <x:v>Entities not surveyed</x:v>
      </x:c>
      <x:c r="D66" s="3"/>
      <x:c r="E66" s="7" t="n">
        <x:f>'Setup'!E54-E54</x:f>
        <x:v>54</x:v>
      </x:c>
      <x:c r="F66" s="3"/>
      <x:c r="G66" s="3"/>
      <x:c r="H66" s="3"/>
      <x:c r="I66" s="3"/>
      <x:c r="J66" s="3"/>
    </x:row>
    <x:row r="67" ht="25" customHeight="1">
      <x:c r="A67" s="2"/>
      <x:c r="B67" s="2"/>
      <x:c r="C67" s="2" t="str">
        <x:v>Survey coverage</x:v>
      </x:c>
      <x:c r="D67" s="3"/>
      <x:c r="E67" s="52" t="n">
        <x:f>E54/'Setup'!E54</x:f>
        <x:v>0.41304347826086957</x:v>
      </x:c>
      <x:c r="F67" s="3"/>
      <x:c r="G67" s="3"/>
      <x:c r="H67" s="3"/>
      <x:c r="I67" s="3"/>
      <x:c r="J67" s="3"/>
    </x:row>
    <x:row r="68" ht="25" customHeight="1">
      <x:c r="A68" s="2"/>
      <x:c r="B68" s="2"/>
      <x:c r="C68" s="2"/>
      <x:c r="D68" s="3"/>
      <x:c r="E68" s="3"/>
      <x:c r="F68" s="3"/>
      <x:c r="G68" s="3"/>
      <x:c r="H68" s="3"/>
      <x:c r="I68" s="3"/>
      <x:c r="J68" s="3"/>
    </x:row>
    <x:row r="69" ht="25" customHeight="1">
      <x:c r="A69" s="2"/>
      <x:c r="B69" s="2"/>
      <x:c r="C69" s="2"/>
      <x:c r="D69" s="3"/>
      <x:c r="E69" s="3"/>
      <x:c r="F69" s="3"/>
      <x:c r="G69" s="3"/>
      <x:c r="H69" s="3"/>
      <x:c r="I69" s="3"/>
      <x:c r="J69" s="3"/>
    </x:row>
    <x:row r="70" ht="25" customHeight="1">
      <x:c r="A70" s="2"/>
      <x:c r="B70" s="2"/>
      <x:c r="C70" s="19" t="str">
        <x:v>Source: original user-supplied DDA survey Q1, Q5, Q6 and Q7. Scope updated to 92 with the user-supplied Rulers Court addition (V2-S12).</x:v>
      </x:c>
      <x:c r="D70" s="3"/>
      <x:c r="E70" s="3"/>
      <x:c r="F70" s="3"/>
      <x:c r="G70" s="3"/>
      <x:c r="H70" s="3"/>
      <x:c r="I70" s="3"/>
      <x:c r="J70" s="3"/>
    </x:row>
    <x:row r="71" ht="25" customHeight="1">
      <x:c r="A71" s="2"/>
      <x:c r="B71" s="2"/>
      <x:c r="C71" s="19" t="str">
        <x:v>17/22 and 13/17 are respondent shares, not user growth rates. Q6 allows multiple selections.</x:v>
      </x:c>
      <x:c r="D71" s="3"/>
      <x:c r="E71" s="3"/>
      <x:c r="F71" s="3"/>
      <x:c r="G71" s="3"/>
      <x:c r="H71" s="3"/>
      <x:c r="I71" s="3"/>
      <x:c r="J71" s="3"/>
    </x:row>
    <x:row r="72" ht="25" customHeight="1">
      <x:c r="A72" s="2"/>
      <x:c r="B72" s="2"/>
      <x:c r="C72" s="19" t="str">
        <x:v>Of the 16 demand entities, 10 have a current requirement and six may need the service in the future.</x:v>
      </x:c>
      <x:c r="D72" s="3"/>
      <x:c r="E72" s="3"/>
      <x:c r="F72" s="3"/>
      <x:c r="G72" s="3"/>
      <x:c r="H72" s="3"/>
      <x:c r="I72" s="3"/>
      <x:c r="J72" s="3"/>
    </x:row>
    <x:row r="73" ht="25" customHeight="1">
      <x:c r="A73" s="2"/>
      <x:c r="B73" s="2"/>
      <x:c r="C73" s="2"/>
      <x:c r="D73" s="3"/>
      <x:c r="E73" s="3"/>
      <x:c r="F73" s="3"/>
      <x:c r="G73" s="3"/>
      <x:c r="H73" s="3"/>
      <x:c r="I73" s="3"/>
      <x:c r="J73" s="3"/>
    </x:row>
    <x:row r="74" ht="25" customHeight="1">
      <x:c r="A74" s="2"/>
      <x:c r="B74" s="2"/>
      <x:c r="C74" s="2"/>
      <x:c r="D74" s="3"/>
      <x:c r="E74" s="3"/>
      <x:c r="F74" s="3"/>
      <x:c r="G74" s="3"/>
      <x:c r="H74" s="3"/>
      <x:c r="I74" s="3"/>
      <x:c r="J74" s="3"/>
    </x:row>
    <x:row r="75" ht="25" customHeight="1">
      <x:c r="A75" s="2"/>
      <x:c r="B75" s="2"/>
      <x:c r="C75" s="2"/>
      <x:c r="D75" s="3"/>
      <x:c r="E75" s="3"/>
      <x:c r="F75" s="3"/>
      <x:c r="G75" s="3"/>
      <x:c r="H75" s="3"/>
      <x:c r="I75" s="3"/>
      <x:c r="J75" s="3"/>
    </x:row>
  </x:sheetData>
  <x:conditionalFormatting sqref="E38:E40">
    <x:cfRule type="cellIs" dxfId="4" priority="1" operator="lessThan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5" customHeight="1">
      <x:c r="A1" s="2"/>
      <x:c r="B1" s="2"/>
      <x:c r="C1" s="2"/>
      <x:c r="D1" s="3"/>
      <x:c r="E1" s="3"/>
      <x:c r="F1" s="3"/>
      <x:c r="G1" s="3"/>
      <x:c r="H1" s="3"/>
      <x:c r="I1" s="3"/>
      <x:c r="J1" s="3"/>
    </x:row>
    <x:row r="2" ht="25" customHeight="1">
      <x:c r="A2" s="2"/>
      <x:c r="B2" s="2"/>
      <x:c r="C2" s="4" t="str">
        <x:v>Overall potential and commitment economics</x:v>
      </x:c>
      <x:c r="D2" s="3"/>
      <x:c r="E2" s="3"/>
      <x:c r="F2" s="3"/>
      <x:c r="G2" s="3"/>
      <x:c r="H2" s="3"/>
      <x:c r="I2" s="3"/>
      <x:c r="J2" s="3"/>
    </x:row>
    <x:row r="3" ht="25" customHeight="1">
      <x:c r="A3" s="2"/>
      <x:c r="B3" s="2"/>
      <x:c r="C3" s="5"/>
      <x:c r="D3" s="6"/>
      <x:c r="E3" s="6"/>
      <x:c r="F3" s="6"/>
      <x:c r="G3" s="6"/>
      <x:c r="H3" s="6"/>
      <x:c r="I3" s="3"/>
      <x:c r="J3" s="3"/>
    </x:row>
    <x:row r="4" ht="25" customHeight="1">
      <x:c r="A4" s="2"/>
      <x:c r="B4" s="2"/>
      <x:c r="C4" s="2" t="str">
        <x:v>Annual commitment selected</x:v>
      </x:c>
      <x:c r="D4" s="3"/>
      <x:c r="E4" s="8" t="n">
        <x:f>'Setup'!E5</x:f>
        <x:v>8000</x:v>
      </x:c>
      <x:c r="F4" s="3"/>
      <x:c r="G4" s="3"/>
      <x:c r="H4" s="3"/>
      <x:c r="I4" s="3"/>
      <x:c r="J4" s="3"/>
    </x:row>
    <x:row r="5" ht="25" customHeight="1">
      <x:c r="A5" s="2"/>
      <x:c r="B5" s="2"/>
      <x:c r="C5" s="2"/>
      <x:c r="D5" s="3"/>
      <x:c r="E5" s="3"/>
      <x:c r="F5" s="3"/>
      <x:c r="G5" s="3"/>
      <x:c r="H5" s="3"/>
      <x:c r="I5" s="3"/>
      <x:c r="J5" s="3"/>
    </x:row>
    <x:row r="6" ht="25" customHeight="1">
      <x:c r="A6" s="2"/>
      <x:c r="B6" s="2"/>
      <x:c r="C6" s="19" t="str">
        <x:v>The employee-based potential includes existing and survey users. It is not an additional cohort to add to them.</x:v>
      </x:c>
      <x:c r="D6" s="3"/>
      <x:c r="E6" s="3"/>
      <x:c r="F6" s="3"/>
      <x:c r="G6" s="3"/>
      <x:c r="H6" s="3"/>
      <x:c r="I6" s="3"/>
      <x:c r="J6" s="3"/>
    </x:row>
    <x:row r="7" ht="25" customHeight="1">
      <x:c r="A7" s="2"/>
      <x:c r="B7" s="2"/>
      <x:c r="C7" s="2"/>
      <x:c r="D7" s="3"/>
      <x:c r="E7" s="3"/>
      <x:c r="F7" s="3"/>
      <x:c r="G7" s="3"/>
      <x:c r="H7" s="3"/>
      <x:c r="I7" s="3"/>
      <x:c r="J7" s="3"/>
    </x:row>
    <x:row r="8" ht="27" customHeight="1">
      <x:c r="A8" s="2"/>
      <x:c r="B8" s="2"/>
      <x:c r="C8" s="31" t="str">
        <x:v>Demand and capacity</x:v>
      </x:c>
      <x:c r="D8" s="32"/>
      <x:c r="E8" s="32"/>
      <x:c r="F8" s="32"/>
      <x:c r="G8" s="32"/>
      <x:c r="H8" s="32"/>
      <x:c r="I8" s="32"/>
      <x:c r="J8" s="3"/>
    </x:row>
    <x:row r="9" ht="25" customHeight="1">
      <x:c r="A9" s="2"/>
      <x:c r="B9" s="2"/>
      <x:c r="C9" s="2" t="str">
        <x:v>Employee planning population</x:v>
      </x:c>
      <x:c r="D9" s="3"/>
      <x:c r="E9" s="7" t="n">
        <x:f>'Setup'!E10</x:f>
        <x:v>76000</x:v>
      </x:c>
      <x:c r="F9" s="3"/>
      <x:c r="G9" s="3"/>
      <x:c r="H9" s="3"/>
      <x:c r="I9" s="3"/>
      <x:c r="J9" s="3"/>
    </x:row>
    <x:row r="10" ht="25" customHeight="1">
      <x:c r="A10" s="2"/>
      <x:c r="B10" s="2"/>
      <x:c r="C10" s="2" t="str">
        <x:v>Assumed adoption share</x:v>
      </x:c>
      <x:c r="D10" s="3"/>
      <x:c r="E10" s="52" t="n">
        <x:f>'Setup'!E11</x:f>
        <x:v>0.2</x:v>
      </x:c>
      <x:c r="F10" s="3"/>
      <x:c r="G10" s="3"/>
      <x:c r="H10" s="3"/>
      <x:c r="I10" s="3"/>
      <x:c r="J10" s="3"/>
    </x:row>
    <x:row r="11" ht="25" customHeight="1">
      <x:c r="A11" s="2"/>
      <x:c r="B11" s="2"/>
      <x:c r="C11" s="2" t="str">
        <x:v>Potential signature users</x:v>
      </x:c>
      <x:c r="D11" s="3"/>
      <x:c r="E11" s="16" t="n">
        <x:f>ROUND(E9*E10,0)</x:f>
        <x:v>15200</x:v>
      </x:c>
      <x:c r="F11" s="3"/>
      <x:c r="G11" s="3"/>
      <x:c r="H11" s="3"/>
      <x:c r="I11" s="3"/>
      <x:c r="J11" s="3"/>
    </x:row>
    <x:row r="12" ht="25" customHeight="1">
      <x:c r="A12" s="2"/>
      <x:c r="B12" s="2"/>
      <x:c r="C12" s="2"/>
      <x:c r="D12" s="3"/>
      <x:c r="E12" s="3"/>
      <x:c r="F12" s="3"/>
      <x:c r="G12" s="3"/>
      <x:c r="H12" s="3"/>
      <x:c r="I12" s="3"/>
      <x:c r="J12" s="3"/>
    </x:row>
    <x:row r="13" ht="25" customHeight="1">
      <x:c r="A13" s="2"/>
      <x:c r="B13" s="2"/>
      <x:c r="C13" s="2" t="str">
        <x:v>Annual committed users</x:v>
      </x:c>
      <x:c r="D13" s="3"/>
      <x:c r="E13" s="7" t="n">
        <x:f>'Setup'!E5</x:f>
        <x:v>8000</x:v>
      </x:c>
      <x:c r="F13" s="3"/>
      <x:c r="G13" s="3"/>
      <x:c r="H13" s="3"/>
      <x:c r="I13" s="3"/>
      <x:c r="J13" s="3"/>
    </x:row>
    <x:row r="14" ht="25" customHeight="1">
      <x:c r="A14" s="2"/>
      <x:c r="B14" s="2"/>
      <x:c r="C14" s="2" t="str">
        <x:v>Existing customer users</x:v>
      </x:c>
      <x:c r="D14" s="3"/>
      <x:c r="E14" s="7" t="n">
        <x:f>'Existing customers'!D16</x:f>
        <x:v>1310</x:v>
      </x:c>
      <x:c r="F14" s="3"/>
      <x:c r="G14" s="3"/>
      <x:c r="H14" s="3"/>
      <x:c r="I14" s="3"/>
      <x:c r="J14" s="3"/>
    </x:row>
    <x:row r="15" ht="25" customHeight="1">
      <x:c r="A15" s="2"/>
      <x:c r="B15" s="2"/>
      <x:c r="C15" s="2" t="str">
        <x:v>Matched new-customer users</x:v>
      </x:c>
      <x:c r="D15" s="3"/>
      <x:c r="E15" s="7" t="n">
        <x:f>'Survey'!E35</x:f>
        <x:v>0</x:v>
      </x:c>
      <x:c r="F15" s="3"/>
      <x:c r="G15" s="3"/>
      <x:c r="H15" s="3"/>
      <x:c r="I15" s="3"/>
      <x:c r="J15" s="3"/>
    </x:row>
    <x:row r="16" ht="25" customHeight="1">
      <x:c r="A16" s="2"/>
      <x:c r="B16" s="2"/>
      <x:c r="C16" s="2" t="str">
        <x:v>Known / expected users including growth</x:v>
      </x:c>
      <x:c r="D16" s="3"/>
      <x:c r="E16" s="16" t="n">
        <x:f>SUM(E14:E15)+E23</x:f>
        <x:v>1572</x:v>
      </x:c>
      <x:c r="F16" s="3"/>
      <x:c r="G16" s="3"/>
      <x:c r="H16" s="3"/>
      <x:c r="I16" s="3"/>
      <x:c r="J16" s="3"/>
    </x:row>
    <x:row r="17" ht="25" customHeight="1">
      <x:c r="A17" s="2"/>
      <x:c r="B17" s="2"/>
      <x:c r="C17" s="2" t="str">
        <x:v>Commitment still to allocate</x:v>
      </x:c>
      <x:c r="D17" s="3"/>
      <x:c r="E17" s="16" t="n">
        <x:f>MAX(0,E13-E16)</x:f>
        <x:v>6428</x:v>
      </x:c>
      <x:c r="F17" s="3"/>
      <x:c r="G17" s="3" t="str">
        <x:v>Capacity / usage check</x:v>
      </x:c>
      <x:c r="H17" s="3"/>
      <x:c r="I17" s="16" t="str">
        <x:f>IF(E16&gt;E13,"Over capacity",IF(E15&gt;E22,"Review usage","Ready"))</x:f>
        <x:v>Ready</x:v>
      </x:c>
      <x:c r="J17" s="3"/>
    </x:row>
    <x:row r="18" ht="25" customHeight="1">
      <x:c r="A18" s="2"/>
      <x:c r="B18" s="2"/>
      <x:c r="C18" s="2" t="str">
        <x:v>Identified users above commitment</x:v>
      </x:c>
      <x:c r="D18" s="3"/>
      <x:c r="E18" s="16" t="n">
        <x:f>MAX(0,E16-E13)</x:f>
        <x:v>0</x:v>
      </x:c>
      <x:c r="F18" s="3"/>
      <x:c r="G18" s="3"/>
      <x:c r="H18" s="3"/>
      <x:c r="I18" s="3"/>
      <x:c r="J18" s="3"/>
    </x:row>
    <x:row r="19" ht="25" customHeight="1">
      <x:c r="A19" s="2"/>
      <x:c r="B19" s="2"/>
      <x:c r="C19" s="2" t="str">
        <x:v>Commitment / estimated potential</x:v>
      </x:c>
      <x:c r="D19" s="3"/>
      <x:c r="E19" s="17" t="n">
        <x:f>IF(E11=0,"n.a.",E13/E11)</x:f>
        <x:v>0.5263157894736842</x:v>
      </x:c>
      <x:c r="F19" s="3"/>
      <x:c r="G19" s="3"/>
      <x:c r="H19" s="3"/>
      <x:c r="I19" s="3"/>
      <x:c r="J19" s="3"/>
    </x:row>
    <x:row r="20" ht="25" customHeight="1">
      <x:c r="A20" s="2"/>
      <x:c r="B20" s="2"/>
      <x:c r="C20" s="2" t="str">
        <x:v>Potential beyond commitment</x:v>
      </x:c>
      <x:c r="D20" s="3"/>
      <x:c r="E20" s="16" t="n">
        <x:f>MAX(0,E11-E13)</x:f>
        <x:v>7200</x:v>
      </x:c>
      <x:c r="F20" s="3"/>
      <x:c r="G20" s="3"/>
      <x:c r="H20" s="3"/>
      <x:c r="I20" s="3"/>
      <x:c r="J20" s="3"/>
    </x:row>
    <x:row r="21" ht="25" customHeight="1">
      <x:c r="A21" s="2"/>
      <x:c r="B21" s="2"/>
      <x:c r="C21" s="2" t="str">
        <x:v>Capacity beyond Year 1 existing</x:v>
      </x:c>
      <x:c r="D21" s="3"/>
      <x:c r="E21" s="16" t="n">
        <x:f>MAX(0,E13-E14-E23)</x:f>
        <x:v>6428</x:v>
      </x:c>
      <x:c r="F21" s="3"/>
      <x:c r="G21" s="3"/>
      <x:c r="H21" s="3"/>
      <x:c r="I21" s="3"/>
      <x:c r="J21" s="3"/>
    </x:row>
    <x:row r="22" ht="25" customHeight="1">
      <x:c r="A22" s="2"/>
      <x:c r="B22" s="2"/>
      <x:c r="C22" s="2" t="str">
        <x:v>Additional seats assumed in use</x:v>
      </x:c>
      <x:c r="D22" s="3"/>
      <x:c r="E22" s="7" t="n">
        <x:f>ROUND(E21*'Setup'!E13,0)</x:f>
        <x:v>6428</x:v>
      </x:c>
      <x:c r="F22" s="3"/>
      <x:c r="G22" s="3"/>
      <x:c r="H22" s="3"/>
      <x:c r="I22" s="3"/>
      <x:c r="J22" s="3"/>
    </x:row>
    <x:row r="23" ht="25" customHeight="1">
      <x:c r="A23" s="2"/>
      <x:c r="B23" s="2"/>
      <x:c r="C23" s="2" t="str">
        <x:v>Existing growth — additional Year 1 users</x:v>
      </x:c>
      <x:c r="D23" s="3"/>
      <x:c r="E23" s="7" t="n">
        <x:f>ROUND(E14*'Setup'!E67,0)</x:f>
        <x:v>262</x:v>
      </x:c>
      <x:c r="F23" s="3"/>
      <x:c r="G23" s="3"/>
      <x:c r="H23" s="3"/>
      <x:c r="I23" s="3"/>
      <x:c r="J23" s="3"/>
    </x:row>
    <x:row r="24" ht="25" customHeight="1">
      <x:c r="A24" s="2"/>
      <x:c r="B24" s="2"/>
      <x:c r="C24" s="2"/>
      <x:c r="D24" s="3"/>
      <x:c r="E24" s="3"/>
      <x:c r="F24" s="3"/>
      <x:c r="G24" s="3"/>
      <x:c r="H24" s="3"/>
      <x:c r="I24" s="3"/>
      <x:c r="J24" s="3"/>
    </x:row>
    <x:row r="25" ht="40" customHeight="1">
      <x:c r="A25" s="2"/>
      <x:c r="B25" s="2"/>
      <x:c r="C25" s="26" t="str">
        <x:v>Selected commitment — users and AED</x:v>
      </x:c>
      <x:c r="D25" s="27" t="str">
        <x:v>Year 1</x:v>
      </x:c>
      <x:c r="E25" s="27" t="str">
        <x:v>Year 2</x:v>
      </x:c>
      <x:c r="F25" s="27" t="str">
        <x:v>Year 3</x:v>
      </x:c>
      <x:c r="G25" s="27" t="str">
        <x:v>Year 4</x:v>
      </x:c>
      <x:c r="H25" s="27" t="str">
        <x:v>Year 5</x:v>
      </x:c>
      <x:c r="I25" s="27" t="str">
        <x:v>Five-year AED total</x:v>
      </x:c>
      <x:c r="J25" s="3"/>
    </x:row>
    <x:row r="26" ht="25" customHeight="1">
      <x:c r="A26" s="2"/>
      <x:c r="B26" s="2"/>
      <x:c r="C26" s="2" t="str">
        <x:v>Existing users — growth rate</x:v>
      </x:c>
      <x:c r="D26" s="52" t="n">
        <x:f>'Setup'!E67</x:f>
        <x:v>0.2</x:v>
      </x:c>
      <x:c r="E26" s="52" t="n">
        <x:f>'Setup'!E68</x:f>
        <x:v>0.05</x:v>
      </x:c>
      <x:c r="F26" s="52" t="n">
        <x:f>'Setup'!E68</x:f>
        <x:v>0.05</x:v>
      </x:c>
      <x:c r="G26" s="52" t="n">
        <x:f>'Setup'!E68</x:f>
        <x:v>0.05</x:v>
      </x:c>
      <x:c r="H26" s="52" t="n">
        <x:f>'Setup'!E68</x:f>
        <x:v>0.05</x:v>
      </x:c>
      <x:c r="I26" s="3"/>
      <x:c r="J26" s="3"/>
    </x:row>
    <x:row r="27" ht="25" customHeight="1">
      <x:c r="A27" s="2"/>
      <x:c r="B27" s="2"/>
      <x:c r="C27" s="2" t="str">
        <x:v>Survey / Other — growth rate</x:v>
      </x:c>
      <x:c r="D27" s="17" t="n">
        <x:f>0</x:f>
        <x:v>0</x:v>
      </x:c>
      <x:c r="E27" s="52" t="n">
        <x:f>'Setup'!E68</x:f>
        <x:v>0.05</x:v>
      </x:c>
      <x:c r="F27" s="52" t="n">
        <x:f>'Setup'!E68</x:f>
        <x:v>0.05</x:v>
      </x:c>
      <x:c r="G27" s="52" t="n">
        <x:f>'Setup'!E68</x:f>
        <x:v>0.05</x:v>
      </x:c>
      <x:c r="H27" s="52" t="n">
        <x:f>'Setup'!E68</x:f>
        <x:v>0.05</x:v>
      </x:c>
      <x:c r="I27" s="3"/>
      <x:c r="J27" s="3"/>
    </x:row>
    <x:row r="28" ht="25" customHeight="1">
      <x:c r="A28" s="2"/>
      <x:c r="B28" s="2"/>
      <x:c r="C28" s="2" t="str">
        <x:v>Existing users including growth</x:v>
      </x:c>
      <x:c r="D28" s="16" t="n">
        <x:f>$E$14+$E$23</x:f>
        <x:v>1572</x:v>
      </x:c>
      <x:c r="E28" s="16" t="n">
        <x:f>ROUND(D28*(1+E26),0)</x:f>
        <x:v>1651</x:v>
      </x:c>
      <x:c r="F28" s="16" t="n">
        <x:f>ROUND(E28*(1+F26),0)</x:f>
        <x:v>1734</x:v>
      </x:c>
      <x:c r="G28" s="16" t="n">
        <x:f>ROUND(F28*(1+G26),0)</x:f>
        <x:v>1821</x:v>
      </x:c>
      <x:c r="H28" s="16" t="n">
        <x:f>ROUND(G28*(1+H26),0)</x:f>
        <x:v>1912</x:v>
      </x:c>
      <x:c r="I28" s="3"/>
      <x:c r="J28" s="3"/>
    </x:row>
    <x:row r="29" ht="25" customHeight="1">
      <x:c r="A29" s="2"/>
      <x:c r="B29" s="2"/>
      <x:c r="C29" s="2" t="str">
        <x:v>Survey users</x:v>
      </x:c>
      <x:c r="D29" s="16" t="n">
        <x:f>$E$71</x:f>
        <x:v>4921</x:v>
      </x:c>
      <x:c r="E29" s="16" t="n">
        <x:f>ROUND(D29*(1+E27),0)</x:f>
        <x:v>5167</x:v>
      </x:c>
      <x:c r="F29" s="16" t="n">
        <x:f>ROUND(E29*(1+F27),0)</x:f>
        <x:v>5425</x:v>
      </x:c>
      <x:c r="G29" s="16" t="n">
        <x:f>ROUND(F29*(1+G27),0)</x:f>
        <x:v>5696</x:v>
      </x:c>
      <x:c r="H29" s="16" t="n">
        <x:f>ROUND(G29*(1+H27),0)</x:f>
        <x:v>5981</x:v>
      </x:c>
      <x:c r="I29" s="3"/>
      <x:c r="J29" s="3"/>
    </x:row>
    <x:row r="30" ht="25" customHeight="1">
      <x:c r="A30" s="2"/>
      <x:c r="B30" s="2"/>
      <x:c r="C30" s="2" t="str">
        <x:v>Other users</x:v>
      </x:c>
      <x:c r="D30" s="16" t="n">
        <x:f>$E$72</x:f>
        <x:v>1507</x:v>
      </x:c>
      <x:c r="E30" s="16" t="n">
        <x:f>ROUND(D30*(1+E27),0)</x:f>
        <x:v>1582</x:v>
      </x:c>
      <x:c r="F30" s="16" t="n">
        <x:f>ROUND(E30*(1+F27),0)</x:f>
        <x:v>1661</x:v>
      </x:c>
      <x:c r="G30" s="16" t="n">
        <x:f>ROUND(F30*(1+G27),0)</x:f>
        <x:v>1744</x:v>
      </x:c>
      <x:c r="H30" s="16" t="n">
        <x:f>ROUND(G30*(1+H27),0)</x:f>
        <x:v>1831</x:v>
      </x:c>
      <x:c r="I30" s="3"/>
      <x:c r="J30" s="3"/>
    </x:row>
    <x:row r="31" ht="25" customHeight="1">
      <x:c r="A31" s="2"/>
      <x:c r="B31" s="2"/>
      <x:c r="C31" s="38" t="str">
        <x:v>Total users in use</x:v>
      </x:c>
      <x:c r="D31" s="39" t="n">
        <x:f>SUM(D28:D30)</x:f>
        <x:v>8000</x:v>
      </x:c>
      <x:c r="E31" s="39" t="n">
        <x:f>SUM(E28:E30)</x:f>
        <x:v>8400</x:v>
      </x:c>
      <x:c r="F31" s="39" t="n">
        <x:f>SUM(F28:F30)</x:f>
        <x:v>8820</x:v>
      </x:c>
      <x:c r="G31" s="39" t="n">
        <x:f>SUM(G28:G30)</x:f>
        <x:v>9261</x:v>
      </x:c>
      <x:c r="H31" s="39" t="n">
        <x:f>SUM(H28:H30)</x:f>
        <x:v>9724</x:v>
      </x:c>
      <x:c r="I31" s="40"/>
      <x:c r="J31" s="3"/>
    </x:row>
    <x:row r="32" ht="25" customHeight="1">
      <x:c r="A32" s="2"/>
      <x:c r="B32" s="2"/>
      <x:c r="C32" s="38" t="str">
        <x:v>Paid subscription users</x:v>
      </x:c>
      <x:c r="D32" s="39" t="n">
        <x:f>MAX($E$13,D31)</x:f>
        <x:v>8000</x:v>
      </x:c>
      <x:c r="E32" s="39" t="n">
        <x:f>MAX($E$13,E31)</x:f>
        <x:v>8400</x:v>
      </x:c>
      <x:c r="F32" s="39" t="n">
        <x:f>MAX($E$13,F31)</x:f>
        <x:v>8820</x:v>
      </x:c>
      <x:c r="G32" s="39" t="n">
        <x:f>MAX($E$13,G31)</x:f>
        <x:v>9261</x:v>
      </x:c>
      <x:c r="H32" s="39" t="n">
        <x:f>MAX($E$13,H31)</x:f>
        <x:v>9724</x:v>
      </x:c>
      <x:c r="I32" s="40"/>
      <x:c r="J32" s="3"/>
    </x:row>
    <x:row r="33" ht="25" customHeight="1">
      <x:c r="A33" s="2"/>
      <x:c r="B33" s="2"/>
      <x:c r="C33" s="2" t="str">
        <x:v>Locked subscription AED/user/year</x:v>
      </x:c>
      <x:c r="D33" s="41" t="n">
        <x:f>'Setup'!$E$18</x:f>
        <x:v>1327.4999999999998</x:v>
      </x:c>
      <x:c r="E33" s="41" t="n">
        <x:f>'Setup'!$E$18</x:f>
        <x:v>1327.4999999999998</x:v>
      </x:c>
      <x:c r="F33" s="41" t="n">
        <x:f>'Setup'!$E$18</x:f>
        <x:v>1327.4999999999998</x:v>
      </x:c>
      <x:c r="G33" s="41" t="n">
        <x:f>'Setup'!$E$18</x:f>
        <x:v>1327.4999999999998</x:v>
      </x:c>
      <x:c r="H33" s="41" t="n">
        <x:f>'Setup'!$E$18</x:f>
        <x:v>1327.4999999999998</x:v>
      </x:c>
      <x:c r="I33" s="3"/>
      <x:c r="J33" s="3"/>
    </x:row>
    <x:row r="34" ht="25" customHeight="1">
      <x:c r="A34" s="2"/>
      <x:c r="B34" s="2"/>
      <x:c r="C34" s="2"/>
      <x:c r="D34" s="3"/>
      <x:c r="E34" s="3"/>
      <x:c r="F34" s="3"/>
      <x:c r="G34" s="3"/>
      <x:c r="H34" s="3"/>
      <x:c r="I34" s="3"/>
      <x:c r="J34" s="3"/>
    </x:row>
    <x:row r="35" ht="25" customHeight="1">
      <x:c r="A35" s="2"/>
      <x:c r="B35" s="2"/>
      <x:c r="C35" s="2" t="str">
        <x:v>Existing — subscription benchmark AED</x:v>
      </x:c>
      <x:c r="D35" s="7" t="n">
        <x:f>IF($E$14=0,0,'Existing customers'!$G$16*D28/$E$14)*(1+'Setup'!$E$12)^0</x:f>
        <x:v>2315003.7</x:v>
      </x:c>
      <x:c r="E35" s="7" t="n">
        <x:f>IF($E$14=0,0,'Existing customers'!$G$16*E28/$E$14)*(1+'Setup'!$E$12)^1</x:f>
        <x:v>2431342.944465649</x:v>
      </x:c>
      <x:c r="F35" s="7" t="n">
        <x:f>IF($E$14=0,0,'Existing customers'!$G$16*F28/$E$14)*(1+'Setup'!$E$12)^2</x:f>
        <x:v>2553572.7835877864</x:v>
      </x:c>
      <x:c r="G35" s="7" t="n">
        <x:f>IF($E$14=0,0,'Existing customers'!$G$16*G28/$E$14)*(1+'Setup'!$E$12)^3</x:f>
        <x:v>2681693.2173664123</x:v>
      </x:c>
      <x:c r="H35" s="7" t="n">
        <x:f>IF($E$14=0,0,'Existing customers'!$G$16*H28/$E$14)*(1+'Setup'!$E$12)^4</x:f>
        <x:v>2815704.2458015266</x:v>
      </x:c>
      <x:c r="I35" s="16" t="n">
        <x:f>IF(COUNT(D35:H35)=5,SUM(D35:H35),"n.a.")</x:f>
        <x:v>12797316.891221374</x:v>
      </x:c>
      <x:c r="J35" s="3"/>
    </x:row>
    <x:row r="36" ht="25" customHeight="1">
      <x:c r="A36" s="2"/>
      <x:c r="B36" s="2"/>
      <x:c r="C36" s="2" t="str">
        <x:v>Survey — subscription benchmark AED</x:v>
      </x:c>
      <x:c r="D36" s="7" t="n">
        <x:f>IF($E$79="Modeled adoption",IF($D$29=0,0,($E$83+($D$29-$E$80)*'Setup'!$E$8)*D29/$D$29)*(1+'Setup'!$E$12)^0,"n.a.")</x:f>
        <x:v>14516950</x:v>
      </x:c>
      <x:c r="E36" s="7" t="n">
        <x:f>IF($E$79="Modeled adoption",IF($D$29=0,0,($E$83+($D$29-$E$80)*'Setup'!$E$8)*E29/$D$29)*(1+'Setup'!$E$12)^1,"n.a.")</x:f>
        <x:v>15242650</x:v>
      </x:c>
      <x:c r="F36" s="7" t="n">
        <x:f>IF($E$79="Modeled adoption",IF($D$29=0,0,($E$83+($D$29-$E$80)*'Setup'!$E$8)*F29/$D$29)*(1+'Setup'!$E$12)^2,"n.a.")</x:f>
        <x:v>16003750</x:v>
      </x:c>
      <x:c r="G36" s="7" t="n">
        <x:f>IF($E$79="Modeled adoption",IF($D$29=0,0,($E$83+($D$29-$E$80)*'Setup'!$E$8)*G29/$D$29)*(1+'Setup'!$E$12)^3,"n.a.")</x:f>
        <x:v>16803200</x:v>
      </x:c>
      <x:c r="H36" s="7" t="n">
        <x:f>IF($E$79="Modeled adoption",IF($D$29=0,0,($E$83+($D$29-$E$80)*'Setup'!$E$8)*H29/$D$29)*(1+'Setup'!$E$12)^4,"n.a.")</x:f>
        <x:v>17643950</x:v>
      </x:c>
      <x:c r="I36" s="16" t="n">
        <x:f>IF(COUNT(D36:H36)=5,SUM(D36:H36),"n.a.")</x:f>
        <x:v>80210500</x:v>
      </x:c>
      <x:c r="J36" s="3"/>
    </x:row>
    <x:row r="37" ht="25" customHeight="1">
      <x:c r="A37" s="2"/>
      <x:c r="B37" s="2"/>
      <x:c r="C37" s="2" t="str">
        <x:v>Other — subscription benchmark AED</x:v>
      </x:c>
      <x:c r="D37" s="7" t="n">
        <x:f>IF($E$79="Modeled adoption",IF($D$30=0,0,(IF('Survey'!$E$34=0,0,'Survey'!$E$36)-$E$83+($D$30-$E$82)*'Setup'!$E$8)*D30/$D$30)*(1+'Setup'!$E$12)^0,"n.a.")</x:f>
        <x:v>4445650</x:v>
      </x:c>
      <x:c r="E37" s="7" t="n">
        <x:f>IF($E$79="Modeled adoption",IF($D$30=0,0,(IF('Survey'!$E$34=0,0,'Survey'!$E$36)-$E$83+($D$30-$E$82)*'Setup'!$E$8)*E30/$D$30)*(1+'Setup'!$E$12)^1,"n.a.")</x:f>
        <x:v>4666900</x:v>
      </x:c>
      <x:c r="F37" s="7" t="n">
        <x:f>IF($E$79="Modeled adoption",IF($D$30=0,0,(IF('Survey'!$E$34=0,0,'Survey'!$E$36)-$E$83+($D$30-$E$82)*'Setup'!$E$8)*F30/$D$30)*(1+'Setup'!$E$12)^2,"n.a.")</x:f>
        <x:v>4899950</x:v>
      </x:c>
      <x:c r="G37" s="7" t="n">
        <x:f>IF($E$79="Modeled adoption",IF($D$30=0,0,(IF('Survey'!$E$34=0,0,'Survey'!$E$36)-$E$83+($D$30-$E$82)*'Setup'!$E$8)*G30/$D$30)*(1+'Setup'!$E$12)^3,"n.a.")</x:f>
        <x:v>5144800</x:v>
      </x:c>
      <x:c r="H37" s="7" t="n">
        <x:f>IF($E$79="Modeled adoption",IF($D$30=0,0,(IF('Survey'!$E$34=0,0,'Survey'!$E$36)-$E$83+($D$30-$E$82)*'Setup'!$E$8)*H30/$D$30)*(1+'Setup'!$E$12)^4,"n.a.")</x:f>
        <x:v>5401450</x:v>
      </x:c>
      <x:c r="I37" s="16" t="n">
        <x:f>IF(COUNT(D37:H37)=5,SUM(D37:H37),"n.a.")</x:f>
        <x:v>24558750</x:v>
      </x:c>
      <x:c r="J37" s="3"/>
    </x:row>
    <x:row r="38" ht="25" customHeight="1">
      <x:c r="A38" s="2"/>
      <x:c r="B38" s="2"/>
      <x:c r="C38" s="38" t="str">
        <x:v>Combined subscription benchmark AED</x:v>
      </x:c>
      <x:c r="D38" s="39" t="n">
        <x:f>IF(AND($I$17="Ready",COUNT(D35:D37)=3),SUM(D35:D37),"n.a.")</x:f>
        <x:v>21277603.7</x:v>
      </x:c>
      <x:c r="E38" s="39" t="n">
        <x:f>IF(AND($I$17="Ready",COUNT(E35:E37)=3),SUM(E35:E37),"n.a.")</x:f>
        <x:v>22340892.94446565</x:v>
      </x:c>
      <x:c r="F38" s="39" t="n">
        <x:f>IF(AND($I$17="Ready",COUNT(F35:F37)=3),SUM(F35:F37),"n.a.")</x:f>
        <x:v>23457272.783587787</x:v>
      </x:c>
      <x:c r="G38" s="39" t="n">
        <x:f>IF(AND($I$17="Ready",COUNT(G35:G37)=3),SUM(G35:G37),"n.a.")</x:f>
        <x:v>24629693.217366412</x:v>
      </x:c>
      <x:c r="H38" s="39" t="n">
        <x:f>IF(AND($I$17="Ready",COUNT(H35:H37)=3),SUM(H35:H37),"n.a.")</x:f>
        <x:v>25861104.245801527</x:v>
      </x:c>
      <x:c r="I38" s="39" t="n">
        <x:f>IF(COUNT(D38:H38)=5,SUM(D38:H38),"n.a.")</x:f>
        <x:v>117566566.89122137</x:v>
      </x:c>
      <x:c r="J38" s="3"/>
    </x:row>
    <x:row r="39" ht="25" customHeight="1">
      <x:c r="A39" s="2"/>
      <x:c r="B39" s="2"/>
      <x:c r="C39" s="2" t="str">
        <x:v>Central subscription AED</x:v>
      </x:c>
      <x:c r="D39" s="16" t="n">
        <x:f>D32*D33</x:f>
        <x:v>10619999.999999998</x:v>
      </x:c>
      <x:c r="E39" s="16" t="n">
        <x:f>E32*E33</x:f>
        <x:v>11150999.999999998</x:v>
      </x:c>
      <x:c r="F39" s="16" t="n">
        <x:f>F32*F33</x:f>
        <x:v>11708549.999999998</x:v>
      </x:c>
      <x:c r="G39" s="16" t="n">
        <x:f>G32*G33</x:f>
        <x:v>12293977.499999998</x:v>
      </x:c>
      <x:c r="H39" s="16" t="n">
        <x:f>H32*H33</x:f>
        <x:v>12908609.999999998</x:v>
      </x:c>
      <x:c r="I39" s="16" t="n">
        <x:f>IF(COUNT(D39:H39)=5,SUM(D39:H39),"n.a.")</x:f>
        <x:v>58682137.49999999</x:v>
      </x:c>
      <x:c r="J39" s="3"/>
    </x:row>
    <x:row r="40" ht="25" customHeight="1">
      <x:c r="A40" s="2"/>
      <x:c r="B40" s="2"/>
      <x:c r="C40" s="38" t="str">
        <x:v>Subscription savings AED</x:v>
      </x:c>
      <x:c r="D40" s="39" t="n">
        <x:f>IF(ISNUMBER(D38),D38-D39,"n.a.")</x:f>
        <x:v>10657603.700000001</x:v>
      </x:c>
      <x:c r="E40" s="39" t="n">
        <x:f>IF(ISNUMBER(E38),E38-E39,"n.a.")</x:f>
        <x:v>11189892.94446565</x:v>
      </x:c>
      <x:c r="F40" s="39" t="n">
        <x:f>IF(ISNUMBER(F38),F38-F39,"n.a.")</x:f>
        <x:v>11748722.78358779</x:v>
      </x:c>
      <x:c r="G40" s="39" t="n">
        <x:f>IF(ISNUMBER(G38),G38-G39,"n.a.")</x:f>
        <x:v>12335715.717366414</x:v>
      </x:c>
      <x:c r="H40" s="39" t="n">
        <x:f>IF(ISNUMBER(H38),H38-H39,"n.a.")</x:f>
        <x:v>12952494.245801529</x:v>
      </x:c>
      <x:c r="I40" s="39" t="n">
        <x:f>IF(COUNT(D40:H40)=5,SUM(D40:H40),"n.a.")</x:f>
        <x:v>58884429.39122138</x:v>
      </x:c>
      <x:c r="J40" s="3"/>
    </x:row>
    <x:row r="41" ht="25" customHeight="1">
      <x:c r="A41" s="2"/>
      <x:c r="B41" s="2"/>
      <x:c r="C41" s="2" t="str">
        <x:v>Separate support AED — not compared</x:v>
      </x:c>
      <x:c r="D41" s="7" t="n">
        <x:f>D39*'Setup'!$E$17</x:f>
        <x:v>1699199.9999999998</x:v>
      </x:c>
      <x:c r="E41" s="7" t="n">
        <x:f>E39*'Setup'!$E$17</x:f>
        <x:v>1784159.9999999998</x:v>
      </x:c>
      <x:c r="F41" s="7" t="n">
        <x:f>F39*'Setup'!$E$17</x:f>
        <x:v>1873367.9999999998</x:v>
      </x:c>
      <x:c r="G41" s="7" t="n">
        <x:f>G39*'Setup'!$E$17</x:f>
        <x:v>1967036.3999999997</x:v>
      </x:c>
      <x:c r="H41" s="7" t="n">
        <x:f>H39*'Setup'!$E$17</x:f>
        <x:v>2065377.5999999999</x:v>
      </x:c>
      <x:c r="I41" s="16" t="n">
        <x:f>IF(COUNT(D41:H41)=5,SUM(D41:H41),"n.a.")</x:f>
        <x:v>9389141.999999998</x:v>
      </x:c>
      <x:c r="J41" s="3"/>
    </x:row>
    <x:row r="42" ht="25" customHeight="1">
      <x:c r="A42" s="2"/>
      <x:c r="B42" s="2"/>
      <x:c r="C42" s="2"/>
      <x:c r="D42" s="3"/>
      <x:c r="E42" s="3"/>
      <x:c r="F42" s="3"/>
      <x:c r="G42" s="3"/>
      <x:c r="H42" s="3"/>
      <x:c r="I42" s="3"/>
      <x:c r="J42" s="3"/>
    </x:row>
    <x:row r="43" ht="27" customHeight="1">
      <x:c r="A43" s="2"/>
      <x:c r="B43" s="2"/>
      <x:c r="C43" s="31" t="str">
        <x:v>At full estimated potential — separate scale illustration</x:v>
      </x:c>
      <x:c r="D43" s="32"/>
      <x:c r="E43" s="32"/>
      <x:c r="F43" s="32"/>
      <x:c r="G43" s="32"/>
      <x:c r="H43" s="32"/>
      <x:c r="I43" s="32"/>
      <x:c r="J43" s="3"/>
    </x:row>
    <x:row r="44" ht="25" customHeight="1">
      <x:c r="A44" s="2"/>
      <x:c r="B44" s="2"/>
      <x:c r="C44" s="2"/>
      <x:c r="D44" s="3"/>
      <x:c r="E44" s="3"/>
      <x:c r="F44" s="3"/>
      <x:c r="G44" s="3"/>
      <x:c r="H44" s="3"/>
      <x:c r="I44" s="3"/>
      <x:c r="J44" s="3"/>
    </x:row>
    <x:row r="45" ht="25" customHeight="1">
      <x:c r="A45" s="2"/>
      <x:c r="B45" s="2"/>
      <x:c r="C45" s="2" t="str">
        <x:v>Potential users</x:v>
      </x:c>
      <x:c r="D45" s="3"/>
      <x:c r="E45" s="16" t="n">
        <x:f>E11</x:f>
        <x:v>15200</x:v>
      </x:c>
      <x:c r="F45" s="3"/>
      <x:c r="G45" s="3"/>
      <x:c r="H45" s="3"/>
      <x:c r="I45" s="3"/>
      <x:c r="J45" s="3"/>
    </x:row>
    <x:row r="46" ht="25" customHeight="1">
      <x:c r="A46" s="2"/>
      <x:c r="B46" s="2"/>
      <x:c r="C46" s="2" t="str">
        <x:v>Applicable subscription discount</x:v>
      </x:c>
      <x:c r="D46" s="3"/>
      <x:c r="E46" s="52" t="n">
        <x:f>IF(E45=0,0,INDEX('Setup'!F27:F33,MATCH(E45,'Setup'!D27:D33,1)))</x:f>
        <x:v>0.65</x:v>
      </x:c>
      <x:c r="F46" s="3"/>
      <x:c r="G46" s="3"/>
      <x:c r="H46" s="3"/>
      <x:c r="I46" s="3"/>
      <x:c r="J46" s="3"/>
    </x:row>
    <x:row r="47" ht="25" customHeight="1">
      <x:c r="A47" s="2"/>
      <x:c r="B47" s="2"/>
      <x:c r="C47" s="2" t="str">
        <x:v>Subscription AED/user/year</x:v>
      </x:c>
      <x:c r="D47" s="3"/>
      <x:c r="E47" s="41" t="n">
        <x:f>'Setup'!E8*(1-E46)</x:f>
        <x:v>1032.5</x:v>
      </x:c>
      <x:c r="F47" s="3"/>
      <x:c r="G47" s="3"/>
      <x:c r="H47" s="3"/>
      <x:c r="I47" s="3"/>
      <x:c r="J47" s="3"/>
    </x:row>
    <x:row r="48" ht="25" customHeight="1">
      <x:c r="A48" s="2"/>
      <x:c r="B48" s="2"/>
      <x:c r="C48" s="2" t="str">
        <x:v>Separate support rate</x:v>
      </x:c>
      <x:c r="D48" s="3"/>
      <x:c r="E48" s="52" t="n">
        <x:f>IF(E45=0,0,INDEX('Setup'!G27:G33,MATCH(E45,'Setup'!D27:D33,1)))</x:f>
        <x:v>0.12</x:v>
      </x:c>
      <x:c r="F48" s="3"/>
      <x:c r="G48" s="3"/>
      <x:c r="H48" s="3"/>
      <x:c r="I48" s="3"/>
      <x:c r="J48" s="3"/>
    </x:row>
    <x:row r="49" ht="25" customHeight="1">
      <x:c r="A49" s="2"/>
      <x:c r="B49" s="2"/>
      <x:c r="C49" s="2" t="str">
        <x:v>Annual subscription AED</x:v>
      </x:c>
      <x:c r="D49" s="3"/>
      <x:c r="E49" s="16" t="n">
        <x:f>E45*E47</x:f>
        <x:v>15694000</x:v>
      </x:c>
      <x:c r="F49" s="3"/>
      <x:c r="G49" s="3"/>
      <x:c r="H49" s="3"/>
      <x:c r="I49" s="3"/>
      <x:c r="J49" s="3"/>
    </x:row>
    <x:row r="50" ht="25" customHeight="1">
      <x:c r="A50" s="2"/>
      <x:c r="B50" s="2"/>
      <x:c r="C50" s="2" t="str">
        <x:v>Separate annual support AED</x:v>
      </x:c>
      <x:c r="D50" s="3"/>
      <x:c r="E50" s="16" t="n">
        <x:f>E49*E48</x:f>
        <x:v>1883280</x:v>
      </x:c>
      <x:c r="F50" s="3"/>
      <x:c r="G50" s="3"/>
      <x:c r="H50" s="3"/>
      <x:c r="I50" s="3"/>
      <x:c r="J50" s="3"/>
    </x:row>
    <x:row r="51" ht="25" customHeight="1">
      <x:c r="A51" s="2"/>
      <x:c r="B51" s="2"/>
      <x:c r="C51" s="2"/>
      <x:c r="D51" s="3"/>
      <x:c r="E51" s="3"/>
      <x:c r="F51" s="3"/>
      <x:c r="G51" s="3"/>
      <x:c r="H51" s="3"/>
      <x:c r="I51" s="3"/>
      <x:c r="J51" s="3"/>
    </x:row>
    <x:row r="52" ht="25" customHeight="1">
      <x:c r="A52" s="2"/>
      <x:c r="B52" s="2"/>
      <x:c r="C52" s="2" t="str">
        <x:v>Subscription benchmark AED</x:v>
      </x:c>
      <x:c r="D52" s="3"/>
      <x:c r="E52" s="7" t="n">
        <x:f>IF(E45&lt;E16,"n.a.",'Existing customers'!G16*(1+'Setup'!E67)+IF('Survey'!E34=0,0,'Survey'!E36)+MAX(0,E45-E16)*'Setup'!E8)</x:f>
        <x:v>42517603.7</x:v>
      </x:c>
      <x:c r="F52" s="3"/>
      <x:c r="G52" s="3"/>
      <x:c r="H52" s="3"/>
      <x:c r="I52" s="3"/>
      <x:c r="J52" s="3"/>
    </x:row>
    <x:row r="53" ht="25" customHeight="1">
      <x:c r="A53" s="2"/>
      <x:c r="B53" s="2"/>
      <x:c r="C53" s="2" t="str">
        <x:v>Annual subscription saving AED</x:v>
      </x:c>
      <x:c r="D53" s="3"/>
      <x:c r="E53" s="16" t="n">
        <x:f>IF(ISNUMBER(E52),E52-E49,"n.a.")</x:f>
        <x:v>26823603.700000003</x:v>
      </x:c>
      <x:c r="F53" s="3"/>
      <x:c r="G53" s="3"/>
      <x:c r="H53" s="3"/>
      <x:c r="I53" s="3"/>
      <x:c r="J53" s="3"/>
    </x:row>
    <x:row r="54" ht="25" customHeight="1">
      <x:c r="A54" s="2"/>
      <x:c r="B54" s="2"/>
      <x:c r="C54" s="2"/>
      <x:c r="D54" s="3"/>
      <x:c r="E54" s="3"/>
      <x:c r="F54" s="3"/>
      <x:c r="G54" s="3"/>
      <x:c r="H54" s="3"/>
      <x:c r="I54" s="3"/>
      <x:c r="J54" s="3"/>
    </x:row>
    <x:row r="55" ht="25" customHeight="1">
      <x:c r="A55" s="2"/>
      <x:c r="B55" s="2"/>
      <x:c r="C55" s="2"/>
      <x:c r="D55" s="3"/>
      <x:c r="E55" s="3"/>
      <x:c r="F55" s="3"/>
      <x:c r="G55" s="3"/>
      <x:c r="H55" s="3"/>
      <x:c r="I55" s="3"/>
      <x:c r="J55" s="3"/>
    </x:row>
    <x:row r="56" ht="25" customHeight="1">
      <x:c r="A56" s="2"/>
      <x:c r="B56" s="2"/>
      <x:c r="C56" s="19" t="str">
        <x:v>Full potential assumes adoption across the planning population. It is not an additional purchase or a timing forecast.</x:v>
      </x:c>
      <x:c r="D56" s="3"/>
      <x:c r="E56" s="3"/>
      <x:c r="F56" s="3"/>
      <x:c r="G56" s="3"/>
      <x:c r="H56" s="3"/>
      <x:c r="I56" s="3"/>
      <x:c r="J56" s="3"/>
    </x:row>
    <x:row r="57" ht="25" customHeight="1">
      <x:c r="A57" s="2"/>
      <x:c r="B57" s="2"/>
      <x:c r="C57" s="19" t="str">
        <x:v>The entity source contains aliases and repeat project rows. Do not treat raw row counts as unique eligible entities.</x:v>
      </x:c>
      <x:c r="D57" s="3"/>
      <x:c r="E57" s="3"/>
      <x:c r="F57" s="3"/>
      <x:c r="G57" s="3"/>
      <x:c r="H57" s="3"/>
      <x:c r="I57" s="3"/>
      <x:c r="J57" s="3"/>
    </x:row>
    <x:row r="58" ht="25" customHeight="1">
      <x:c r="A58" s="2"/>
      <x:c r="B58" s="2"/>
      <x:c r="C58" s="2"/>
      <x:c r="D58" s="3"/>
      <x:c r="E58" s="3"/>
      <x:c r="F58" s="3"/>
      <x:c r="G58" s="3"/>
      <x:c r="H58" s="3"/>
      <x:c r="I58" s="3"/>
      <x:c r="J58" s="3"/>
    </x:row>
    <x:row r="59" ht="25" customHeight="1">
      <x:c r="A59" s="2"/>
      <x:c r="B59" s="2"/>
      <x:c r="C59" s="2"/>
      <x:c r="D59" s="3"/>
      <x:c r="E59" s="3"/>
      <x:c r="F59" s="3"/>
      <x:c r="G59" s="3"/>
      <x:c r="H59" s="3"/>
      <x:c r="I59" s="3"/>
      <x:c r="J59" s="3"/>
    </x:row>
    <x:row r="60" ht="25" customHeight="1">
      <x:c r="A60" s="2"/>
      <x:c r="B60" s="2"/>
      <x:c r="C60" s="2"/>
      <x:c r="D60" s="3"/>
      <x:c r="E60" s="3"/>
      <x:c r="F60" s="3"/>
      <x:c r="G60" s="3"/>
      <x:c r="H60" s="3"/>
      <x:c r="I60" s="3"/>
      <x:c r="J60" s="3"/>
    </x:row>
    <x:row r="61" ht="25" customHeight="1">
      <x:c r="A61" s="2"/>
      <x:c r="B61" s="2"/>
      <x:c r="C61" s="2"/>
      <x:c r="D61" s="3"/>
      <x:c r="E61" s="3"/>
      <x:c r="F61" s="3"/>
      <x:c r="G61" s="3"/>
      <x:c r="H61" s="3"/>
      <x:c r="I61" s="3"/>
      <x:c r="J61" s="3"/>
    </x:row>
    <x:row r="62" ht="27" customHeight="1">
      <x:c r="A62" s="2"/>
      <x:c r="B62" s="2"/>
      <x:c r="C62" s="31" t="str">
        <x:v>Adoption plan for the selected commitment</x:v>
      </x:c>
      <x:c r="D62" s="32"/>
      <x:c r="E62" s="32"/>
      <x:c r="F62" s="32"/>
      <x:c r="G62" s="32"/>
      <x:c r="H62" s="32"/>
      <x:c r="I62" s="32"/>
      <x:c r="J62" s="3"/>
    </x:row>
    <x:row r="63" ht="25" customHeight="1">
      <x:c r="A63" s="2"/>
      <x:c r="B63" s="2"/>
      <x:c r="C63" s="2"/>
      <x:c r="D63" s="3"/>
      <x:c r="E63" s="3"/>
      <x:c r="F63" s="3"/>
      <x:c r="G63" s="3"/>
      <x:c r="H63" s="3"/>
      <x:c r="I63" s="3"/>
      <x:c r="J63" s="3"/>
    </x:row>
    <x:row r="64" ht="25" customHeight="1">
      <x:c r="A64" s="2"/>
      <x:c r="B64" s="2"/>
      <x:c r="C64" s="2"/>
      <x:c r="D64" s="3"/>
      <x:c r="E64" s="3"/>
      <x:c r="F64" s="3"/>
      <x:c r="G64" s="3"/>
      <x:c r="H64" s="3"/>
      <x:c r="I64" s="3"/>
      <x:c r="J64" s="3"/>
    </x:row>
    <x:row r="65" ht="25" customHeight="1">
      <x:c r="A65" s="2"/>
      <x:c r="B65" s="2"/>
      <x:c r="C65" s="2" t="str">
        <x:v>Seats beyond Year 1 existing users</x:v>
      </x:c>
      <x:c r="D65" s="3"/>
      <x:c r="E65" s="16" t="n">
        <x:f>MAX(0,E13-E14-E23)</x:f>
        <x:v>6428</x:v>
      </x:c>
      <x:c r="F65" s="3"/>
      <x:c r="G65" s="3"/>
      <x:c r="H65" s="3"/>
      <x:c r="I65" s="3"/>
      <x:c r="J65" s="3"/>
    </x:row>
    <x:row r="66" ht="25" customHeight="1">
      <x:c r="A66" s="2"/>
      <x:c r="B66" s="2"/>
      <x:c r="C66" s="2" t="str">
        <x:v>Survey numerical minimum users</x:v>
      </x:c>
      <x:c r="D66" s="3"/>
      <x:c r="E66" s="7" t="n">
        <x:f>'Survey'!H27</x:f>
        <x:v>4921</x:v>
      </x:c>
      <x:c r="F66" s="3"/>
      <x:c r="G66" s="3"/>
      <x:c r="H66" s="3"/>
      <x:c r="I66" s="3"/>
      <x:c r="J66" s="3"/>
    </x:row>
    <x:row r="67" ht="25" customHeight="1">
      <x:c r="A67" s="2"/>
      <x:c r="B67" s="2"/>
      <x:c r="C67" s="2" t="str">
        <x:v>Survey illustrative users</x:v>
      </x:c>
      <x:c r="D67" s="3"/>
      <x:c r="E67" s="7" t="n">
        <x:f>'Survey'!G27</x:f>
        <x:v>10558.5</x:v>
      </x:c>
      <x:c r="F67" s="3"/>
      <x:c r="G67" s="3"/>
      <x:c r="H67" s="3"/>
      <x:c r="I67" s="3"/>
      <x:c r="J67" s="3"/>
    </x:row>
    <x:row r="68" ht="25" customHeight="1">
      <x:c r="A68" s="2"/>
      <x:c r="B68" s="2"/>
      <x:c r="C68" s="2" t="str">
        <x:v>Assumed existing-user overlap</x:v>
      </x:c>
      <x:c r="D68" s="3"/>
      <x:c r="E68" s="7" t="n">
        <x:f>ROUND(E14*'Setup'!E56,0)</x:f>
        <x:v>0</x:v>
      </x:c>
      <x:c r="F68" s="3"/>
      <x:c r="G68" s="3"/>
      <x:c r="H68" s="3"/>
      <x:c r="I68" s="3"/>
      <x:c r="J68" s="3"/>
    </x:row>
    <x:row r="69" ht="25" customHeight="1">
      <x:c r="A69" s="2"/>
      <x:c r="B69" s="2"/>
      <x:c r="C69" s="2" t="str">
        <x:v>Selected survey users before deduction</x:v>
      </x:c>
      <x:c r="D69" s="3"/>
      <x:c r="E69" s="7" t="n">
        <x:f>IF('Setup'!E57=1,E66,ROUND(E67,0))</x:f>
        <x:v>4921</x:v>
      </x:c>
      <x:c r="F69" s="3"/>
      <x:c r="G69" s="3"/>
      <x:c r="H69" s="3"/>
      <x:c r="I69" s="3"/>
      <x:c r="J69" s="3"/>
    </x:row>
    <x:row r="70" ht="25" customHeight="1">
      <x:c r="A70" s="2"/>
      <x:c r="B70" s="2"/>
      <x:c r="C70" s="2" t="str">
        <x:v>Survey users after selected deduction</x:v>
      </x:c>
      <x:c r="D70" s="3"/>
      <x:c r="E70" s="16" t="n">
        <x:f>MAX(0,E69-E68)</x:f>
        <x:v>4921</x:v>
      </x:c>
      <x:c r="F70" s="3"/>
      <x:c r="G70" s="3"/>
      <x:c r="H70" s="3"/>
      <x:c r="I70" s="3"/>
      <x:c r="J70" s="3"/>
    </x:row>
    <x:row r="71" ht="25" customHeight="1">
      <x:c r="A71" s="2"/>
      <x:c r="B71" s="2"/>
      <x:c r="C71" s="2" t="str">
        <x:v>Survey seats in selected commitment</x:v>
      </x:c>
      <x:c r="D71" s="3"/>
      <x:c r="E71" s="16" t="n">
        <x:f>MIN(E22,MAX(E70,E80))</x:f>
        <x:v>4921</x:v>
      </x:c>
      <x:c r="F71" s="3"/>
      <x:c r="G71" s="3"/>
      <x:c r="H71" s="3"/>
      <x:c r="I71" s="3"/>
      <x:c r="J71" s="3"/>
    </x:row>
    <x:row r="72" ht="25" customHeight="1">
      <x:c r="A72" s="2"/>
      <x:c r="B72" s="2"/>
      <x:c r="C72" s="2" t="str">
        <x:v>Other departments — required used seats</x:v>
      </x:c>
      <x:c r="D72" s="3"/>
      <x:c r="E72" s="16" t="n">
        <x:f>MAX(0,E22-E71)</x:f>
        <x:v>1507</x:v>
      </x:c>
      <x:c r="F72" s="3"/>
      <x:c r="G72" s="3"/>
      <x:c r="H72" s="3"/>
      <x:c r="I72" s="3"/>
      <x:c r="J72" s="3"/>
    </x:row>
    <x:row r="73" ht="25" customHeight="1">
      <x:c r="A73" s="2"/>
      <x:c r="B73" s="2"/>
      <x:c r="C73" s="2" t="str">
        <x:v>Unused committed seats</x:v>
      </x:c>
      <x:c r="D73" s="3"/>
      <x:c r="E73" s="16" t="n">
        <x:f>MAX(0,E65-E22)</x:f>
        <x:v>0</x:v>
      </x:c>
      <x:c r="F73" s="3"/>
      <x:c r="G73" s="3"/>
      <x:c r="H73" s="3"/>
      <x:c r="I73" s="3"/>
      <x:c r="J73" s="3"/>
    </x:row>
    <x:row r="74" ht="25" customHeight="1">
      <x:c r="A74" s="2"/>
      <x:c r="B74" s="2"/>
      <x:c r="C74" s="2" t="str">
        <x:v>Capacity beyond quantified survey</x:v>
      </x:c>
      <x:c r="D74" s="3"/>
      <x:c r="E74" s="16" t="n">
        <x:f>MAX(0,E65-E71)</x:f>
        <x:v>1507</x:v>
      </x:c>
      <x:c r="F74" s="3"/>
      <x:c r="G74" s="3"/>
      <x:c r="H74" s="3"/>
      <x:c r="I74" s="3"/>
      <x:c r="J74" s="3"/>
    </x:row>
    <x:row r="75" ht="25" customHeight="1">
      <x:c r="A75" s="2"/>
      <x:c r="B75" s="2"/>
      <x:c r="C75" s="2" t="str">
        <x:v>Unsurveyed entities — illustrative pool</x:v>
      </x:c>
      <x:c r="D75" s="3"/>
      <x:c r="E75" s="7" t="n">
        <x:f>'Survey'!E66</x:f>
        <x:v>54</x:v>
      </x:c>
      <x:c r="F75" s="3"/>
      <x:c r="G75" s="3"/>
      <x:c r="H75" s="3"/>
      <x:c r="I75" s="3"/>
      <x:c r="J75" s="3"/>
    </x:row>
    <x:row r="76" ht="25" customHeight="1">
      <x:c r="A76" s="2"/>
      <x:c r="B76" s="2"/>
      <x:c r="C76" s="2" t="str">
        <x:v>Required users per unsurveyed entity</x:v>
      </x:c>
      <x:c r="D76" s="3"/>
      <x:c r="E76" s="53" t="n">
        <x:f>IF(E75&gt;0,E72/E75,"n.a.")</x:f>
        <x:v>27.90740740740741</x:v>
      </x:c>
      <x:c r="F76" s="3"/>
      <x:c r="G76" s="3"/>
      <x:c r="H76" s="3"/>
      <x:c r="I76" s="3"/>
      <x:c r="J76" s="3"/>
    </x:row>
    <x:row r="77" ht="25" customHeight="1">
      <x:c r="A77" s="2"/>
      <x:c r="B77" s="2"/>
      <x:c r="C77" s="2" t="str">
        <x:v>Survey share of additional seats</x:v>
      </x:c>
      <x:c r="D77" s="3"/>
      <x:c r="E77" s="17" t="n">
        <x:f>IF(E65=0,"n.a.",E71/E65)</x:f>
        <x:v>0.765556938394524</x:v>
      </x:c>
      <x:c r="F77" s="3"/>
      <x:c r="G77" s="3"/>
      <x:c r="H77" s="3"/>
      <x:c r="I77" s="3"/>
      <x:c r="J77" s="3"/>
    </x:row>
    <x:row r="78" ht="25" customHeight="1">
      <x:c r="A78" s="2"/>
      <x:c r="B78" s="2"/>
      <x:c r="C78" s="2" t="str">
        <x:v>Potential beyond commitment</x:v>
      </x:c>
      <x:c r="D78" s="3"/>
      <x:c r="E78" s="16" t="n">
        <x:f>MAX(0,E11-E13)</x:f>
        <x:v>7200</x:v>
      </x:c>
      <x:c r="F78" s="3"/>
      <x:c r="G78" s="3"/>
      <x:c r="H78" s="3"/>
      <x:c r="I78" s="3"/>
      <x:c r="J78" s="3"/>
    </x:row>
    <x:row r="79" ht="25" customHeight="1">
      <x:c r="A79" s="2"/>
      <x:c r="B79" s="2"/>
      <x:c r="C79" s="2" t="str">
        <x:v>Adoption allocation status</x:v>
      </x:c>
      <x:c r="D79" s="3"/>
      <x:c r="E79" s="16" t="str">
        <x:f>IF(OR(E14+E23&gt;E13,E80&gt;E71,E82&gt;E72),"Review allocation","Modeled adoption")</x:f>
        <x:v>Modeled adoption</x:v>
      </x:c>
      <x:c r="F79" s="3"/>
      <x:c r="G79" s="3"/>
      <x:c r="H79" s="3"/>
      <x:c r="I79" s="3"/>
      <x:c r="J79" s="3"/>
    </x:row>
    <x:row r="80" ht="25" customHeight="1">
      <x:c r="A80" s="2"/>
      <x:c r="B80" s="2"/>
      <x:c r="C80" s="2" t="str">
        <x:v>Matched survey users</x:v>
      </x:c>
      <x:c r="D80" s="3"/>
      <x:c r="E80" s="7" t="n">
        <x:f>SUMIFS('Respondents'!E9:E46,'Respondents'!K9:K46,"Ready",'Respondents'!M9:M46,"Survey respondents")</x:f>
        <x:v>0</x:v>
      </x:c>
      <x:c r="F80" s="3"/>
      <x:c r="G80" s="3"/>
      <x:c r="H80" s="3"/>
      <x:c r="I80" s="3"/>
      <x:c r="J80" s="3"/>
    </x:row>
    <x:row r="81" ht="25" customHeight="1">
      <x:c r="A81" s="2"/>
      <x:c r="B81" s="2"/>
      <x:c r="C81" s="2"/>
      <x:c r="D81" s="3"/>
      <x:c r="E81" s="3"/>
      <x:c r="F81" s="3"/>
      <x:c r="G81" s="3"/>
      <x:c r="H81" s="3"/>
      <x:c r="I81" s="3"/>
      <x:c r="J81" s="3"/>
    </x:row>
    <x:row r="82" ht="25" customHeight="1">
      <x:c r="A82" s="2"/>
      <x:c r="B82" s="2"/>
      <x:c r="C82" s="2" t="str">
        <x:v>Matched other-department users</x:v>
      </x:c>
      <x:c r="D82" s="3"/>
      <x:c r="E82" s="7" t="n">
        <x:f>SUMIFS('Respondents'!E9:E46,'Respondents'!K9:K46,"Ready",'Respondents'!M9:M46,"Other departments")</x:f>
        <x:v>0</x:v>
      </x:c>
      <x:c r="F82" s="3"/>
      <x:c r="G82" s="3"/>
      <x:c r="H82" s="3"/>
      <x:c r="I82" s="3"/>
      <x:c r="J82" s="3"/>
    </x:row>
    <x:row r="83" ht="25" customHeight="1">
      <x:c r="A83" s="2"/>
      <x:c r="B83" s="2"/>
      <x:c r="C83" s="2" t="str">
        <x:v>Matched survey subscriptions AED</x:v>
      </x:c>
      <x:c r="D83" s="3"/>
      <x:c r="E83" s="7" t="n">
        <x:f>SUMIFS('Respondents'!G9:G46,'Respondents'!K9:K46,"Ready",'Respondents'!M9:M46,"Survey respondents")</x:f>
        <x:v>0</x:v>
      </x:c>
      <x:c r="F83" s="3"/>
      <x:c r="G83" s="3"/>
      <x:c r="H83" s="3"/>
      <x:c r="I83" s="3"/>
      <x:c r="J83" s="3"/>
    </x:row>
    <x:row r="84" ht="25" customHeight="1">
      <x:c r="A84" s="2"/>
      <x:c r="B84" s="2"/>
      <x:c r="C84" s="2"/>
      <x:c r="D84" s="3"/>
      <x:c r="E84" s="3"/>
      <x:c r="F84" s="3"/>
      <x:c r="G84" s="3"/>
      <x:c r="H84" s="3"/>
      <x:c r="I84" s="3"/>
      <x:c r="J84" s="3"/>
    </x:row>
    <x:row r="85" ht="25" customHeight="1">
      <x:c r="A85" s="2"/>
      <x:c r="B85" s="2"/>
      <x:c r="C85" s="2"/>
      <x:c r="D85" s="3"/>
      <x:c r="E85" s="3"/>
      <x:c r="F85" s="3"/>
      <x:c r="G85" s="3"/>
      <x:c r="H85" s="3"/>
      <x:c r="I85" s="3"/>
      <x:c r="J85" s="3"/>
    </x:row>
    <x:row r="86" ht="40" customHeight="1">
      <x:c r="A86" s="2"/>
      <x:c r="B86" s="2"/>
      <x:c r="C86" s="26" t="str">
        <x:v>Savings source</x:v>
      </x:c>
      <x:c r="D86" s="27" t="str">
        <x:v>Year 1 users</x:v>
      </x:c>
      <x:c r="E86" s="27" t="str">
        <x:v>Year 1 benchmark AED</x:v>
      </x:c>
      <x:c r="F86" s="27" t="str">
        <x:v>Year 1 central AED</x:v>
      </x:c>
      <x:c r="G86" s="27" t="str">
        <x:v>Year 1 saving AED</x:v>
      </x:c>
      <x:c r="H86" s="27" t="str">
        <x:v>Five-year saving AED</x:v>
      </x:c>
      <x:c r="I86" s="3"/>
      <x:c r="J86" s="3"/>
    </x:row>
    <x:row r="87" ht="25" customHeight="1">
      <x:c r="A87" s="2"/>
      <x:c r="B87" s="2"/>
      <x:c r="C87" s="2" t="str">
        <x:v>A1. Existing customers — current users</x:v>
      </x:c>
      <x:c r="D87" s="16" t="n">
        <x:f>E14</x:f>
        <x:v>1310</x:v>
      </x:c>
      <x:c r="E87" s="7" t="n">
        <x:f>'Existing customers'!G16</x:f>
        <x:v>1929169.75</x:v>
      </x:c>
      <x:c r="F87" s="7" t="n">
        <x:f>D87*'Setup'!E18</x:f>
        <x:v>1739024.9999999998</x:v>
      </x:c>
      <x:c r="G87" s="16" t="n">
        <x:f>IF(ISNUMBER(E87),E87-F87,"n.a.")</x:f>
        <x:v>190144.75000000023</x:v>
      </x:c>
      <x:c r="H87" s="7" t="n">
        <x:f>IF($D$28=0,0,($I$35-SUM($D$28:$H$28)*'Setup'!E18)*D87/$D$28)</x:f>
        <x:v>1051118.24268448</x:v>
      </x:c>
      <x:c r="I87" s="3"/>
      <x:c r="J87" s="3"/>
    </x:row>
    <x:row r="88" ht="25" customHeight="1">
      <x:c r="A88" s="2"/>
      <x:c r="B88" s="2"/>
      <x:c r="C88" s="2" t="str">
        <x:v>A2. Existing customers — Year 1 growth</x:v>
      </x:c>
      <x:c r="D88" s="16" t="n">
        <x:f>E23</x:f>
        <x:v>262</x:v>
      </x:c>
      <x:c r="E88" s="16" t="n">
        <x:f>IF(E14=0,0,E87*D88/E14)</x:f>
        <x:v>385833.95</x:v>
      </x:c>
      <x:c r="F88" s="7" t="n">
        <x:f>D88*'Setup'!E18</x:f>
        <x:v>347804.99999999994</x:v>
      </x:c>
      <x:c r="G88" s="16" t="n">
        <x:f>IF(ISNUMBER(E88),E88-F88,"n.a.")</x:f>
        <x:v>38028.95000000007</x:v>
      </x:c>
      <x:c r="H88" s="7" t="n">
        <x:f>IF($D$28=0,0,($I$35-SUM($D$28:$H$28)*'Setup'!E18)*D88/$D$28)</x:f>
        <x:v>210223.648536896</x:v>
      </x:c>
      <x:c r="I88" s="3"/>
      <x:c r="J88" s="3"/>
    </x:row>
    <x:row r="89" ht="25" customHeight="1">
      <x:c r="A89" s="2"/>
      <x:c r="B89" s="2"/>
      <x:c r="C89" s="2" t="str">
        <x:v>B. Survey-based opportunity</x:v>
      </x:c>
      <x:c r="D89" s="16" t="n">
        <x:f>D29</x:f>
        <x:v>4921</x:v>
      </x:c>
      <x:c r="E89" s="16" t="n">
        <x:f>D36</x:f>
        <x:v>14516950</x:v>
      </x:c>
      <x:c r="F89" s="7" t="n">
        <x:f>D89*'Setup'!E18</x:f>
        <x:v>6532627.499999999</x:v>
      </x:c>
      <x:c r="G89" s="16" t="n">
        <x:f>IF(ISNUMBER(E89),E89-F89,"n.a.")</x:f>
        <x:v>7984322.500000001</x:v>
      </x:c>
      <x:c r="H89" s="7" t="n">
        <x:f>IF(ISNUMBER(I36),I36-SUM(D29:H29)*'Setup'!E18,"n.a.")</x:f>
        <x:v>44115775.00000001</x:v>
      </x:c>
      <x:c r="I89" s="3"/>
      <x:c r="J89" s="3"/>
    </x:row>
    <x:row r="90" ht="25" customHeight="1">
      <x:c r="A90" s="2"/>
      <x:c r="B90" s="2"/>
      <x:c r="C90" s="2" t="str">
        <x:v>C. Other departments — adoption target</x:v>
      </x:c>
      <x:c r="D90" s="16" t="n">
        <x:f>E13-SUM(D87:D89)</x:f>
        <x:v>1507</x:v>
      </x:c>
      <x:c r="E90" s="16" t="n">
        <x:f>D37</x:f>
        <x:v>4445650</x:v>
      </x:c>
      <x:c r="F90" s="7" t="n">
        <x:f>D90*'Setup'!E18</x:f>
        <x:v>2000542.4999999998</x:v>
      </x:c>
      <x:c r="G90" s="16" t="n">
        <x:f>IF(ISNUMBER(E90),E90-F90,"n.a.")</x:f>
        <x:v>2445107.5</x:v>
      </x:c>
      <x:c r="H90" s="7" t="n">
        <x:f>IF(ISNUMBER(I37),I37-(SUM(D32:H32)-SUM(D28:H29))*'Setup'!E18,"n.a.")</x:f>
        <x:v>13507312.500000002</x:v>
      </x:c>
      <x:c r="I90" s="3"/>
      <x:c r="J90" s="3"/>
    </x:row>
    <x:row r="91" ht="25" customHeight="1">
      <x:c r="A91" s="2"/>
      <x:c r="B91" s="2"/>
      <x:c r="C91" s="38" t="str">
        <x:v>Selected commitment total</x:v>
      </x:c>
      <x:c r="D91" s="39" t="n">
        <x:f>IF(COUNT(D87:D90)=4,SUM(D87:D90),"n.a.")</x:f>
        <x:v>8000</x:v>
      </x:c>
      <x:c r="E91" s="39" t="n">
        <x:f>IF(COUNT(E87:E90)=4,SUM(E87:E90),"n.a.")</x:f>
        <x:v>21277603.7</x:v>
      </x:c>
      <x:c r="F91" s="39" t="n">
        <x:f>IF(COUNT(F87:F90)=4,SUM(F87:F90),"n.a.")</x:f>
        <x:v>10619999.999999998</x:v>
      </x:c>
      <x:c r="G91" s="39" t="n">
        <x:f>IF(COUNT(G87:G90)=4,SUM(G87:G90),"n.a.")</x:f>
        <x:v>10657603.700000001</x:v>
      </x:c>
      <x:c r="H91" s="39" t="n">
        <x:f>IF(COUNT(H87:H90)=4,SUM(H87:H90),"n.a.")</x:f>
        <x:v>58884429.39122138</x:v>
      </x:c>
      <x:c r="I91" s="3"/>
      <x:c r="J91" s="3"/>
    </x:row>
    <x:row r="92" ht="25" customHeight="1">
      <x:c r="A92" s="2"/>
      <x:c r="B92" s="2"/>
      <x:c r="C92" s="2"/>
      <x:c r="D92" s="3"/>
      <x:c r="E92" s="3"/>
      <x:c r="F92" s="3"/>
      <x:c r="G92" s="3"/>
      <x:c r="H92" s="3"/>
      <x:c r="I92" s="3"/>
      <x:c r="J92" s="3"/>
    </x:row>
    <x:row r="93" ht="25" customHeight="1">
      <x:c r="A93" s="2"/>
      <x:c r="B93" s="2"/>
      <x:c r="C93" s="19" t="str">
        <x:v>A1 uses supplied subscriptions. A2 assumes the same weighted unit price for growth. B/C use list until matched costs arrive.</x:v>
      </x:c>
      <x:c r="D93" s="3"/>
      <x:c r="E93" s="3"/>
      <x:c r="F93" s="3"/>
      <x:c r="G93" s="3"/>
      <x:c r="H93" s="3"/>
      <x:c r="I93" s="3"/>
      <x:c r="J93" s="3"/>
    </x:row>
    <x:row r="94" ht="25" customHeight="1">
      <x:c r="A94" s="2"/>
      <x:c r="B94" s="2"/>
      <x:c r="C94" s="19" t="str">
        <x:v>B uses current/expected user-band counts. Per user instruction, the default adds the full survey count without overlap deduction.</x:v>
      </x:c>
      <x:c r="D94" s="3"/>
      <x:c r="E94" s="3"/>
      <x:c r="F94" s="3"/>
      <x:c r="G94" s="3"/>
      <x:c r="H94" s="3"/>
      <x:c r="I94" s="3"/>
      <x:c r="J94" s="3"/>
    </x:row>
    <x:row r="95" ht="25" customHeight="1">
      <x:c r="A95" s="2"/>
      <x:c r="B95" s="2"/>
      <x:c r="C95" s="19" t="str">
        <x:v>Other-department seats are a residual target, not surveyed demand. Existing Year 1 growth is shown separately; Years 2–5 grow all cohorts at the selected annual rate.</x:v>
      </x:c>
      <x:c r="D95" s="3"/>
      <x:c r="E95" s="3"/>
      <x:c r="F95" s="3"/>
      <x:c r="G95" s="3"/>
      <x:c r="H95" s="3"/>
      <x:c r="I95" s="3"/>
      <x:c r="J95" s="3"/>
    </x:row>
    <x:row r="96" ht="25" customHeight="1">
      <x:c r="A96" s="2"/>
      <x:c r="B96" s="2"/>
      <x:c r="C96" s="19" t="str">
        <x:v>The 16 entities expressing interest support the demand case but add no quantified seats here; their user counts are unknown.</x:v>
      </x:c>
      <x:c r="D96" s="3"/>
      <x:c r="E96" s="3"/>
      <x:c r="F96" s="3"/>
      <x:c r="G96" s="3"/>
      <x:c r="H96" s="3"/>
      <x:c r="I96" s="3"/>
      <x:c r="J96" s="3"/>
    </x:row>
    <x:row r="97" ht="25" customHeight="1">
      <x:c r="A97" s="2"/>
      <x:c r="B97" s="2"/>
      <x:c r="C97" s="19" t="str">
        <x:v>Forecast user counts are full-year billable estimates. Paid volume grows at the locked unit price; support is separate.</x:v>
      </x:c>
      <x:c r="D97" s="3"/>
      <x:c r="E97" s="3"/>
      <x:c r="F97" s="3"/>
      <x:c r="G97" s="3"/>
      <x:c r="H97" s="3"/>
      <x:c r="I97" s="3"/>
      <x:c r="J97" s="3"/>
    </x:row>
    <x:row r="98" ht="25" customHeight="1">
      <x:c r="A98" s="2"/>
      <x:c r="B98" s="2"/>
      <x:c r="C98" s="19" t="str">
        <x:v>Unused committed seats stay in C subscription cost and produce no assumed baseline spending. Support remains separate.</x:v>
      </x:c>
      <x:c r="D98" s="3"/>
      <x:c r="E98" s="3"/>
      <x:c r="F98" s="3"/>
      <x:c r="G98" s="3"/>
      <x:c r="H98" s="3"/>
      <x:c r="I98" s="3"/>
      <x:c r="J98" s="3"/>
    </x:row>
    <x:row r="99" ht="25" customHeight="1">
      <x:c r="A99" s="2"/>
      <x:c r="B99" s="2"/>
      <x:c r="C99" s="2"/>
      <x:c r="D99" s="3"/>
      <x:c r="E99" s="3"/>
      <x:c r="F99" s="3"/>
      <x:c r="G99" s="3"/>
      <x:c r="H99" s="3"/>
      <x:c r="I99" s="3"/>
      <x:c r="J99" s="3"/>
    </x:row>
    <x:row r="100" ht="25" customHeight="1">
      <x:c r="A100" s="2"/>
      <x:c r="B100" s="2"/>
      <x:c r="C100" s="2" t="str">
        <x:v>Reconciliation to selected annual model</x:v>
      </x:c>
      <x:c r="D100" s="3"/>
      <x:c r="E100" s="54" t="n">
        <x:f>IF(AND(ISNUMBER(G91),ISNUMBER(D40)),G91-D40,"n.a.")</x:f>
        <x:v>0</x:v>
      </x:c>
      <x:c r="F100" s="3"/>
      <x:c r="G100" s="3"/>
      <x:c r="H100" s="3"/>
      <x:c r="I100" s="3"/>
      <x:c r="J100" s="3"/>
    </x:row>
    <x:row r="101" ht="25" customHeight="1">
      <x:c r="A101" s="2"/>
      <x:c r="B101" s="2"/>
      <x:c r="C101" s="2"/>
      <x:c r="D101" s="3"/>
      <x:c r="E101" s="3"/>
      <x:c r="F101" s="3"/>
      <x:c r="G101" s="3"/>
      <x:c r="H101" s="3"/>
      <x:c r="I101" s="3"/>
      <x:c r="J101" s="3"/>
    </x:row>
    <x:row r="102" ht="25" customHeight="1">
      <x:c r="A102" s="2"/>
      <x:c r="B102" s="2"/>
      <x:c r="C102" s="2"/>
      <x:c r="D102" s="3"/>
      <x:c r="E102" s="3"/>
      <x:c r="F102" s="3"/>
      <x:c r="G102" s="3"/>
      <x:c r="H102" s="3"/>
      <x:c r="I102" s="3"/>
      <x:c r="J102" s="3"/>
    </x:row>
  </x:sheetData>
  <x:conditionalFormatting sqref="E18:E18">
    <x:cfRule type="cellIs" dxfId="5" priority="1" operator="greaterThan">
      <x:formula>0</x:formula>
    </x:cfRule>
  </x:conditionalFormatting>
  <x:conditionalFormatting sqref="D40:I40">
    <x:cfRule type="cellIs" dxfId="6" priority="2" operator="lessThan">
      <x:formula>0</x:formula>
    </x:cfRule>
  </x:conditionalFormatting>
  <x:conditionalFormatting sqref="I17:I17">
    <x:cfRule type="notContainsText" dxfId="7" priority="3" text="Ready"/>
  </x:conditionalFormatting>
  <x:conditionalFormatting sqref="E79:E79">
    <x:cfRule type="containsText" dxfId="8" priority="4" operator="containsText" text="Review"/>
  </x:conditionalFormatting>
  <x:conditionalFormatting sqref="G87:H91">
    <x:cfRule type="cellIs" dxfId="9" priority="5" operator="lessThan">
      <x:formula>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8" hidden="0" customWidth="1"/>
    <x:col min="4" max="4" width="19" hidden="0" customWidth="1"/>
    <x:col min="5" max="5" width="12" hidden="0" customWidth="1"/>
    <x:col min="6" max="6" width="22" hidden="0" customWidth="1"/>
    <x:col min="7" max="7" width="22" hidden="0" customWidth="1"/>
    <x:col min="8" max="8" width="17" hidden="0" customWidth="1"/>
    <x:col min="9" max="9" width="21" hidden="0" customWidth="1"/>
    <x:col min="10" max="10" width="21" hidden="0" customWidth="1"/>
    <x:col min="11" max="11" width="24" hidden="0" customWidth="1"/>
    <x:col min="12" max="12" width="40" hidden="0" customWidth="1"/>
    <x:col min="13" max="13" width="24" hidden="0" customWidth="1"/>
  </x:cols>
  <x:sheetData>
    <x:row r="1" ht="25" customHeight="1">
      <x:c r="A1" s="2"/>
      <x:c r="B1" s="2"/>
      <x:c r="C1" s="2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5" customHeight="1">
      <x:c r="A2" s="2"/>
      <x:c r="B2" s="2"/>
      <x:c r="C2" s="4" t="str">
        <x:v>Survey respondents — comparable subscription inputs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25" customHeight="1">
      <x:c r="A3" s="2"/>
      <x:c r="B3" s="2"/>
      <x:c r="C3" s="5"/>
      <x:c r="D3" s="6"/>
      <x:c r="E3" s="6"/>
      <x:c r="F3" s="6"/>
      <x:c r="G3" s="6"/>
      <x:c r="H3" s="6"/>
      <x:c r="I3" s="3"/>
      <x:c r="J3" s="3"/>
      <x:c r="K3" s="3"/>
      <x:c r="L3" s="3"/>
      <x:c r="M3" s="3"/>
    </x:row>
    <x:row r="4" ht="25" customHeight="1">
      <x:c r="A4" s="2"/>
      <x:c r="B4" s="2"/>
      <x:c r="C4" s="2" t="str">
        <x:v>Annual commitment selected</x:v>
      </x:c>
      <x:c r="D4" s="3"/>
      <x:c r="E4" s="8" t="n">
        <x:f>'Setup'!E5</x:f>
        <x:v>8000</x:v>
      </x:c>
      <x:c r="F4" s="3"/>
      <x:c r="G4" s="3"/>
      <x:c r="H4" s="3"/>
      <x:c r="I4" s="3"/>
      <x:c r="J4" s="3"/>
      <x:c r="K4" s="3"/>
      <x:c r="L4" s="3"/>
      <x:c r="M4" s="3"/>
    </x:row>
    <x:row r="5" ht="25" customHeight="1">
      <x:c r="A5" s="2"/>
      <x:c r="B5" s="2"/>
      <x:c r="C5" s="2"/>
      <x:c r="D5" s="3"/>
      <x:c r="E5" s="3"/>
      <x:c r="F5" s="3"/>
      <x:c r="G5" s="3"/>
      <x:c r="H5" s="3"/>
      <x:c r="I5" s="3"/>
      <x:c r="J5" s="3"/>
      <x:c r="K5" s="3"/>
      <x:c r="L5" s="3"/>
      <x:c r="M5" s="3"/>
    </x:row>
    <x:row r="6" ht="25" customHeight="1">
      <x:c r="A6" s="2"/>
      <x:c r="B6" s="2"/>
      <x:c r="C6" s="19" t="str">
        <x:v>Enter each entity once. Only rows marked Ready and Existing Circularo? = No feed new-customer savings.</x:v>
      </x:c>
      <x:c r="D6" s="3"/>
      <x:c r="E6" s="3"/>
      <x:c r="F6" s="3"/>
      <x:c r="G6" s="3"/>
      <x:c r="H6" s="3"/>
      <x:c r="I6" s="3"/>
      <x:c r="J6" s="3"/>
      <x:c r="K6" s="3"/>
      <x:c r="L6" s="3"/>
      <x:c r="M6" s="3"/>
    </x:row>
    <x:row r="7" ht="25" customHeight="1">
      <x:c r="A7" s="2"/>
      <x:c r="B7" s="2"/>
      <x:c r="C7" s="2"/>
      <x:c r="D7" s="3"/>
      <x:c r="E7" s="3"/>
      <x:c r="F7" s="3"/>
      <x:c r="G7" s="3"/>
      <x:c r="H7" s="3"/>
      <x:c r="I7" s="3"/>
      <x:c r="J7" s="3"/>
      <x:c r="K7" s="3"/>
      <x:c r="L7" s="3"/>
      <x:c r="M7" s="3"/>
    </x:row>
    <x:row r="8" ht="40" customHeight="1">
      <x:c r="A8" s="2"/>
      <x:c r="B8" s="2"/>
      <x:c r="C8" s="26" t="str">
        <x:v>Entity</x:v>
      </x:c>
      <x:c r="D8" s="27" t="str">
        <x:v>Existing Circularo?</x:v>
      </x:c>
      <x:c r="E8" s="27" t="str">
        <x:v>Users</x:v>
      </x:c>
      <x:c r="F8" s="27" t="str">
        <x:v>Reported system cost AED/year</x:v>
      </x:c>
      <x:c r="G8" s="27" t="str">
        <x:v>Comparable subscription AED/year</x:v>
      </x:c>
      <x:c r="H8" s="27" t="str">
        <x:v>Cost basis</x:v>
      </x:c>
      <x:c r="I8" s="27" t="str">
        <x:v>Central subscription AED/year</x:v>
      </x:c>
      <x:c r="J8" s="27" t="str">
        <x:v>Annual saving AED</x:v>
      </x:c>
      <x:c r="K8" s="27" t="str">
        <x:v>Input status</x:v>
      </x:c>
      <x:c r="L8" s="27" t="str">
        <x:v>Source / cost scope</x:v>
      </x:c>
      <x:c r="M8" s="27" t="str">
        <x:v>Demand cohort</x:v>
      </x:c>
    </x:row>
    <x:row r="9" ht="25" customHeight="1">
      <x:c r="A9" s="2"/>
      <x:c r="B9" s="2"/>
      <x:c r="C9" s="46"/>
      <x:c r="D9" s="11"/>
      <x:c r="E9" s="11"/>
      <x:c r="F9" s="12"/>
      <x:c r="G9" s="12"/>
      <x:c r="H9" s="11"/>
      <x:c r="I9" s="41" t="str">
        <x:f>IF(K9="Ready",E9*'Setup'!$E$18,"")</x:f>
      </x:c>
      <x:c r="J9" s="18" t="str">
        <x:f>IF(K9="Ready",G9-I9,"")</x:f>
      </x:c>
      <x:c r="K9" s="16" t="str">
        <x:f>IF(C9="","",IF(D9="Yes","Existing - excluded",IF(D9&lt;&gt;"No","Check overlap",IF(OR(NOT(ISNUMBER(E9)),E9&lt;=0),"Enter users",IF(NOT(ISNUMBER(G9)),"Enter subscription",IF(G9&lt;0,"Check cost",IF(AND(H9&lt;&gt;"Current",H9&lt;&gt;"Expected"),"Select cost basis",IF(AND(M9&lt;&gt;"Survey respondents",M9&lt;&gt;"Other departments"),"Select demand cohort",IF(COUNTIFS($C$9:$C$46,C9)&gt;1,"Duplicate entity","Ready")))))))))</x:f>
      </x:c>
      <x:c r="L9" s="28"/>
      <x:c r="M9" s="28"/>
    </x:row>
    <x:row r="10" ht="25" customHeight="1">
      <x:c r="A10" s="2"/>
      <x:c r="B10" s="2"/>
      <x:c r="C10" s="46"/>
      <x:c r="D10" s="11"/>
      <x:c r="E10" s="11"/>
      <x:c r="F10" s="12"/>
      <x:c r="G10" s="12"/>
      <x:c r="H10" s="11"/>
      <x:c r="I10" s="41" t="str">
        <x:f>IF(K10="Ready",E10*'Setup'!$E$18,"")</x:f>
      </x:c>
      <x:c r="J10" s="18" t="str">
        <x:f>IF(K10="Ready",G10-I10,"")</x:f>
      </x:c>
      <x:c r="K10" s="16" t="str">
        <x:f>IF(C10="","",IF(D10="Yes","Existing - excluded",IF(D10&lt;&gt;"No","Check overlap",IF(OR(NOT(ISNUMBER(E10)),E10&lt;=0),"Enter users",IF(NOT(ISNUMBER(G10)),"Enter subscription",IF(G10&lt;0,"Check cost",IF(AND(H10&lt;&gt;"Current",H10&lt;&gt;"Expected"),"Select cost basis",IF(AND(M10&lt;&gt;"Survey respondents",M10&lt;&gt;"Other departments"),"Select demand cohort",IF(COUNTIFS($C$9:$C$46,C10)&gt;1,"Duplicate entity","Ready")))))))))</x:f>
      </x:c>
      <x:c r="L10" s="28"/>
      <x:c r="M10" s="28"/>
    </x:row>
    <x:row r="11" ht="25" customHeight="1">
      <x:c r="A11" s="2"/>
      <x:c r="B11" s="2"/>
      <x:c r="C11" s="46"/>
      <x:c r="D11" s="11"/>
      <x:c r="E11" s="11"/>
      <x:c r="F11" s="12"/>
      <x:c r="G11" s="12"/>
      <x:c r="H11" s="11"/>
      <x:c r="I11" s="41" t="str">
        <x:f>IF(K11="Ready",E11*'Setup'!$E$18,"")</x:f>
      </x:c>
      <x:c r="J11" s="18" t="str">
        <x:f>IF(K11="Ready",G11-I11,"")</x:f>
      </x:c>
      <x:c r="K11" s="16" t="str">
        <x:f>IF(C11="","",IF(D11="Yes","Existing - excluded",IF(D11&lt;&gt;"No","Check overlap",IF(OR(NOT(ISNUMBER(E11)),E11&lt;=0),"Enter users",IF(NOT(ISNUMBER(G11)),"Enter subscription",IF(G11&lt;0,"Check cost",IF(AND(H11&lt;&gt;"Current",H11&lt;&gt;"Expected"),"Select cost basis",IF(AND(M11&lt;&gt;"Survey respondents",M11&lt;&gt;"Other departments"),"Select demand cohort",IF(COUNTIFS($C$9:$C$46,C11)&gt;1,"Duplicate entity","Ready")))))))))</x:f>
      </x:c>
      <x:c r="L11" s="28"/>
      <x:c r="M11" s="28"/>
    </x:row>
    <x:row r="12" ht="25" customHeight="1">
      <x:c r="A12" s="2"/>
      <x:c r="B12" s="2"/>
      <x:c r="C12" s="46"/>
      <x:c r="D12" s="11"/>
      <x:c r="E12" s="11"/>
      <x:c r="F12" s="12"/>
      <x:c r="G12" s="12"/>
      <x:c r="H12" s="11"/>
      <x:c r="I12" s="41" t="str">
        <x:f>IF(K12="Ready",E12*'Setup'!$E$18,"")</x:f>
      </x:c>
      <x:c r="J12" s="18" t="str">
        <x:f>IF(K12="Ready",G12-I12,"")</x:f>
      </x:c>
      <x:c r="K12" s="16" t="str">
        <x:f>IF(C12="","",IF(D12="Yes","Existing - excluded",IF(D12&lt;&gt;"No","Check overlap",IF(OR(NOT(ISNUMBER(E12)),E12&lt;=0),"Enter users",IF(NOT(ISNUMBER(G12)),"Enter subscription",IF(G12&lt;0,"Check cost",IF(AND(H12&lt;&gt;"Current",H12&lt;&gt;"Expected"),"Select cost basis",IF(AND(M12&lt;&gt;"Survey respondents",M12&lt;&gt;"Other departments"),"Select demand cohort",IF(COUNTIFS($C$9:$C$46,C12)&gt;1,"Duplicate entity","Ready")))))))))</x:f>
      </x:c>
      <x:c r="L12" s="28"/>
      <x:c r="M12" s="28"/>
    </x:row>
    <x:row r="13" ht="25" customHeight="1">
      <x:c r="A13" s="2"/>
      <x:c r="B13" s="2"/>
      <x:c r="C13" s="46"/>
      <x:c r="D13" s="11"/>
      <x:c r="E13" s="11"/>
      <x:c r="F13" s="12"/>
      <x:c r="G13" s="12"/>
      <x:c r="H13" s="11"/>
      <x:c r="I13" s="41" t="str">
        <x:f>IF(K13="Ready",E13*'Setup'!$E$18,"")</x:f>
      </x:c>
      <x:c r="J13" s="18" t="str">
        <x:f>IF(K13="Ready",G13-I13,"")</x:f>
      </x:c>
      <x:c r="K13" s="16" t="str">
        <x:f>IF(C13="","",IF(D13="Yes","Existing - excluded",IF(D13&lt;&gt;"No","Check overlap",IF(OR(NOT(ISNUMBER(E13)),E13&lt;=0),"Enter users",IF(NOT(ISNUMBER(G13)),"Enter subscription",IF(G13&lt;0,"Check cost",IF(AND(H13&lt;&gt;"Current",H13&lt;&gt;"Expected"),"Select cost basis",IF(AND(M13&lt;&gt;"Survey respondents",M13&lt;&gt;"Other departments"),"Select demand cohort",IF(COUNTIFS($C$9:$C$46,C13)&gt;1,"Duplicate entity","Ready")))))))))</x:f>
      </x:c>
      <x:c r="L13" s="28"/>
      <x:c r="M13" s="28"/>
    </x:row>
    <x:row r="14" ht="25" customHeight="1">
      <x:c r="A14" s="2"/>
      <x:c r="B14" s="2"/>
      <x:c r="C14" s="46"/>
      <x:c r="D14" s="11"/>
      <x:c r="E14" s="11"/>
      <x:c r="F14" s="12"/>
      <x:c r="G14" s="12"/>
      <x:c r="H14" s="11"/>
      <x:c r="I14" s="41" t="str">
        <x:f>IF(K14="Ready",E14*'Setup'!$E$18,"")</x:f>
      </x:c>
      <x:c r="J14" s="18" t="str">
        <x:f>IF(K14="Ready",G14-I14,"")</x:f>
      </x:c>
      <x:c r="K14" s="16" t="str">
        <x:f>IF(C14="","",IF(D14="Yes","Existing - excluded",IF(D14&lt;&gt;"No","Check overlap",IF(OR(NOT(ISNUMBER(E14)),E14&lt;=0),"Enter users",IF(NOT(ISNUMBER(G14)),"Enter subscription",IF(G14&lt;0,"Check cost",IF(AND(H14&lt;&gt;"Current",H14&lt;&gt;"Expected"),"Select cost basis",IF(AND(M14&lt;&gt;"Survey respondents",M14&lt;&gt;"Other departments"),"Select demand cohort",IF(COUNTIFS($C$9:$C$46,C14)&gt;1,"Duplicate entity","Ready")))))))))</x:f>
      </x:c>
      <x:c r="L14" s="28"/>
      <x:c r="M14" s="28"/>
    </x:row>
    <x:row r="15" ht="25" customHeight="1">
      <x:c r="A15" s="2"/>
      <x:c r="B15" s="2"/>
      <x:c r="C15" s="46"/>
      <x:c r="D15" s="11"/>
      <x:c r="E15" s="11"/>
      <x:c r="F15" s="12"/>
      <x:c r="G15" s="12"/>
      <x:c r="H15" s="11"/>
      <x:c r="I15" s="41" t="str">
        <x:f>IF(K15="Ready",E15*'Setup'!$E$18,"")</x:f>
      </x:c>
      <x:c r="J15" s="18" t="str">
        <x:f>IF(K15="Ready",G15-I15,"")</x:f>
      </x:c>
      <x:c r="K15" s="16" t="str">
        <x:f>IF(C15="","",IF(D15="Yes","Existing - excluded",IF(D15&lt;&gt;"No","Check overlap",IF(OR(NOT(ISNUMBER(E15)),E15&lt;=0),"Enter users",IF(NOT(ISNUMBER(G15)),"Enter subscription",IF(G15&lt;0,"Check cost",IF(AND(H15&lt;&gt;"Current",H15&lt;&gt;"Expected"),"Select cost basis",IF(AND(M15&lt;&gt;"Survey respondents",M15&lt;&gt;"Other departments"),"Select demand cohort",IF(COUNTIFS($C$9:$C$46,C15)&gt;1,"Duplicate entity","Ready")))))))))</x:f>
      </x:c>
      <x:c r="L15" s="28"/>
      <x:c r="M15" s="28"/>
    </x:row>
    <x:row r="16" ht="25" customHeight="1">
      <x:c r="A16" s="2"/>
      <x:c r="B16" s="2"/>
      <x:c r="C16" s="46"/>
      <x:c r="D16" s="11"/>
      <x:c r="E16" s="11"/>
      <x:c r="F16" s="12"/>
      <x:c r="G16" s="12"/>
      <x:c r="H16" s="11"/>
      <x:c r="I16" s="41" t="str">
        <x:f>IF(K16="Ready",E16*'Setup'!$E$18,"")</x:f>
      </x:c>
      <x:c r="J16" s="18" t="str">
        <x:f>IF(K16="Ready",G16-I16,"")</x:f>
      </x:c>
      <x:c r="K16" s="16" t="str">
        <x:f>IF(C16="","",IF(D16="Yes","Existing - excluded",IF(D16&lt;&gt;"No","Check overlap",IF(OR(NOT(ISNUMBER(E16)),E16&lt;=0),"Enter users",IF(NOT(ISNUMBER(G16)),"Enter subscription",IF(G16&lt;0,"Check cost",IF(AND(H16&lt;&gt;"Current",H16&lt;&gt;"Expected"),"Select cost basis",IF(AND(M16&lt;&gt;"Survey respondents",M16&lt;&gt;"Other departments"),"Select demand cohort",IF(COUNTIFS($C$9:$C$46,C16)&gt;1,"Duplicate entity","Ready")))))))))</x:f>
      </x:c>
      <x:c r="L16" s="28"/>
      <x:c r="M16" s="28"/>
    </x:row>
    <x:row r="17" ht="25" customHeight="1">
      <x:c r="A17" s="2"/>
      <x:c r="B17" s="2"/>
      <x:c r="C17" s="46"/>
      <x:c r="D17" s="11"/>
      <x:c r="E17" s="11"/>
      <x:c r="F17" s="12"/>
      <x:c r="G17" s="12"/>
      <x:c r="H17" s="11"/>
      <x:c r="I17" s="41" t="str">
        <x:f>IF(K17="Ready",E17*'Setup'!$E$18,"")</x:f>
      </x:c>
      <x:c r="J17" s="18" t="str">
        <x:f>IF(K17="Ready",G17-I17,"")</x:f>
      </x:c>
      <x:c r="K17" s="16" t="str">
        <x:f>IF(C17="","",IF(D17="Yes","Existing - excluded",IF(D17&lt;&gt;"No","Check overlap",IF(OR(NOT(ISNUMBER(E17)),E17&lt;=0),"Enter users",IF(NOT(ISNUMBER(G17)),"Enter subscription",IF(G17&lt;0,"Check cost",IF(AND(H17&lt;&gt;"Current",H17&lt;&gt;"Expected"),"Select cost basis",IF(AND(M17&lt;&gt;"Survey respondents",M17&lt;&gt;"Other departments"),"Select demand cohort",IF(COUNTIFS($C$9:$C$46,C17)&gt;1,"Duplicate entity","Ready")))))))))</x:f>
      </x:c>
      <x:c r="L17" s="28"/>
      <x:c r="M17" s="28"/>
    </x:row>
    <x:row r="18" ht="25" customHeight="1">
      <x:c r="A18" s="2"/>
      <x:c r="B18" s="2"/>
      <x:c r="C18" s="46"/>
      <x:c r="D18" s="11"/>
      <x:c r="E18" s="11"/>
      <x:c r="F18" s="12"/>
      <x:c r="G18" s="12"/>
      <x:c r="H18" s="11"/>
      <x:c r="I18" s="41" t="str">
        <x:f>IF(K18="Ready",E18*'Setup'!$E$18,"")</x:f>
      </x:c>
      <x:c r="J18" s="18" t="str">
        <x:f>IF(K18="Ready",G18-I18,"")</x:f>
      </x:c>
      <x:c r="K18" s="16" t="str">
        <x:f>IF(C18="","",IF(D18="Yes","Existing - excluded",IF(D18&lt;&gt;"No","Check overlap",IF(OR(NOT(ISNUMBER(E18)),E18&lt;=0),"Enter users",IF(NOT(ISNUMBER(G18)),"Enter subscription",IF(G18&lt;0,"Check cost",IF(AND(H18&lt;&gt;"Current",H18&lt;&gt;"Expected"),"Select cost basis",IF(AND(M18&lt;&gt;"Survey respondents",M18&lt;&gt;"Other departments"),"Select demand cohort",IF(COUNTIFS($C$9:$C$46,C18)&gt;1,"Duplicate entity","Ready")))))))))</x:f>
      </x:c>
      <x:c r="L18" s="28"/>
      <x:c r="M18" s="28"/>
    </x:row>
    <x:row r="19" ht="25" customHeight="1">
      <x:c r="A19" s="2"/>
      <x:c r="B19" s="2"/>
      <x:c r="C19" s="46"/>
      <x:c r="D19" s="11"/>
      <x:c r="E19" s="11"/>
      <x:c r="F19" s="12"/>
      <x:c r="G19" s="12"/>
      <x:c r="H19" s="11"/>
      <x:c r="I19" s="41" t="str">
        <x:f>IF(K19="Ready",E19*'Setup'!$E$18,"")</x:f>
      </x:c>
      <x:c r="J19" s="18" t="str">
        <x:f>IF(K19="Ready",G19-I19,"")</x:f>
      </x:c>
      <x:c r="K19" s="16" t="str">
        <x:f>IF(C19="","",IF(D19="Yes","Existing - excluded",IF(D19&lt;&gt;"No","Check overlap",IF(OR(NOT(ISNUMBER(E19)),E19&lt;=0),"Enter users",IF(NOT(ISNUMBER(G19)),"Enter subscription",IF(G19&lt;0,"Check cost",IF(AND(H19&lt;&gt;"Current",H19&lt;&gt;"Expected"),"Select cost basis",IF(AND(M19&lt;&gt;"Survey respondents",M19&lt;&gt;"Other departments"),"Select demand cohort",IF(COUNTIFS($C$9:$C$46,C19)&gt;1,"Duplicate entity","Ready")))))))))</x:f>
      </x:c>
      <x:c r="L19" s="28"/>
      <x:c r="M19" s="28"/>
    </x:row>
    <x:row r="20" ht="25" customHeight="1">
      <x:c r="A20" s="2"/>
      <x:c r="B20" s="2"/>
      <x:c r="C20" s="46"/>
      <x:c r="D20" s="11"/>
      <x:c r="E20" s="11"/>
      <x:c r="F20" s="12"/>
      <x:c r="G20" s="12"/>
      <x:c r="H20" s="11"/>
      <x:c r="I20" s="41" t="str">
        <x:f>IF(K20="Ready",E20*'Setup'!$E$18,"")</x:f>
      </x:c>
      <x:c r="J20" s="18" t="str">
        <x:f>IF(K20="Ready",G20-I20,"")</x:f>
      </x:c>
      <x:c r="K20" s="16" t="str">
        <x:f>IF(C20="","",IF(D20="Yes","Existing - excluded",IF(D20&lt;&gt;"No","Check overlap",IF(OR(NOT(ISNUMBER(E20)),E20&lt;=0),"Enter users",IF(NOT(ISNUMBER(G20)),"Enter subscription",IF(G20&lt;0,"Check cost",IF(AND(H20&lt;&gt;"Current",H20&lt;&gt;"Expected"),"Select cost basis",IF(AND(M20&lt;&gt;"Survey respondents",M20&lt;&gt;"Other departments"),"Select demand cohort",IF(COUNTIFS($C$9:$C$46,C20)&gt;1,"Duplicate entity","Ready")))))))))</x:f>
      </x:c>
      <x:c r="L20" s="28"/>
      <x:c r="M20" s="28"/>
    </x:row>
    <x:row r="21" ht="25" customHeight="1">
      <x:c r="A21" s="2"/>
      <x:c r="B21" s="2"/>
      <x:c r="C21" s="46"/>
      <x:c r="D21" s="11"/>
      <x:c r="E21" s="11"/>
      <x:c r="F21" s="12"/>
      <x:c r="G21" s="12"/>
      <x:c r="H21" s="11"/>
      <x:c r="I21" s="41" t="str">
        <x:f>IF(K21="Ready",E21*'Setup'!$E$18,"")</x:f>
      </x:c>
      <x:c r="J21" s="18" t="str">
        <x:f>IF(K21="Ready",G21-I21,"")</x:f>
      </x:c>
      <x:c r="K21" s="16" t="str">
        <x:f>IF(C21="","",IF(D21="Yes","Existing - excluded",IF(D21&lt;&gt;"No","Check overlap",IF(OR(NOT(ISNUMBER(E21)),E21&lt;=0),"Enter users",IF(NOT(ISNUMBER(G21)),"Enter subscription",IF(G21&lt;0,"Check cost",IF(AND(H21&lt;&gt;"Current",H21&lt;&gt;"Expected"),"Select cost basis",IF(AND(M21&lt;&gt;"Survey respondents",M21&lt;&gt;"Other departments"),"Select demand cohort",IF(COUNTIFS($C$9:$C$46,C21)&gt;1,"Duplicate entity","Ready")))))))))</x:f>
      </x:c>
      <x:c r="L21" s="28"/>
      <x:c r="M21" s="28"/>
    </x:row>
    <x:row r="22" ht="25" customHeight="1">
      <x:c r="A22" s="2"/>
      <x:c r="B22" s="2"/>
      <x:c r="C22" s="46"/>
      <x:c r="D22" s="11"/>
      <x:c r="E22" s="11"/>
      <x:c r="F22" s="12"/>
      <x:c r="G22" s="12"/>
      <x:c r="H22" s="11"/>
      <x:c r="I22" s="41" t="str">
        <x:f>IF(K22="Ready",E22*'Setup'!$E$18,"")</x:f>
      </x:c>
      <x:c r="J22" s="18" t="str">
        <x:f>IF(K22="Ready",G22-I22,"")</x:f>
      </x:c>
      <x:c r="K22" s="16" t="str">
        <x:f>IF(C22="","",IF(D22="Yes","Existing - excluded",IF(D22&lt;&gt;"No","Check overlap",IF(OR(NOT(ISNUMBER(E22)),E22&lt;=0),"Enter users",IF(NOT(ISNUMBER(G22)),"Enter subscription",IF(G22&lt;0,"Check cost",IF(AND(H22&lt;&gt;"Current",H22&lt;&gt;"Expected"),"Select cost basis",IF(AND(M22&lt;&gt;"Survey respondents",M22&lt;&gt;"Other departments"),"Select demand cohort",IF(COUNTIFS($C$9:$C$46,C22)&gt;1,"Duplicate entity","Ready")))))))))</x:f>
      </x:c>
      <x:c r="L22" s="28"/>
      <x:c r="M22" s="28"/>
    </x:row>
    <x:row r="23" ht="25" customHeight="1">
      <x:c r="A23" s="2"/>
      <x:c r="B23" s="2"/>
      <x:c r="C23" s="46"/>
      <x:c r="D23" s="11"/>
      <x:c r="E23" s="11"/>
      <x:c r="F23" s="12"/>
      <x:c r="G23" s="12"/>
      <x:c r="H23" s="11"/>
      <x:c r="I23" s="41" t="str">
        <x:f>IF(K23="Ready",E23*'Setup'!$E$18,"")</x:f>
      </x:c>
      <x:c r="J23" s="18" t="str">
        <x:f>IF(K23="Ready",G23-I23,"")</x:f>
      </x:c>
      <x:c r="K23" s="16" t="str">
        <x:f>IF(C23="","",IF(D23="Yes","Existing - excluded",IF(D23&lt;&gt;"No","Check overlap",IF(OR(NOT(ISNUMBER(E23)),E23&lt;=0),"Enter users",IF(NOT(ISNUMBER(G23)),"Enter subscription",IF(G23&lt;0,"Check cost",IF(AND(H23&lt;&gt;"Current",H23&lt;&gt;"Expected"),"Select cost basis",IF(AND(M23&lt;&gt;"Survey respondents",M23&lt;&gt;"Other departments"),"Select demand cohort",IF(COUNTIFS($C$9:$C$46,C23)&gt;1,"Duplicate entity","Ready")))))))))</x:f>
      </x:c>
      <x:c r="L23" s="28"/>
      <x:c r="M23" s="28"/>
    </x:row>
    <x:row r="24" ht="25" customHeight="1">
      <x:c r="A24" s="2"/>
      <x:c r="B24" s="2"/>
      <x:c r="C24" s="46"/>
      <x:c r="D24" s="11"/>
      <x:c r="E24" s="11"/>
      <x:c r="F24" s="12"/>
      <x:c r="G24" s="12"/>
      <x:c r="H24" s="11"/>
      <x:c r="I24" s="41" t="str">
        <x:f>IF(K24="Ready",E24*'Setup'!$E$18,"")</x:f>
      </x:c>
      <x:c r="J24" s="18" t="str">
        <x:f>IF(K24="Ready",G24-I24,"")</x:f>
      </x:c>
      <x:c r="K24" s="16" t="str">
        <x:f>IF(C24="","",IF(D24="Yes","Existing - excluded",IF(D24&lt;&gt;"No","Check overlap",IF(OR(NOT(ISNUMBER(E24)),E24&lt;=0),"Enter users",IF(NOT(ISNUMBER(G24)),"Enter subscription",IF(G24&lt;0,"Check cost",IF(AND(H24&lt;&gt;"Current",H24&lt;&gt;"Expected"),"Select cost basis",IF(AND(M24&lt;&gt;"Survey respondents",M24&lt;&gt;"Other departments"),"Select demand cohort",IF(COUNTIFS($C$9:$C$46,C24)&gt;1,"Duplicate entity","Ready")))))))))</x:f>
      </x:c>
      <x:c r="L24" s="28"/>
      <x:c r="M24" s="28"/>
    </x:row>
    <x:row r="25" ht="25" customHeight="1">
      <x:c r="A25" s="2"/>
      <x:c r="B25" s="2"/>
      <x:c r="C25" s="46"/>
      <x:c r="D25" s="11"/>
      <x:c r="E25" s="11"/>
      <x:c r="F25" s="12"/>
      <x:c r="G25" s="12"/>
      <x:c r="H25" s="11"/>
      <x:c r="I25" s="41" t="str">
        <x:f>IF(K25="Ready",E25*'Setup'!$E$18,"")</x:f>
      </x:c>
      <x:c r="J25" s="18" t="str">
        <x:f>IF(K25="Ready",G25-I25,"")</x:f>
      </x:c>
      <x:c r="K25" s="16" t="str">
        <x:f>IF(C25="","",IF(D25="Yes","Existing - excluded",IF(D25&lt;&gt;"No","Check overlap",IF(OR(NOT(ISNUMBER(E25)),E25&lt;=0),"Enter users",IF(NOT(ISNUMBER(G25)),"Enter subscription",IF(G25&lt;0,"Check cost",IF(AND(H25&lt;&gt;"Current",H25&lt;&gt;"Expected"),"Select cost basis",IF(AND(M25&lt;&gt;"Survey respondents",M25&lt;&gt;"Other departments"),"Select demand cohort",IF(COUNTIFS($C$9:$C$46,C25)&gt;1,"Duplicate entity","Ready")))))))))</x:f>
      </x:c>
      <x:c r="L25" s="28"/>
      <x:c r="M25" s="28"/>
    </x:row>
    <x:row r="26" ht="25" customHeight="1">
      <x:c r="A26" s="2"/>
      <x:c r="B26" s="2"/>
      <x:c r="C26" s="46"/>
      <x:c r="D26" s="11"/>
      <x:c r="E26" s="11"/>
      <x:c r="F26" s="12"/>
      <x:c r="G26" s="12"/>
      <x:c r="H26" s="11"/>
      <x:c r="I26" s="41" t="str">
        <x:f>IF(K26="Ready",E26*'Setup'!$E$18,"")</x:f>
      </x:c>
      <x:c r="J26" s="18" t="str">
        <x:f>IF(K26="Ready",G26-I26,"")</x:f>
      </x:c>
      <x:c r="K26" s="16" t="str">
        <x:f>IF(C26="","",IF(D26="Yes","Existing - excluded",IF(D26&lt;&gt;"No","Check overlap",IF(OR(NOT(ISNUMBER(E26)),E26&lt;=0),"Enter users",IF(NOT(ISNUMBER(G26)),"Enter subscription",IF(G26&lt;0,"Check cost",IF(AND(H26&lt;&gt;"Current",H26&lt;&gt;"Expected"),"Select cost basis",IF(AND(M26&lt;&gt;"Survey respondents",M26&lt;&gt;"Other departments"),"Select demand cohort",IF(COUNTIFS($C$9:$C$46,C26)&gt;1,"Duplicate entity","Ready")))))))))</x:f>
      </x:c>
      <x:c r="L26" s="28"/>
      <x:c r="M26" s="28"/>
    </x:row>
    <x:row r="27" ht="25" customHeight="1">
      <x:c r="A27" s="2"/>
      <x:c r="B27" s="2"/>
      <x:c r="C27" s="46"/>
      <x:c r="D27" s="11"/>
      <x:c r="E27" s="11"/>
      <x:c r="F27" s="12"/>
      <x:c r="G27" s="12"/>
      <x:c r="H27" s="11"/>
      <x:c r="I27" s="41" t="str">
        <x:f>IF(K27="Ready",E27*'Setup'!$E$18,"")</x:f>
      </x:c>
      <x:c r="J27" s="18" t="str">
        <x:f>IF(K27="Ready",G27-I27,"")</x:f>
      </x:c>
      <x:c r="K27" s="16" t="str">
        <x:f>IF(C27="","",IF(D27="Yes","Existing - excluded",IF(D27&lt;&gt;"No","Check overlap",IF(OR(NOT(ISNUMBER(E27)),E27&lt;=0),"Enter users",IF(NOT(ISNUMBER(G27)),"Enter subscription",IF(G27&lt;0,"Check cost",IF(AND(H27&lt;&gt;"Current",H27&lt;&gt;"Expected"),"Select cost basis",IF(AND(M27&lt;&gt;"Survey respondents",M27&lt;&gt;"Other departments"),"Select demand cohort",IF(COUNTIFS($C$9:$C$46,C27)&gt;1,"Duplicate entity","Ready")))))))))</x:f>
      </x:c>
      <x:c r="L27" s="28"/>
      <x:c r="M27" s="28"/>
    </x:row>
    <x:row r="28" ht="25" customHeight="1">
      <x:c r="A28" s="2"/>
      <x:c r="B28" s="2"/>
      <x:c r="C28" s="46"/>
      <x:c r="D28" s="11"/>
      <x:c r="E28" s="11"/>
      <x:c r="F28" s="12"/>
      <x:c r="G28" s="12"/>
      <x:c r="H28" s="11"/>
      <x:c r="I28" s="41" t="str">
        <x:f>IF(K28="Ready",E28*'Setup'!$E$18,"")</x:f>
      </x:c>
      <x:c r="J28" s="18" t="str">
        <x:f>IF(K28="Ready",G28-I28,"")</x:f>
      </x:c>
      <x:c r="K28" s="16" t="str">
        <x:f>IF(C28="","",IF(D28="Yes","Existing - excluded",IF(D28&lt;&gt;"No","Check overlap",IF(OR(NOT(ISNUMBER(E28)),E28&lt;=0),"Enter users",IF(NOT(ISNUMBER(G28)),"Enter subscription",IF(G28&lt;0,"Check cost",IF(AND(H28&lt;&gt;"Current",H28&lt;&gt;"Expected"),"Select cost basis",IF(AND(M28&lt;&gt;"Survey respondents",M28&lt;&gt;"Other departments"),"Select demand cohort",IF(COUNTIFS($C$9:$C$46,C28)&gt;1,"Duplicate entity","Ready")))))))))</x:f>
      </x:c>
      <x:c r="L28" s="28"/>
      <x:c r="M28" s="28"/>
    </x:row>
    <x:row r="29" ht="25" customHeight="1">
      <x:c r="A29" s="2"/>
      <x:c r="B29" s="2"/>
      <x:c r="C29" s="46"/>
      <x:c r="D29" s="11"/>
      <x:c r="E29" s="11"/>
      <x:c r="F29" s="12"/>
      <x:c r="G29" s="12"/>
      <x:c r="H29" s="11"/>
      <x:c r="I29" s="41" t="str">
        <x:f>IF(K29="Ready",E29*'Setup'!$E$18,"")</x:f>
      </x:c>
      <x:c r="J29" s="18" t="str">
        <x:f>IF(K29="Ready",G29-I29,"")</x:f>
      </x:c>
      <x:c r="K29" s="16" t="str">
        <x:f>IF(C29="","",IF(D29="Yes","Existing - excluded",IF(D29&lt;&gt;"No","Check overlap",IF(OR(NOT(ISNUMBER(E29)),E29&lt;=0),"Enter users",IF(NOT(ISNUMBER(G29)),"Enter subscription",IF(G29&lt;0,"Check cost",IF(AND(H29&lt;&gt;"Current",H29&lt;&gt;"Expected"),"Select cost basis",IF(AND(M29&lt;&gt;"Survey respondents",M29&lt;&gt;"Other departments"),"Select demand cohort",IF(COUNTIFS($C$9:$C$46,C29)&gt;1,"Duplicate entity","Ready")))))))))</x:f>
      </x:c>
      <x:c r="L29" s="28"/>
      <x:c r="M29" s="28"/>
    </x:row>
    <x:row r="30" ht="25" customHeight="1">
      <x:c r="A30" s="2"/>
      <x:c r="B30" s="2"/>
      <x:c r="C30" s="46"/>
      <x:c r="D30" s="11"/>
      <x:c r="E30" s="11"/>
      <x:c r="F30" s="12"/>
      <x:c r="G30" s="12"/>
      <x:c r="H30" s="11"/>
      <x:c r="I30" s="41" t="str">
        <x:f>IF(K30="Ready",E30*'Setup'!$E$18,"")</x:f>
      </x:c>
      <x:c r="J30" s="18" t="str">
        <x:f>IF(K30="Ready",G30-I30,"")</x:f>
      </x:c>
      <x:c r="K30" s="16" t="str">
        <x:f>IF(C30="","",IF(D30="Yes","Existing - excluded",IF(D30&lt;&gt;"No","Check overlap",IF(OR(NOT(ISNUMBER(E30)),E30&lt;=0),"Enter users",IF(NOT(ISNUMBER(G30)),"Enter subscription",IF(G30&lt;0,"Check cost",IF(AND(H30&lt;&gt;"Current",H30&lt;&gt;"Expected"),"Select cost basis",IF(AND(M30&lt;&gt;"Survey respondents",M30&lt;&gt;"Other departments"),"Select demand cohort",IF(COUNTIFS($C$9:$C$46,C30)&gt;1,"Duplicate entity","Ready")))))))))</x:f>
      </x:c>
      <x:c r="L30" s="28"/>
      <x:c r="M30" s="28"/>
    </x:row>
    <x:row r="31" ht="25" customHeight="1">
      <x:c r="A31" s="2"/>
      <x:c r="B31" s="2"/>
      <x:c r="C31" s="46"/>
      <x:c r="D31" s="11"/>
      <x:c r="E31" s="11"/>
      <x:c r="F31" s="12"/>
      <x:c r="G31" s="12"/>
      <x:c r="H31" s="11"/>
      <x:c r="I31" s="41" t="str">
        <x:f>IF(K31="Ready",E31*'Setup'!$E$18,"")</x:f>
      </x:c>
      <x:c r="J31" s="18" t="str">
        <x:f>IF(K31="Ready",G31-I31,"")</x:f>
      </x:c>
      <x:c r="K31" s="16" t="str">
        <x:f>IF(C31="","",IF(D31="Yes","Existing - excluded",IF(D31&lt;&gt;"No","Check overlap",IF(OR(NOT(ISNUMBER(E31)),E31&lt;=0),"Enter users",IF(NOT(ISNUMBER(G31)),"Enter subscription",IF(G31&lt;0,"Check cost",IF(AND(H31&lt;&gt;"Current",H31&lt;&gt;"Expected"),"Select cost basis",IF(AND(M31&lt;&gt;"Survey respondents",M31&lt;&gt;"Other departments"),"Select demand cohort",IF(COUNTIFS($C$9:$C$46,C31)&gt;1,"Duplicate entity","Ready")))))))))</x:f>
      </x:c>
      <x:c r="L31" s="28"/>
      <x:c r="M31" s="28"/>
    </x:row>
    <x:row r="32" ht="25" customHeight="1">
      <x:c r="A32" s="2"/>
      <x:c r="B32" s="2"/>
      <x:c r="C32" s="46"/>
      <x:c r="D32" s="11"/>
      <x:c r="E32" s="11"/>
      <x:c r="F32" s="12"/>
      <x:c r="G32" s="12"/>
      <x:c r="H32" s="11"/>
      <x:c r="I32" s="41" t="str">
        <x:f>IF(K32="Ready",E32*'Setup'!$E$18,"")</x:f>
      </x:c>
      <x:c r="J32" s="18" t="str">
        <x:f>IF(K32="Ready",G32-I32,"")</x:f>
      </x:c>
      <x:c r="K32" s="16" t="str">
        <x:f>IF(C32="","",IF(D32="Yes","Existing - excluded",IF(D32&lt;&gt;"No","Check overlap",IF(OR(NOT(ISNUMBER(E32)),E32&lt;=0),"Enter users",IF(NOT(ISNUMBER(G32)),"Enter subscription",IF(G32&lt;0,"Check cost",IF(AND(H32&lt;&gt;"Current",H32&lt;&gt;"Expected"),"Select cost basis",IF(AND(M32&lt;&gt;"Survey respondents",M32&lt;&gt;"Other departments"),"Select demand cohort",IF(COUNTIFS($C$9:$C$46,C32)&gt;1,"Duplicate entity","Ready")))))))))</x:f>
      </x:c>
      <x:c r="L32" s="28"/>
      <x:c r="M32" s="28"/>
    </x:row>
    <x:row r="33" ht="25" customHeight="1">
      <x:c r="A33" s="2"/>
      <x:c r="B33" s="2"/>
      <x:c r="C33" s="46"/>
      <x:c r="D33" s="11"/>
      <x:c r="E33" s="11"/>
      <x:c r="F33" s="12"/>
      <x:c r="G33" s="12"/>
      <x:c r="H33" s="11"/>
      <x:c r="I33" s="41" t="str">
        <x:f>IF(K33="Ready",E33*'Setup'!$E$18,"")</x:f>
      </x:c>
      <x:c r="J33" s="18" t="str">
        <x:f>IF(K33="Ready",G33-I33,"")</x:f>
      </x:c>
      <x:c r="K33" s="16" t="str">
        <x:f>IF(C33="","",IF(D33="Yes","Existing - excluded",IF(D33&lt;&gt;"No","Check overlap",IF(OR(NOT(ISNUMBER(E33)),E33&lt;=0),"Enter users",IF(NOT(ISNUMBER(G33)),"Enter subscription",IF(G33&lt;0,"Check cost",IF(AND(H33&lt;&gt;"Current",H33&lt;&gt;"Expected"),"Select cost basis",IF(AND(M33&lt;&gt;"Survey respondents",M33&lt;&gt;"Other departments"),"Select demand cohort",IF(COUNTIFS($C$9:$C$46,C33)&gt;1,"Duplicate entity","Ready")))))))))</x:f>
      </x:c>
      <x:c r="L33" s="28"/>
      <x:c r="M33" s="28"/>
    </x:row>
    <x:row r="34" ht="25" customHeight="1">
      <x:c r="A34" s="2"/>
      <x:c r="B34" s="2"/>
      <x:c r="C34" s="46"/>
      <x:c r="D34" s="11"/>
      <x:c r="E34" s="11"/>
      <x:c r="F34" s="12"/>
      <x:c r="G34" s="12"/>
      <x:c r="H34" s="11"/>
      <x:c r="I34" s="41" t="str">
        <x:f>IF(K34="Ready",E34*'Setup'!$E$18,"")</x:f>
      </x:c>
      <x:c r="J34" s="18" t="str">
        <x:f>IF(K34="Ready",G34-I34,"")</x:f>
      </x:c>
      <x:c r="K34" s="16" t="str">
        <x:f>IF(C34="","",IF(D34="Yes","Existing - excluded",IF(D34&lt;&gt;"No","Check overlap",IF(OR(NOT(ISNUMBER(E34)),E34&lt;=0),"Enter users",IF(NOT(ISNUMBER(G34)),"Enter subscription",IF(G34&lt;0,"Check cost",IF(AND(H34&lt;&gt;"Current",H34&lt;&gt;"Expected"),"Select cost basis",IF(AND(M34&lt;&gt;"Survey respondents",M34&lt;&gt;"Other departments"),"Select demand cohort",IF(COUNTIFS($C$9:$C$46,C34)&gt;1,"Duplicate entity","Ready")))))))))</x:f>
      </x:c>
      <x:c r="L34" s="28"/>
      <x:c r="M34" s="28"/>
    </x:row>
    <x:row r="35" ht="25" customHeight="1">
      <x:c r="A35" s="2"/>
      <x:c r="B35" s="2"/>
      <x:c r="C35" s="46"/>
      <x:c r="D35" s="11"/>
      <x:c r="E35" s="11"/>
      <x:c r="F35" s="12"/>
      <x:c r="G35" s="12"/>
      <x:c r="H35" s="11"/>
      <x:c r="I35" s="41" t="str">
        <x:f>IF(K35="Ready",E35*'Setup'!$E$18,"")</x:f>
      </x:c>
      <x:c r="J35" s="18" t="str">
        <x:f>IF(K35="Ready",G35-I35,"")</x:f>
      </x:c>
      <x:c r="K35" s="16" t="str">
        <x:f>IF(C35="","",IF(D35="Yes","Existing - excluded",IF(D35&lt;&gt;"No","Check overlap",IF(OR(NOT(ISNUMBER(E35)),E35&lt;=0),"Enter users",IF(NOT(ISNUMBER(G35)),"Enter subscription",IF(G35&lt;0,"Check cost",IF(AND(H35&lt;&gt;"Current",H35&lt;&gt;"Expected"),"Select cost basis",IF(AND(M35&lt;&gt;"Survey respondents",M35&lt;&gt;"Other departments"),"Select demand cohort",IF(COUNTIFS($C$9:$C$46,C35)&gt;1,"Duplicate entity","Ready")))))))))</x:f>
      </x:c>
      <x:c r="L35" s="28"/>
      <x:c r="M35" s="28"/>
    </x:row>
    <x:row r="36" ht="25" customHeight="1">
      <x:c r="A36" s="2"/>
      <x:c r="B36" s="2"/>
      <x:c r="C36" s="46"/>
      <x:c r="D36" s="11"/>
      <x:c r="E36" s="11"/>
      <x:c r="F36" s="12"/>
      <x:c r="G36" s="12"/>
      <x:c r="H36" s="11"/>
      <x:c r="I36" s="41" t="str">
        <x:f>IF(K36="Ready",E36*'Setup'!$E$18,"")</x:f>
      </x:c>
      <x:c r="J36" s="18" t="str">
        <x:f>IF(K36="Ready",G36-I36,"")</x:f>
      </x:c>
      <x:c r="K36" s="16" t="str">
        <x:f>IF(C36="","",IF(D36="Yes","Existing - excluded",IF(D36&lt;&gt;"No","Check overlap",IF(OR(NOT(ISNUMBER(E36)),E36&lt;=0),"Enter users",IF(NOT(ISNUMBER(G36)),"Enter subscription",IF(G36&lt;0,"Check cost",IF(AND(H36&lt;&gt;"Current",H36&lt;&gt;"Expected"),"Select cost basis",IF(AND(M36&lt;&gt;"Survey respondents",M36&lt;&gt;"Other departments"),"Select demand cohort",IF(COUNTIFS($C$9:$C$46,C36)&gt;1,"Duplicate entity","Ready")))))))))</x:f>
      </x:c>
      <x:c r="L36" s="28"/>
      <x:c r="M36" s="28"/>
    </x:row>
    <x:row r="37" ht="25" customHeight="1">
      <x:c r="A37" s="2"/>
      <x:c r="B37" s="2"/>
      <x:c r="C37" s="46"/>
      <x:c r="D37" s="11"/>
      <x:c r="E37" s="11"/>
      <x:c r="F37" s="12"/>
      <x:c r="G37" s="12"/>
      <x:c r="H37" s="11"/>
      <x:c r="I37" s="41" t="str">
        <x:f>IF(K37="Ready",E37*'Setup'!$E$18,"")</x:f>
      </x:c>
      <x:c r="J37" s="18" t="str">
        <x:f>IF(K37="Ready",G37-I37,"")</x:f>
      </x:c>
      <x:c r="K37" s="16" t="str">
        <x:f>IF(C37="","",IF(D37="Yes","Existing - excluded",IF(D37&lt;&gt;"No","Check overlap",IF(OR(NOT(ISNUMBER(E37)),E37&lt;=0),"Enter users",IF(NOT(ISNUMBER(G37)),"Enter subscription",IF(G37&lt;0,"Check cost",IF(AND(H37&lt;&gt;"Current",H37&lt;&gt;"Expected"),"Select cost basis",IF(AND(M37&lt;&gt;"Survey respondents",M37&lt;&gt;"Other departments"),"Select demand cohort",IF(COUNTIFS($C$9:$C$46,C37)&gt;1,"Duplicate entity","Ready")))))))))</x:f>
      </x:c>
      <x:c r="L37" s="28"/>
      <x:c r="M37" s="28"/>
    </x:row>
    <x:row r="38" ht="25" customHeight="1">
      <x:c r="A38" s="2"/>
      <x:c r="B38" s="2"/>
      <x:c r="C38" s="46"/>
      <x:c r="D38" s="11"/>
      <x:c r="E38" s="11"/>
      <x:c r="F38" s="12"/>
      <x:c r="G38" s="12"/>
      <x:c r="H38" s="11"/>
      <x:c r="I38" s="41" t="str">
        <x:f>IF(K38="Ready",E38*'Setup'!$E$18,"")</x:f>
      </x:c>
      <x:c r="J38" s="18" t="str">
        <x:f>IF(K38="Ready",G38-I38,"")</x:f>
      </x:c>
      <x:c r="K38" s="16" t="str">
        <x:f>IF(C38="","",IF(D38="Yes","Existing - excluded",IF(D38&lt;&gt;"No","Check overlap",IF(OR(NOT(ISNUMBER(E38)),E38&lt;=0),"Enter users",IF(NOT(ISNUMBER(G38)),"Enter subscription",IF(G38&lt;0,"Check cost",IF(AND(H38&lt;&gt;"Current",H38&lt;&gt;"Expected"),"Select cost basis",IF(AND(M38&lt;&gt;"Survey respondents",M38&lt;&gt;"Other departments"),"Select demand cohort",IF(COUNTIFS($C$9:$C$46,C38)&gt;1,"Duplicate entity","Ready")))))))))</x:f>
      </x:c>
      <x:c r="L38" s="28"/>
      <x:c r="M38" s="28"/>
    </x:row>
    <x:row r="39" ht="25" customHeight="1">
      <x:c r="A39" s="2"/>
      <x:c r="B39" s="2"/>
      <x:c r="C39" s="46"/>
      <x:c r="D39" s="11"/>
      <x:c r="E39" s="11"/>
      <x:c r="F39" s="12"/>
      <x:c r="G39" s="12"/>
      <x:c r="H39" s="11"/>
      <x:c r="I39" s="41" t="str">
        <x:f>IF(K39="Ready",E39*'Setup'!$E$18,"")</x:f>
      </x:c>
      <x:c r="J39" s="18" t="str">
        <x:f>IF(K39="Ready",G39-I39,"")</x:f>
      </x:c>
      <x:c r="K39" s="16" t="str">
        <x:f>IF(C39="","",IF(D39="Yes","Existing - excluded",IF(D39&lt;&gt;"No","Check overlap",IF(OR(NOT(ISNUMBER(E39)),E39&lt;=0),"Enter users",IF(NOT(ISNUMBER(G39)),"Enter subscription",IF(G39&lt;0,"Check cost",IF(AND(H39&lt;&gt;"Current",H39&lt;&gt;"Expected"),"Select cost basis",IF(AND(M39&lt;&gt;"Survey respondents",M39&lt;&gt;"Other departments"),"Select demand cohort",IF(COUNTIFS($C$9:$C$46,C39)&gt;1,"Duplicate entity","Ready")))))))))</x:f>
      </x:c>
      <x:c r="L39" s="28"/>
      <x:c r="M39" s="28"/>
    </x:row>
    <x:row r="40" ht="25" customHeight="1">
      <x:c r="A40" s="2"/>
      <x:c r="B40" s="2"/>
      <x:c r="C40" s="46"/>
      <x:c r="D40" s="11"/>
      <x:c r="E40" s="11"/>
      <x:c r="F40" s="12"/>
      <x:c r="G40" s="12"/>
      <x:c r="H40" s="11"/>
      <x:c r="I40" s="41" t="str">
        <x:f>IF(K40="Ready",E40*'Setup'!$E$18,"")</x:f>
      </x:c>
      <x:c r="J40" s="18" t="str">
        <x:f>IF(K40="Ready",G40-I40,"")</x:f>
      </x:c>
      <x:c r="K40" s="16" t="str">
        <x:f>IF(C40="","",IF(D40="Yes","Existing - excluded",IF(D40&lt;&gt;"No","Check overlap",IF(OR(NOT(ISNUMBER(E40)),E40&lt;=0),"Enter users",IF(NOT(ISNUMBER(G40)),"Enter subscription",IF(G40&lt;0,"Check cost",IF(AND(H40&lt;&gt;"Current",H40&lt;&gt;"Expected"),"Select cost basis",IF(AND(M40&lt;&gt;"Survey respondents",M40&lt;&gt;"Other departments"),"Select demand cohort",IF(COUNTIFS($C$9:$C$46,C40)&gt;1,"Duplicate entity","Ready")))))))))</x:f>
      </x:c>
      <x:c r="L40" s="28"/>
      <x:c r="M40" s="28"/>
    </x:row>
    <x:row r="41" ht="25" customHeight="1">
      <x:c r="A41" s="2"/>
      <x:c r="B41" s="2"/>
      <x:c r="C41" s="46"/>
      <x:c r="D41" s="11"/>
      <x:c r="E41" s="11"/>
      <x:c r="F41" s="12"/>
      <x:c r="G41" s="12"/>
      <x:c r="H41" s="11"/>
      <x:c r="I41" s="41" t="str">
        <x:f>IF(K41="Ready",E41*'Setup'!$E$18,"")</x:f>
      </x:c>
      <x:c r="J41" s="18" t="str">
        <x:f>IF(K41="Ready",G41-I41,"")</x:f>
      </x:c>
      <x:c r="K41" s="16" t="str">
        <x:f>IF(C41="","",IF(D41="Yes","Existing - excluded",IF(D41&lt;&gt;"No","Check overlap",IF(OR(NOT(ISNUMBER(E41)),E41&lt;=0),"Enter users",IF(NOT(ISNUMBER(G41)),"Enter subscription",IF(G41&lt;0,"Check cost",IF(AND(H41&lt;&gt;"Current",H41&lt;&gt;"Expected"),"Select cost basis",IF(AND(M41&lt;&gt;"Survey respondents",M41&lt;&gt;"Other departments"),"Select demand cohort",IF(COUNTIFS($C$9:$C$46,C41)&gt;1,"Duplicate entity","Ready")))))))))</x:f>
      </x:c>
      <x:c r="L41" s="28"/>
      <x:c r="M41" s="28"/>
    </x:row>
    <x:row r="42" ht="25" customHeight="1">
      <x:c r="A42" s="2"/>
      <x:c r="B42" s="2"/>
      <x:c r="C42" s="46"/>
      <x:c r="D42" s="11"/>
      <x:c r="E42" s="11"/>
      <x:c r="F42" s="12"/>
      <x:c r="G42" s="12"/>
      <x:c r="H42" s="11"/>
      <x:c r="I42" s="41" t="str">
        <x:f>IF(K42="Ready",E42*'Setup'!$E$18,"")</x:f>
      </x:c>
      <x:c r="J42" s="18" t="str">
        <x:f>IF(K42="Ready",G42-I42,"")</x:f>
      </x:c>
      <x:c r="K42" s="16" t="str">
        <x:f>IF(C42="","",IF(D42="Yes","Existing - excluded",IF(D42&lt;&gt;"No","Check overlap",IF(OR(NOT(ISNUMBER(E42)),E42&lt;=0),"Enter users",IF(NOT(ISNUMBER(G42)),"Enter subscription",IF(G42&lt;0,"Check cost",IF(AND(H42&lt;&gt;"Current",H42&lt;&gt;"Expected"),"Select cost basis",IF(AND(M42&lt;&gt;"Survey respondents",M42&lt;&gt;"Other departments"),"Select demand cohort",IF(COUNTIFS($C$9:$C$46,C42)&gt;1,"Duplicate entity","Ready")))))))))</x:f>
      </x:c>
      <x:c r="L42" s="28"/>
      <x:c r="M42" s="28"/>
    </x:row>
    <x:row r="43" ht="25" customHeight="1">
      <x:c r="A43" s="2"/>
      <x:c r="B43" s="2"/>
      <x:c r="C43" s="46"/>
      <x:c r="D43" s="11"/>
      <x:c r="E43" s="11"/>
      <x:c r="F43" s="12"/>
      <x:c r="G43" s="12"/>
      <x:c r="H43" s="11"/>
      <x:c r="I43" s="41" t="str">
        <x:f>IF(K43="Ready",E43*'Setup'!$E$18,"")</x:f>
      </x:c>
      <x:c r="J43" s="18" t="str">
        <x:f>IF(K43="Ready",G43-I43,"")</x:f>
      </x:c>
      <x:c r="K43" s="16" t="str">
        <x:f>IF(C43="","",IF(D43="Yes","Existing - excluded",IF(D43&lt;&gt;"No","Check overlap",IF(OR(NOT(ISNUMBER(E43)),E43&lt;=0),"Enter users",IF(NOT(ISNUMBER(G43)),"Enter subscription",IF(G43&lt;0,"Check cost",IF(AND(H43&lt;&gt;"Current",H43&lt;&gt;"Expected"),"Select cost basis",IF(AND(M43&lt;&gt;"Survey respondents",M43&lt;&gt;"Other departments"),"Select demand cohort",IF(COUNTIFS($C$9:$C$46,C43)&gt;1,"Duplicate entity","Ready")))))))))</x:f>
      </x:c>
      <x:c r="L43" s="28"/>
      <x:c r="M43" s="28"/>
    </x:row>
    <x:row r="44" ht="25" customHeight="1">
      <x:c r="A44" s="2"/>
      <x:c r="B44" s="2"/>
      <x:c r="C44" s="46"/>
      <x:c r="D44" s="11"/>
      <x:c r="E44" s="11"/>
      <x:c r="F44" s="12"/>
      <x:c r="G44" s="12"/>
      <x:c r="H44" s="11"/>
      <x:c r="I44" s="41" t="str">
        <x:f>IF(K44="Ready",E44*'Setup'!$E$18,"")</x:f>
      </x:c>
      <x:c r="J44" s="18" t="str">
        <x:f>IF(K44="Ready",G44-I44,"")</x:f>
      </x:c>
      <x:c r="K44" s="16" t="str">
        <x:f>IF(C44="","",IF(D44="Yes","Existing - excluded",IF(D44&lt;&gt;"No","Check overlap",IF(OR(NOT(ISNUMBER(E44)),E44&lt;=0),"Enter users",IF(NOT(ISNUMBER(G44)),"Enter subscription",IF(G44&lt;0,"Check cost",IF(AND(H44&lt;&gt;"Current",H44&lt;&gt;"Expected"),"Select cost basis",IF(AND(M44&lt;&gt;"Survey respondents",M44&lt;&gt;"Other departments"),"Select demand cohort",IF(COUNTIFS($C$9:$C$46,C44)&gt;1,"Duplicate entity","Ready")))))))))</x:f>
      </x:c>
      <x:c r="L44" s="28"/>
      <x:c r="M44" s="28"/>
    </x:row>
    <x:row r="45" ht="25" customHeight="1">
      <x:c r="A45" s="2"/>
      <x:c r="B45" s="2"/>
      <x:c r="C45" s="46"/>
      <x:c r="D45" s="11"/>
      <x:c r="E45" s="11"/>
      <x:c r="F45" s="12"/>
      <x:c r="G45" s="12"/>
      <x:c r="H45" s="11"/>
      <x:c r="I45" s="41" t="str">
        <x:f>IF(K45="Ready",E45*'Setup'!$E$18,"")</x:f>
      </x:c>
      <x:c r="J45" s="18" t="str">
        <x:f>IF(K45="Ready",G45-I45,"")</x:f>
      </x:c>
      <x:c r="K45" s="16" t="str">
        <x:f>IF(C45="","",IF(D45="Yes","Existing - excluded",IF(D45&lt;&gt;"No","Check overlap",IF(OR(NOT(ISNUMBER(E45)),E45&lt;=0),"Enter users",IF(NOT(ISNUMBER(G45)),"Enter subscription",IF(G45&lt;0,"Check cost",IF(AND(H45&lt;&gt;"Current",H45&lt;&gt;"Expected"),"Select cost basis",IF(AND(M45&lt;&gt;"Survey respondents",M45&lt;&gt;"Other departments"),"Select demand cohort",IF(COUNTIFS($C$9:$C$46,C45)&gt;1,"Duplicate entity","Ready")))))))))</x:f>
      </x:c>
      <x:c r="L45" s="28"/>
      <x:c r="M45" s="28"/>
    </x:row>
    <x:row r="46" ht="25" customHeight="1">
      <x:c r="A46" s="2"/>
      <x:c r="B46" s="2"/>
      <x:c r="C46" s="46"/>
      <x:c r="D46" s="11"/>
      <x:c r="E46" s="11"/>
      <x:c r="F46" s="12"/>
      <x:c r="G46" s="12"/>
      <x:c r="H46" s="11"/>
      <x:c r="I46" s="41" t="str">
        <x:f>IF(K46="Ready",E46*'Setup'!$E$18,"")</x:f>
      </x:c>
      <x:c r="J46" s="18" t="str">
        <x:f>IF(K46="Ready",G46-I46,"")</x:f>
      </x:c>
      <x:c r="K46" s="16" t="str">
        <x:f>IF(C46="","",IF(D46="Yes","Existing - excluded",IF(D46&lt;&gt;"No","Check overlap",IF(OR(NOT(ISNUMBER(E46)),E46&lt;=0),"Enter users",IF(NOT(ISNUMBER(G46)),"Enter subscription",IF(G46&lt;0,"Check cost",IF(AND(H46&lt;&gt;"Current",H46&lt;&gt;"Expected"),"Select cost basis",IF(AND(M46&lt;&gt;"Survey respondents",M46&lt;&gt;"Other departments"),"Select demand cohort",IF(COUNTIFS($C$9:$C$46,C46)&gt;1,"Duplicate entity","Ready")))))))))</x:f>
      </x:c>
      <x:c r="L46" s="28"/>
      <x:c r="M46" s="28"/>
    </x:row>
    <x:row r="47" ht="25" customHeight="1">
      <x:c r="A47" s="2"/>
      <x:c r="B47" s="2"/>
      <x:c r="C47" s="2"/>
      <x:c r="D47" s="3"/>
      <x:c r="E47" s="3"/>
      <x:c r="F47" s="3"/>
      <x:c r="G47" s="3"/>
      <x:c r="H47" s="3"/>
      <x:c r="I47" s="3"/>
      <x:c r="J47" s="3"/>
      <x:c r="K47" s="3"/>
      <x:c r="L47" s="3"/>
      <x:c r="M47" s="3"/>
    </x:row>
    <x:row r="48" ht="25" customHeight="1">
      <x:c r="A48" s="2"/>
      <x:c r="B48" s="2"/>
      <x:c r="C48" s="2"/>
      <x:c r="D48" s="3"/>
      <x:c r="E48" s="3"/>
      <x:c r="F48" s="3"/>
      <x:c r="G48" s="3"/>
      <x:c r="H48" s="3"/>
      <x:c r="I48" s="3"/>
      <x:c r="J48" s="3"/>
      <x:c r="K48" s="3"/>
      <x:c r="L48" s="3"/>
      <x:c r="M48" s="3"/>
    </x:row>
    <x:row r="49" ht="25" customHeight="1">
      <x:c r="A49" s="2"/>
      <x:c r="B49" s="2"/>
      <x:c r="C49" s="19" t="str">
        <x:v>Keep reported system costs in column F. Enter column G only when the comparable subscription component is known.</x:v>
      </x:c>
      <x:c r="D49" s="3"/>
      <x:c r="E49" s="3"/>
      <x:c r="F49" s="3"/>
      <x:c r="G49" s="3"/>
      <x:c r="H49" s="3"/>
      <x:c r="I49" s="3"/>
      <x:c r="J49" s="3"/>
      <x:c r="K49" s="3"/>
      <x:c r="L49" s="3"/>
      <x:c r="M49" s="3"/>
    </x:row>
    <x:row r="50" ht="25" customHeight="1">
      <x:c r="A50" s="2"/>
      <x:c r="B50" s="2"/>
      <x:c r="C50" s="19" t="str">
        <x:v>Do not treat support-inclusive costs as subscriptions. Unknown or incomplete rows remain outside savings totals.</x:v>
      </x:c>
      <x:c r="D50" s="3"/>
      <x:c r="E50" s="3"/>
      <x:c r="F50" s="3"/>
      <x:c r="G50" s="3"/>
      <x:c r="H50" s="3"/>
      <x:c r="I50" s="3"/>
      <x:c r="J50" s="3"/>
      <x:c r="K50" s="3"/>
      <x:c r="L50" s="3"/>
      <x:c r="M50" s="3"/>
    </x:row>
    <x:row r="51" ht="25" customHeight="1">
      <x:c r="A51" s="2"/>
      <x:c r="B51" s="2"/>
      <x:c r="C51" s="19" t="str">
        <x:v>Expected costs are forecasts, not actual spend. Both are identified in the Survey summary.</x:v>
      </x:c>
      <x:c r="D51" s="3"/>
      <x:c r="E51" s="3"/>
      <x:c r="F51" s="3"/>
      <x:c r="G51" s="3"/>
      <x:c r="H51" s="3"/>
      <x:c r="I51" s="3"/>
      <x:c r="J51" s="3"/>
      <x:c r="K51" s="3"/>
      <x:c r="L51" s="3"/>
      <x:c r="M51" s="3"/>
    </x:row>
    <x:row r="52" ht="25" customHeight="1">
      <x:c r="A52" s="2"/>
      <x:c r="B52" s="2"/>
      <x:c r="C52" s="19" t="str">
        <x:v>Respondent-level data is pending from the user. Blank cells are missing inputs, not zero-cost customers.</x:v>
      </x:c>
      <x:c r="D52" s="3"/>
      <x:c r="E52" s="3"/>
      <x:c r="F52" s="3"/>
      <x:c r="G52" s="3"/>
      <x:c r="H52" s="3"/>
      <x:c r="I52" s="3"/>
      <x:c r="J52" s="3"/>
      <x:c r="K52" s="3"/>
      <x:c r="L52" s="3"/>
      <x:c r="M52" s="3"/>
    </x:row>
    <x:row r="53" ht="25" customHeight="1">
      <x:c r="A53" s="2"/>
      <x:c r="B53" s="2"/>
      <x:c r="C53" s="19" t="str">
        <x:v>Demand cohort assigns each matched row once to the adoption plan. Cost basis separately identifies actual or expected costs.</x:v>
      </x:c>
      <x:c r="D53" s="3"/>
      <x:c r="E53" s="3"/>
      <x:c r="F53" s="3"/>
      <x:c r="G53" s="3"/>
      <x:c r="H53" s="3"/>
      <x:c r="I53" s="3"/>
      <x:c r="J53" s="3"/>
      <x:c r="K53" s="3"/>
      <x:c r="L53" s="3"/>
      <x:c r="M53" s="3"/>
    </x:row>
    <x:row r="54" ht="25" customHeight="1">
      <x:c r="A54" s="2"/>
      <x:c r="B54" s="2"/>
      <x:c r="C54" s="2"/>
      <x:c r="D54" s="3"/>
      <x:c r="E54" s="3"/>
      <x:c r="F54" s="3"/>
      <x:c r="G54" s="3"/>
      <x:c r="H54" s="3"/>
      <x:c r="I54" s="3"/>
      <x:c r="J54" s="3"/>
      <x:c r="K54" s="3"/>
      <x:c r="L54" s="3"/>
      <x:c r="M54" s="3"/>
    </x:row>
    <x:row r="55" ht="25" customHeight="1">
      <x:c r="A55" s="2"/>
      <x:c r="B55" s="2"/>
      <x:c r="C55" s="2"/>
      <x:c r="D55" s="3"/>
      <x:c r="E55" s="3"/>
      <x:c r="F55" s="3"/>
      <x:c r="G55" s="3"/>
      <x:c r="H55" s="3"/>
      <x:c r="I55" s="3"/>
      <x:c r="J55" s="3"/>
      <x:c r="K55" s="3"/>
      <x:c r="L55" s="3"/>
      <x:c r="M55" s="3"/>
    </x:row>
    <x:row r="56" ht="25" customHeight="1">
      <x:c r="A56" s="2"/>
      <x:c r="B56" s="2"/>
      <x:c r="C56" s="2"/>
      <x:c r="D56" s="3"/>
      <x:c r="E56" s="3"/>
      <x:c r="F56" s="3"/>
      <x:c r="G56" s="3"/>
      <x:c r="H56" s="3"/>
      <x:c r="I56" s="3"/>
      <x:c r="J56" s="3"/>
      <x:c r="K56" s="3"/>
      <x:c r="L56" s="3"/>
      <x:c r="M56" s="3"/>
    </x:row>
  </x:sheetData>
  <x:conditionalFormatting sqref="J9:J46">
    <x:cfRule type="cellIs" dxfId="2" priority="1" operator="lessThan">
      <x:formula>0</x:formula>
    </x:cfRule>
  </x:conditionalFormatting>
  <x:conditionalFormatting sqref="K9:K46">
    <x:cfRule type="containsText" dxfId="3" priority="2" operator="containsText" text="Duplicate"/>
  </x:conditionalFormatting>
  <x:dataValidations count="4">
    <x:dataValidation type="list" sqref="D9:D46">
      <x:formula1>"Yes,No,Unknown"</x:formula1>
    </x:dataValidation>
    <x:dataValidation type="list" sqref="H9:H46">
      <x:formula1>"Current,Expected"</x:formula1>
    </x:dataValidation>
    <x:dataValidation type="list" sqref="M9:M46">
      <x:formula1>"Survey respondents,Other departments"</x:formula1>
    </x:dataValidation>
    <x:dataValidation type="whole" operator="greaterThanOrEqual" sqref="E9:E46">
      <x:formula1>1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3" hidden="0" customWidth="1"/>
    <x:col min="4" max="4" width="72" hidden="0" customWidth="1"/>
    <x:col min="5" max="5" width="38" hidden="0" customWidth="1"/>
    <x:col min="6" max="6" width="19" hidden="0" customWidth="1"/>
  </x:cols>
  <x:sheetData>
    <x:row r="1" ht="25" customHeight="1">
      <x:c r="A1" s="2"/>
      <x:c r="B1" s="2"/>
      <x:c r="C1" s="2"/>
      <x:c r="D1" s="3"/>
      <x:c r="E1" s="3"/>
      <x:c r="F1" s="3"/>
    </x:row>
    <x:row r="2" ht="25" customHeight="1">
      <x:c r="A2" s="2"/>
      <x:c r="B2" s="2"/>
      <x:c r="C2" s="4" t="str">
        <x:v>Potential entities — supplied source list</x:v>
      </x:c>
      <x:c r="D2" s="3"/>
      <x:c r="E2" s="3"/>
      <x:c r="F2" s="3"/>
    </x:row>
    <x:row r="3" ht="25" customHeight="1">
      <x:c r="A3" s="2"/>
      <x:c r="B3" s="2"/>
      <x:c r="C3" s="5"/>
      <x:c r="D3" s="6"/>
      <x:c r="E3" s="6"/>
      <x:c r="F3" s="6"/>
      <x:c r="G3" s="9"/>
      <x:c r="H3" s="9"/>
    </x:row>
    <x:row r="4" ht="25" customHeight="1">
      <x:c r="A4" s="2"/>
      <x:c r="B4" s="2"/>
      <x:c r="C4" s="2" t="str">
        <x:v>Annual commitment selected</x:v>
      </x:c>
      <x:c r="D4" s="3"/>
      <x:c r="E4" s="8" t="n">
        <x:f>'Setup'!E5</x:f>
        <x:v>8000</x:v>
      </x:c>
      <x:c r="F4" s="3"/>
    </x:row>
    <x:row r="5" ht="25" customHeight="1">
      <x:c r="A5" s="2"/>
      <x:c r="B5" s="2"/>
      <x:c r="C5" s="2"/>
      <x:c r="D5" s="3"/>
      <x:c r="E5" s="3"/>
      <x:c r="F5" s="3"/>
    </x:row>
    <x:row r="6" ht="25" customHeight="1">
      <x:c r="A6" s="2"/>
      <x:c r="B6" s="2"/>
      <x:c r="C6" s="19" t="str">
        <x:v>Original source: dda departments, columns A:B only. Entity #92 added from user instruction, V2-S12.</x:v>
      </x:c>
      <x:c r="D6" s="3"/>
      <x:c r="E6" s="3"/>
      <x:c r="F6" s="3"/>
    </x:row>
    <x:row r="7" ht="25" customHeight="1">
      <x:c r="A7" s="2"/>
      <x:c r="B7" s="2"/>
      <x:c r="C7" s="2"/>
      <x:c r="D7" s="3"/>
      <x:c r="E7" s="3"/>
      <x:c r="F7" s="3"/>
    </x:row>
    <x:row r="8" ht="40" customHeight="1">
      <x:c r="A8" s="2"/>
      <x:c r="B8" s="2"/>
      <x:c r="C8" s="26" t="str">
        <x:v>Source #</x:v>
      </x:c>
      <x:c r="D8" s="27" t="str">
        <x:v>Source entity name</x:v>
      </x:c>
      <x:c r="E8" s="27" t="str">
        <x:v>Addition source</x:v>
      </x:c>
      <x:c r="F8" s="3"/>
    </x:row>
    <x:row r="9" ht="30" customHeight="1">
      <x:c r="A9" s="2"/>
      <x:c r="B9" s="2"/>
      <x:c r="C9" s="2" t="n">
        <x:v>1</x:v>
      </x:c>
      <x:c r="D9" s="55" t="str">
        <x:v>Central Grievance Committee</x:v>
      </x:c>
      <x:c r="E9" s="3"/>
      <x:c r="F9" s="3"/>
    </x:row>
    <x:row r="10" ht="30" customHeight="1">
      <x:c r="A10" s="2"/>
      <x:c r="B10" s="2"/>
      <x:c r="C10" s="2" t="n">
        <x:v>2</x:v>
      </x:c>
      <x:c r="D10" s="55" t="str">
        <x:v>Community Development Authority</x:v>
      </x:c>
      <x:c r="E10" s="3"/>
      <x:c r="F10" s="3"/>
    </x:row>
    <x:row r="11" ht="30" customHeight="1">
      <x:c r="A11" s="2"/>
      <x:c r="B11" s="2"/>
      <x:c r="C11" s="2" t="n">
        <x:v>3</x:v>
      </x:c>
      <x:c r="D11" s="55" t="str">
        <x:v>Dubai Courts</x:v>
      </x:c>
      <x:c r="E11" s="3"/>
      <x:c r="F11" s="3"/>
    </x:row>
    <x:row r="12" ht="30" customHeight="1">
      <x:c r="A12" s="2"/>
      <x:c r="B12" s="2"/>
      <x:c r="C12" s="2" t="n">
        <x:v>4</x:v>
      </x:c>
      <x:c r="D12" s="55" t="str">
        <x:v>Department of Economic Development</x:v>
      </x:c>
      <x:c r="E12" s="3"/>
      <x:c r="F12" s="3"/>
    </x:row>
    <x:row r="13" ht="30" customHeight="1">
      <x:c r="A13" s="2"/>
      <x:c r="B13" s="2"/>
      <x:c r="C13" s="2" t="n">
        <x:v>5</x:v>
      </x:c>
      <x:c r="D13" s="55" t="str">
        <x:v>Department of Economy and Tourism</x:v>
      </x:c>
      <x:c r="E13" s="3"/>
      <x:c r="F13" s="3"/>
    </x:row>
    <x:row r="14" ht="30" customHeight="1">
      <x:c r="A14" s="2"/>
      <x:c r="B14" s="2"/>
      <x:c r="C14" s="2" t="n">
        <x:v>6</x:v>
      </x:c>
      <x:c r="D14" s="55" t="str">
        <x:v>Department of Finance</x:v>
      </x:c>
      <x:c r="E14" s="3"/>
      <x:c r="F14" s="3"/>
    </x:row>
    <x:row r="15" ht="30" customHeight="1">
      <x:c r="A15" s="2"/>
      <x:c r="B15" s="2"/>
      <x:c r="C15" s="2" t="n">
        <x:v>7</x:v>
      </x:c>
      <x:c r="D15" s="55" t="str">
        <x:v>Department of Tourism and Commerce Marketing </x:v>
      </x:c>
      <x:c r="E15" s="3"/>
      <x:c r="F15" s="3"/>
    </x:row>
    <x:row r="16" ht="30" customHeight="1">
      <x:c r="A16" s="2"/>
      <x:c r="B16" s="2"/>
      <x:c r="C16" s="2" t="n">
        <x:v>8</x:v>
      </x:c>
      <x:c r="D16" s="55" t="str">
        <x:v>Digital Dubai Authority</x:v>
      </x:c>
      <x:c r="E16" s="3"/>
      <x:c r="F16" s="3"/>
    </x:row>
    <x:row r="17" ht="30" customHeight="1">
      <x:c r="A17" s="2"/>
      <x:c r="B17" s="2"/>
      <x:c r="C17" s="2"/>
      <x:c r="D17" s="55" t="str">
        <x:v>Digital Dubai Authority</x:v>
      </x:c>
      <x:c r="E17" s="3"/>
      <x:c r="F17" s="3"/>
    </x:row>
    <x:row r="18" ht="30" customHeight="1">
      <x:c r="A18" s="2"/>
      <x:c r="B18" s="2"/>
      <x:c r="C18" s="2" t="n">
        <x:v>9</x:v>
      </x:c>
      <x:c r="D18" s="55" t="str">
        <x:v>Directorate General of Dubai Civil Defense</x:v>
      </x:c>
      <x:c r="E18" s="3"/>
      <x:c r="F18" s="3"/>
    </x:row>
    <x:row r="19" ht="30" customHeight="1">
      <x:c r="A19" s="2"/>
      <x:c r="B19" s="2"/>
      <x:c r="C19" s="2" t="n">
        <x:v>10</x:v>
      </x:c>
      <x:c r="D19" s="55" t="str">
        <x:v>Dubai Academic Health Corporation</x:v>
      </x:c>
      <x:c r="E19" s="3"/>
      <x:c r="F19" s="3"/>
    </x:row>
    <x:row r="20" ht="30" customHeight="1">
      <x:c r="A20" s="2"/>
      <x:c r="B20" s="2"/>
      <x:c r="C20" s="2" t="n">
        <x:v>11</x:v>
      </x:c>
      <x:c r="D20" s="55" t="str">
        <x:v>Dubai Air Navigation Services</x:v>
      </x:c>
      <x:c r="E20" s="3"/>
      <x:c r="F20" s="3"/>
    </x:row>
    <x:row r="21" ht="30" customHeight="1">
      <x:c r="A21" s="2"/>
      <x:c r="B21" s="2"/>
      <x:c r="C21" s="2" t="n">
        <x:v>12</x:v>
      </x:c>
      <x:c r="D21" s="55" t="str">
        <x:v>Dubai Airport Freezone</x:v>
      </x:c>
      <x:c r="E21" s="3"/>
      <x:c r="F21" s="3"/>
    </x:row>
    <x:row r="22" ht="30" customHeight="1">
      <x:c r="A22" s="2"/>
      <x:c r="B22" s="2"/>
      <x:c r="C22" s="2" t="n">
        <x:v>13</x:v>
      </x:c>
      <x:c r="D22" s="55" t="str">
        <x:v>Dubai Airports</x:v>
      </x:c>
      <x:c r="E22" s="3"/>
      <x:c r="F22" s="3"/>
    </x:row>
    <x:row r="23" ht="30" customHeight="1">
      <x:c r="A23" s="2"/>
      <x:c r="B23" s="2"/>
      <x:c r="C23" s="2" t="n">
        <x:v>14</x:v>
      </x:c>
      <x:c r="D23" s="55" t="str">
        <x:v>Dubai Chambers</x:v>
      </x:c>
      <x:c r="E23" s="3"/>
      <x:c r="F23" s="3"/>
    </x:row>
    <x:row r="24" ht="30" customHeight="1">
      <x:c r="A24" s="2"/>
      <x:c r="B24" s="2"/>
      <x:c r="C24" s="2" t="n">
        <x:v>15</x:v>
      </x:c>
      <x:c r="D24" s="55" t="str">
        <x:v>Dubai Civil Aviaition Authority</x:v>
      </x:c>
      <x:c r="E24" s="3"/>
      <x:c r="F24" s="3"/>
    </x:row>
    <x:row r="25" ht="30" customHeight="1">
      <x:c r="A25" s="2"/>
      <x:c r="B25" s="2"/>
      <x:c r="C25" s="2" t="n">
        <x:v>16</x:v>
      </x:c>
      <x:c r="D25" s="55" t="str">
        <x:v>Dubai Civil Defence</x:v>
      </x:c>
      <x:c r="E25" s="3"/>
      <x:c r="F25" s="3"/>
    </x:row>
    <x:row r="26" ht="30" customHeight="1">
      <x:c r="A26" s="2"/>
      <x:c r="B26" s="2"/>
      <x:c r="C26" s="2" t="n">
        <x:v>17</x:v>
      </x:c>
      <x:c r="D26" s="55" t="str">
        <x:v>Dubai Corporation for Ambulances Services</x:v>
      </x:c>
      <x:c r="E26" s="3"/>
      <x:c r="F26" s="3"/>
    </x:row>
    <x:row r="27" ht="30" customHeight="1">
      <x:c r="A27" s="2"/>
      <x:c r="B27" s="2"/>
      <x:c r="C27" s="2" t="n">
        <x:v>18</x:v>
      </x:c>
      <x:c r="D27" s="55" t="str">
        <x:v>Dubai Corporation for Aviation Engineering Projects</x:v>
      </x:c>
      <x:c r="E27" s="3"/>
      <x:c r="F27" s="3"/>
    </x:row>
    <x:row r="28" ht="30" customHeight="1">
      <x:c r="A28" s="2"/>
      <x:c r="B28" s="2"/>
      <x:c r="C28" s="2" t="n">
        <x:v>19</x:v>
      </x:c>
      <x:c r="D28" s="55" t="str">
        <x:v>Dubai Culture &amp; Arts Authority</x:v>
      </x:c>
      <x:c r="E28" s="3"/>
      <x:c r="F28" s="3"/>
    </x:row>
    <x:row r="29" ht="30" customHeight="1">
      <x:c r="A29" s="2"/>
      <x:c r="B29" s="2"/>
      <x:c r="C29" s="2" t="n">
        <x:v>20</x:v>
      </x:c>
      <x:c r="D29" s="55" t="str">
        <x:v>Dubai Customs</x:v>
      </x:c>
      <x:c r="E29" s="3"/>
      <x:c r="F29" s="3"/>
    </x:row>
    <x:row r="30" ht="30" customHeight="1">
      <x:c r="A30" s="2"/>
      <x:c r="B30" s="2"/>
      <x:c r="C30" s="2" t="n">
        <x:v>21</x:v>
      </x:c>
      <x:c r="D30" s="55" t="str">
        <x:v>Dubai Duty Free</x:v>
      </x:c>
      <x:c r="E30" s="3"/>
      <x:c r="F30" s="3"/>
    </x:row>
    <x:row r="31" ht="30" customHeight="1">
      <x:c r="A31" s="2"/>
      <x:c r="B31" s="2"/>
      <x:c r="C31" s="2" t="n">
        <x:v>22</x:v>
      </x:c>
      <x:c r="D31" s="55" t="str">
        <x:v>Dubai Economy and Tourism</x:v>
      </x:c>
      <x:c r="E31" s="3"/>
      <x:c r="F31" s="3"/>
    </x:row>
    <x:row r="32" ht="30" customHeight="1">
      <x:c r="A32" s="2"/>
      <x:c r="B32" s="2"/>
      <x:c r="C32" s="2" t="n">
        <x:v>23</x:v>
      </x:c>
      <x:c r="D32" s="55" t="str">
        <x:v>Dubai Electricity &amp; Water Authority (DEWA)</x:v>
      </x:c>
      <x:c r="E32" s="3"/>
      <x:c r="F32" s="3"/>
    </x:row>
    <x:row r="33" ht="30" customHeight="1">
      <x:c r="A33" s="2"/>
      <x:c r="B33" s="2"/>
      <x:c r="C33" s="2" t="n">
        <x:v>24</x:v>
      </x:c>
      <x:c r="D33" s="55" t="str">
        <x:v>Dubai Electronic Security Center</x:v>
      </x:c>
      <x:c r="E33" s="3"/>
      <x:c r="F33" s="3"/>
    </x:row>
    <x:row r="34" ht="30" customHeight="1">
      <x:c r="A34" s="2"/>
      <x:c r="B34" s="2"/>
      <x:c r="C34" s="2" t="n">
        <x:v>25</x:v>
      </x:c>
      <x:c r="D34" s="55" t="str">
        <x:v>Dubai Export Development Coroporation</x:v>
      </x:c>
      <x:c r="E34" s="3"/>
      <x:c r="F34" s="3"/>
    </x:row>
    <x:row r="35" ht="30" customHeight="1">
      <x:c r="A35" s="2"/>
      <x:c r="B35" s="2"/>
      <x:c r="C35" s="2" t="n">
        <x:v>26</x:v>
      </x:c>
      <x:c r="D35" s="55" t="str">
        <x:v>Dubai Financial Market (DFM)</x:v>
      </x:c>
      <x:c r="E35" s="3"/>
      <x:c r="F35" s="3"/>
    </x:row>
    <x:row r="36" ht="30" customHeight="1">
      <x:c r="A36" s="2"/>
      <x:c r="B36" s="2"/>
      <x:c r="C36" s="2" t="n">
        <x:v>27</x:v>
      </x:c>
      <x:c r="D36" s="55" t="str">
        <x:v>Dubai Foundation for Women and Children</x:v>
      </x:c>
      <x:c r="E36" s="3"/>
      <x:c r="F36" s="3"/>
    </x:row>
    <x:row r="37" ht="30" customHeight="1">
      <x:c r="A37" s="2"/>
      <x:c r="B37" s="2"/>
      <x:c r="C37" s="2" t="n">
        <x:v>28</x:v>
      </x:c>
      <x:c r="D37" s="55" t="str">
        <x:v>Dubai Future Foundation</x:v>
      </x:c>
      <x:c r="E37" s="3"/>
      <x:c r="F37" s="3"/>
    </x:row>
    <x:row r="38" ht="30" customHeight="1">
      <x:c r="A38" s="2"/>
      <x:c r="B38" s="2"/>
      <x:c r="C38" s="2" t="n">
        <x:v>29</x:v>
      </x:c>
      <x:c r="D38" s="55" t="str">
        <x:v>Dubai Government Human Resource Department</x:v>
      </x:c>
      <x:c r="E38" s="3"/>
      <x:c r="F38" s="3"/>
    </x:row>
    <x:row r="39" ht="30" customHeight="1">
      <x:c r="A39" s="2"/>
      <x:c r="B39" s="2"/>
      <x:c r="C39" s="2" t="n">
        <x:v>30</x:v>
      </x:c>
      <x:c r="D39" s="55" t="str">
        <x:v>Dubai Government Workshop</x:v>
      </x:c>
      <x:c r="E39" s="3"/>
      <x:c r="F39" s="3"/>
    </x:row>
    <x:row r="40" ht="30" customHeight="1">
      <x:c r="A40" s="2"/>
      <x:c r="B40" s="2"/>
      <x:c r="C40" s="2" t="n">
        <x:v>31</x:v>
      </x:c>
      <x:c r="D40" s="55" t="str">
        <x:v>Dubai Health</x:v>
      </x:c>
      <x:c r="E40" s="3"/>
      <x:c r="F40" s="3"/>
    </x:row>
    <x:row r="41" ht="30" customHeight="1">
      <x:c r="A41" s="2"/>
      <x:c r="B41" s="2"/>
      <x:c r="C41" s="2" t="n">
        <x:v>32</x:v>
      </x:c>
      <x:c r="D41" s="55" t="str">
        <x:v>Dubai Health Authority (DHA)</x:v>
      </x:c>
      <x:c r="E41" s="3"/>
      <x:c r="F41" s="3"/>
    </x:row>
    <x:row r="42" ht="30" customHeight="1">
      <x:c r="A42" s="2"/>
      <x:c r="B42" s="2"/>
      <x:c r="C42" s="2" t="n">
        <x:v>33</x:v>
      </x:c>
      <x:c r="D42" s="55" t="str">
        <x:v>Dubai International Financial Centre (DIFC)</x:v>
      </x:c>
      <x:c r="E42" s="3"/>
      <x:c r="F42" s="3"/>
    </x:row>
    <x:row r="43" ht="30" customHeight="1">
      <x:c r="A43" s="2"/>
      <x:c r="B43" s="2"/>
      <x:c r="C43" s="2" t="n">
        <x:v>34</x:v>
      </x:c>
      <x:c r="D43" s="55" t="str">
        <x:v>Dubai Islamic Economy Development Centre</x:v>
      </x:c>
      <x:c r="E43" s="3"/>
      <x:c r="F43" s="3"/>
    </x:row>
    <x:row r="44" ht="30" customHeight="1">
      <x:c r="A44" s="2"/>
      <x:c r="B44" s="2"/>
      <x:c r="C44" s="2" t="n">
        <x:v>35</x:v>
      </x:c>
      <x:c r="D44" s="55" t="str">
        <x:v>Dubai Judicial Institute</x:v>
      </x:c>
      <x:c r="E44" s="3"/>
      <x:c r="F44" s="3"/>
    </x:row>
    <x:row r="45" ht="30" customHeight="1">
      <x:c r="A45" s="2"/>
      <x:c r="B45" s="2"/>
      <x:c r="C45" s="2" t="n">
        <x:v>36</x:v>
      </x:c>
      <x:c r="D45" s="55" t="str">
        <x:v>Dubai Land Department (DLD)</x:v>
      </x:c>
      <x:c r="E45" s="3"/>
      <x:c r="F45" s="3"/>
    </x:row>
    <x:row r="46" ht="30" customHeight="1">
      <x:c r="A46" s="2"/>
      <x:c r="B46" s="2"/>
      <x:c r="C46" s="2" t="n">
        <x:v>37</x:v>
      </x:c>
      <x:c r="D46" s="55" t="str">
        <x:v>Dubai Maritime City Authority</x:v>
      </x:c>
      <x:c r="E46" s="3"/>
      <x:c r="F46" s="3"/>
    </x:row>
    <x:row r="47" ht="30" customHeight="1">
      <x:c r="A47" s="2"/>
      <x:c r="B47" s="2"/>
      <x:c r="C47" s="2" t="n">
        <x:v>38</x:v>
      </x:c>
      <x:c r="D47" s="55" t="str">
        <x:v>Dubai Media Council</x:v>
      </x:c>
      <x:c r="E47" s="3"/>
      <x:c r="F47" s="3"/>
    </x:row>
    <x:row r="48" ht="30" customHeight="1">
      <x:c r="A48" s="2"/>
      <x:c r="B48" s="2"/>
      <x:c r="C48" s="2" t="n">
        <x:v>39</x:v>
      </x:c>
      <x:c r="D48" s="55" t="str">
        <x:v>Dubai Media Inc</x:v>
      </x:c>
      <x:c r="E48" s="3"/>
      <x:c r="F48" s="3"/>
    </x:row>
    <x:row r="49" ht="30" customHeight="1">
      <x:c r="A49" s="2"/>
      <x:c r="B49" s="2"/>
      <x:c r="C49" s="2" t="n">
        <x:v>40</x:v>
      </x:c>
      <x:c r="D49" s="55" t="str">
        <x:v>Dubai Municipality</x:v>
      </x:c>
      <x:c r="E49" s="3"/>
      <x:c r="F49" s="3"/>
    </x:row>
    <x:row r="50" ht="30" customHeight="1">
      <x:c r="A50" s="2"/>
      <x:c r="B50" s="2"/>
      <x:c r="C50" s="2" t="n">
        <x:v>41</x:v>
      </x:c>
      <x:c r="D50" s="55" t="str">
        <x:v>Dubai Petroleum</x:v>
      </x:c>
      <x:c r="E50" s="3"/>
      <x:c r="F50" s="3"/>
    </x:row>
    <x:row r="51" ht="30" customHeight="1">
      <x:c r="A51" s="2"/>
      <x:c r="B51" s="2"/>
      <x:c r="C51" s="2" t="n">
        <x:v>42</x:v>
      </x:c>
      <x:c r="D51" s="55" t="str">
        <x:v>Dubai Police</x:v>
      </x:c>
      <x:c r="E51" s="3"/>
      <x:c r="F51" s="3"/>
    </x:row>
    <x:row r="52" ht="30" customHeight="1">
      <x:c r="A52" s="2"/>
      <x:c r="B52" s="2"/>
      <x:c r="C52" s="2" t="n">
        <x:v>43</x:v>
      </x:c>
      <x:c r="D52" s="55" t="str">
        <x:v>Dubai Public Prosecution</x:v>
      </x:c>
      <x:c r="E52" s="3"/>
      <x:c r="F52" s="3"/>
    </x:row>
    <x:row r="53" ht="30" customHeight="1">
      <x:c r="A53" s="2"/>
      <x:c r="B53" s="2"/>
      <x:c r="C53" s="2" t="n">
        <x:v>44</x:v>
      </x:c>
      <x:c r="D53" s="55" t="str">
        <x:v>Dubai Silicon Oasis Authority</x:v>
      </x:c>
      <x:c r="E53" s="3"/>
      <x:c r="F53" s="3"/>
    </x:row>
    <x:row r="54" ht="30" customHeight="1">
      <x:c r="A54" s="2"/>
      <x:c r="B54" s="2"/>
      <x:c r="C54" s="2" t="n">
        <x:v>45</x:v>
      </x:c>
      <x:c r="D54" s="55" t="str">
        <x:v>Dubai South</x:v>
      </x:c>
      <x:c r="E54" s="3"/>
      <x:c r="F54" s="3"/>
    </x:row>
    <x:row r="55" ht="30" customHeight="1">
      <x:c r="A55" s="2"/>
      <x:c r="B55" s="2"/>
      <x:c r="C55" s="2" t="n">
        <x:v>46</x:v>
      </x:c>
      <x:c r="D55" s="55" t="str">
        <x:v>Dubai Sports Council</x:v>
      </x:c>
      <x:c r="E55" s="3"/>
      <x:c r="F55" s="3"/>
    </x:row>
    <x:row r="56" ht="30" customHeight="1">
      <x:c r="A56" s="2"/>
      <x:c r="B56" s="2"/>
      <x:c r="C56" s="2" t="n">
        <x:v>47</x:v>
      </x:c>
      <x:c r="D56" s="55" t="str">
        <x:v>Dubai Statistics Center</x:v>
      </x:c>
      <x:c r="E56" s="3"/>
      <x:c r="F56" s="3"/>
    </x:row>
    <x:row r="57" ht="30" customHeight="1">
      <x:c r="A57" s="2"/>
      <x:c r="B57" s="2"/>
      <x:c r="C57" s="2" t="n">
        <x:v>40</x:v>
      </x:c>
      <x:c r="D57" s="55" t="str">
        <x:v>Dubai Municipality</x:v>
      </x:c>
      <x:c r="E57" s="3"/>
      <x:c r="F57" s="3"/>
    </x:row>
    <x:row r="58" ht="30" customHeight="1">
      <x:c r="A58" s="2"/>
      <x:c r="B58" s="2"/>
      <x:c r="C58" s="2" t="n">
        <x:v>49</x:v>
      </x:c>
      <x:c r="D58" s="55" t="str">
        <x:v>Dubai Women Establishment</x:v>
      </x:c>
      <x:c r="E58" s="3"/>
      <x:c r="F58" s="3"/>
    </x:row>
    <x:row r="59" ht="30" customHeight="1">
      <x:c r="A59" s="2"/>
      <x:c r="B59" s="2"/>
      <x:c r="C59" s="2" t="n">
        <x:v>50</x:v>
      </x:c>
      <x:c r="D59" s="55" t="str">
        <x:v>Economic Security Center of Dubai</x:v>
      </x:c>
      <x:c r="E59" s="3"/>
      <x:c r="F59" s="3"/>
    </x:row>
    <x:row r="60" ht="30" customHeight="1">
      <x:c r="A60" s="2"/>
      <x:c r="B60" s="2"/>
      <x:c r="C60" s="2" t="n">
        <x:v>51</x:v>
      </x:c>
      <x:c r="D60" s="55" t="str">
        <x:v>Emirates International Accreditation Centre (eiac)</x:v>
      </x:c>
      <x:c r="E60" s="3"/>
      <x:c r="F60" s="3"/>
    </x:row>
    <x:row r="61" ht="30" customHeight="1">
      <x:c r="A61" s="2"/>
      <x:c r="B61" s="2"/>
      <x:c r="C61" s="2" t="n">
        <x:v>52</x:v>
      </x:c>
      <x:c r="D61" s="55" t="str">
        <x:v>Endowment And Minor Trust Foundation</x:v>
      </x:c>
      <x:c r="E61" s="3"/>
      <x:c r="F61" s="3"/>
    </x:row>
    <x:row r="62" ht="30" customHeight="1">
      <x:c r="A62" s="2"/>
      <x:c r="B62" s="2"/>
      <x:c r="C62" s="2" t="n">
        <x:v>53</x:v>
      </x:c>
      <x:c r="D62" s="55" t="str">
        <x:v>Financial Audit Authority</x:v>
      </x:c>
      <x:c r="E62" s="3"/>
      <x:c r="F62" s="3"/>
    </x:row>
    <x:row r="63" ht="30" customHeight="1">
      <x:c r="A63" s="2"/>
      <x:c r="B63" s="2"/>
      <x:c r="C63" s="2" t="n">
        <x:v>54</x:v>
      </x:c>
      <x:c r="D63" s="55" t="str">
        <x:v>General Directorate of Residency and Forigners Affairs - Dubai</x:v>
      </x:c>
      <x:c r="E63" s="3"/>
      <x:c r="F63" s="3"/>
    </x:row>
    <x:row r="64" ht="30" customHeight="1">
      <x:c r="A64" s="2"/>
      <x:c r="B64" s="2"/>
      <x:c r="C64" s="2" t="n">
        <x:v>55</x:v>
      </x:c>
      <x:c r="D64" s="55" t="str">
        <x:v>Hamdan Bin Mohammed Smart University</x:v>
      </x:c>
      <x:c r="E64" s="3"/>
      <x:c r="F64" s="3"/>
    </x:row>
    <x:row r="65" ht="30" customHeight="1">
      <x:c r="A65" s="2"/>
      <x:c r="B65" s="2"/>
      <x:c r="C65" s="2" t="n">
        <x:v>56</x:v>
      </x:c>
      <x:c r="D65" s="55" t="str">
        <x:v>International City for Humanitarian Services</x:v>
      </x:c>
      <x:c r="E65" s="3"/>
      <x:c r="F65" s="3"/>
    </x:row>
    <x:row r="66" ht="30" customHeight="1">
      <x:c r="A66" s="2"/>
      <x:c r="B66" s="2"/>
      <x:c r="C66" s="2" t="n">
        <x:v>57</x:v>
      </x:c>
      <x:c r="D66" s="55" t="str">
        <x:v>Investment Corporation of Dubai</x:v>
      </x:c>
      <x:c r="E66" s="3"/>
      <x:c r="F66" s="3"/>
    </x:row>
    <x:row r="67" ht="30" customHeight="1">
      <x:c r="A67" s="2"/>
      <x:c r="B67" s="2"/>
      <x:c r="C67" s="2" t="n">
        <x:v>58</x:v>
      </x:c>
      <x:c r="D67" s="55" t="str">
        <x:v>Islamic Affairs &amp; Charitable Activities Department (Awqaf Dubai)</x:v>
      </x:c>
      <x:c r="E67" s="3"/>
      <x:c r="F67" s="3"/>
    </x:row>
    <x:row r="68" ht="30" customHeight="1">
      <x:c r="A68" s="2"/>
      <x:c r="B68" s="2"/>
      <x:c r="C68" s="2" t="n">
        <x:v>59</x:v>
      </x:c>
      <x:c r="D68" s="55" t="str">
        <x:v>Jabel Ali Free Zone</x:v>
      </x:c>
      <x:c r="E68" s="3"/>
      <x:c r="F68" s="3"/>
    </x:row>
    <x:row r="69" ht="30" customHeight="1">
      <x:c r="A69" s="2"/>
      <x:c r="B69" s="2"/>
      <x:c r="C69" s="2" t="n">
        <x:v>60</x:v>
      </x:c>
      <x:c r="D69" s="55" t="str">
        <x:v>Khbrati</x:v>
      </x:c>
      <x:c r="E69" s="3"/>
      <x:c r="F69" s="3"/>
    </x:row>
    <x:row r="70" ht="30" customHeight="1">
      <x:c r="A70" s="2"/>
      <x:c r="B70" s="2"/>
      <x:c r="C70" s="2" t="n">
        <x:v>61</x:v>
      </x:c>
      <x:c r="D70" s="55" t="str">
        <x:v>Knowledge and Human Development Authority</x:v>
      </x:c>
      <x:c r="E70" s="3"/>
      <x:c r="F70" s="3"/>
    </x:row>
    <x:row r="71" ht="30" customHeight="1">
      <x:c r="A71" s="2"/>
      <x:c r="B71" s="2"/>
      <x:c r="C71" s="2" t="n">
        <x:v>62</x:v>
      </x:c>
      <x:c r="D71" s="55" t="str">
        <x:v>Knowledge Fund Foundation</x:v>
      </x:c>
      <x:c r="E71" s="3"/>
      <x:c r="F71" s="3"/>
    </x:row>
    <x:row r="72" ht="30" customHeight="1">
      <x:c r="A72" s="2"/>
      <x:c r="B72" s="2"/>
      <x:c r="C72" s="2" t="n">
        <x:v>63</x:v>
      </x:c>
      <x:c r="D72" s="55" t="str">
        <x:v>Mohamed Bin Rashid Space Centre</x:v>
      </x:c>
      <x:c r="E72" s="3"/>
      <x:c r="F72" s="3"/>
    </x:row>
    <x:row r="73" ht="30" customHeight="1">
      <x:c r="A73" s="2"/>
      <x:c r="B73" s="2"/>
      <x:c r="C73" s="2" t="n">
        <x:v>64</x:v>
      </x:c>
      <x:c r="D73" s="55" t="str">
        <x:v>Mohammed Bin Rashid Al Maktoum Knowledge Foundation</x:v>
      </x:c>
      <x:c r="E73" s="3"/>
      <x:c r="F73" s="3"/>
    </x:row>
    <x:row r="74" ht="30" customHeight="1">
      <x:c r="A74" s="2"/>
      <x:c r="B74" s="2"/>
      <x:c r="C74" s="2" t="n">
        <x:v>65</x:v>
      </x:c>
      <x:c r="D74" s="55" t="str">
        <x:v>Mohammed Bin Rashid Al Maktoum Library Foundation</x:v>
      </x:c>
      <x:c r="E74" s="3"/>
      <x:c r="F74" s="3"/>
    </x:row>
    <x:row r="75" ht="30" customHeight="1">
      <x:c r="A75" s="2"/>
      <x:c r="B75" s="2"/>
      <x:c r="C75" s="2" t="n">
        <x:v>66</x:v>
      </x:c>
      <x:c r="D75" s="55" t="str">
        <x:v>Mohammed Bin Rashid Housing Establishment</x:v>
      </x:c>
      <x:c r="E75" s="3"/>
      <x:c r="F75" s="3"/>
    </x:row>
    <x:row r="76" ht="30" customHeight="1">
      <x:c r="A76" s="2"/>
      <x:c r="B76" s="2"/>
      <x:c r="C76" s="2" t="n">
        <x:v>67</x:v>
      </x:c>
      <x:c r="D76" s="55" t="str">
        <x:v>Mohammed Bin Rashid School of Government</x:v>
      </x:c>
      <x:c r="E76" s="3"/>
      <x:c r="F76" s="3"/>
    </x:row>
    <x:row r="77" ht="30" customHeight="1">
      <x:c r="A77" s="2"/>
      <x:c r="B77" s="2"/>
      <x:c r="C77" s="2" t="n">
        <x:v>68</x:v>
      </x:c>
      <x:c r="D77" s="55" t="str">
        <x:v>National Bonds</x:v>
      </x:c>
      <x:c r="E77" s="3"/>
      <x:c r="F77" s="3"/>
    </x:row>
    <x:row r="78" ht="30" customHeight="1">
      <x:c r="A78" s="2"/>
      <x:c r="B78" s="2"/>
      <x:c r="C78" s="2" t="n">
        <x:v>69</x:v>
      </x:c>
      <x:c r="D78" s="55" t="str">
        <x:v>Nedaa - Professional Communication Corporation</x:v>
      </x:c>
      <x:c r="E78" s="3"/>
      <x:c r="F78" s="3"/>
    </x:row>
    <x:row r="79" ht="30" customHeight="1">
      <x:c r="A79" s="2"/>
      <x:c r="B79" s="2"/>
      <x:c r="C79" s="2" t="n">
        <x:v>70</x:v>
      </x:c>
      <x:c r="D79" s="55" t="str">
        <x:v>Ports, Customs and Free Zone Corporation (PCFC)</x:v>
      </x:c>
      <x:c r="E79" s="3"/>
      <x:c r="F79" s="3"/>
    </x:row>
    <x:row r="80" ht="30" customHeight="1">
      <x:c r="A80" s="2"/>
      <x:c r="B80" s="2"/>
      <x:c r="C80" s="2" t="n">
        <x:v>71</x:v>
      </x:c>
      <x:c r="D80" s="55" t="str">
        <x:v>Professional Communication Corporation 'Nedaa'</x:v>
      </x:c>
      <x:c r="E80" s="3"/>
      <x:c r="F80" s="3"/>
    </x:row>
    <x:row r="81" ht="30" customHeight="1">
      <x:c r="A81" s="2"/>
      <x:c r="B81" s="2"/>
      <x:c r="C81" s="2" t="n">
        <x:v>72</x:v>
      </x:c>
      <x:c r="D81" s="55" t="str">
        <x:v>Protocol Department</x:v>
      </x:c>
      <x:c r="E81" s="3"/>
      <x:c r="F81" s="3"/>
    </x:row>
    <x:row r="82" ht="30" customHeight="1">
      <x:c r="A82" s="2"/>
      <x:c r="B82" s="2"/>
      <x:c r="C82" s="2" t="n">
        <x:v>73</x:v>
      </x:c>
      <x:c r="D82" s="55" t="str">
        <x:v>Public Prosecution</x:v>
      </x:c>
      <x:c r="E82" s="3"/>
      <x:c r="F82" s="3"/>
    </x:row>
    <x:row r="83" ht="30" customHeight="1">
      <x:c r="A83" s="2"/>
      <x:c r="B83" s="2"/>
      <x:c r="C83" s="2" t="n">
        <x:v>74</x:v>
      </x:c>
      <x:c r="D83" s="55" t="str">
        <x:v>Roads and Transport Authority (RTA)</x:v>
      </x:c>
      <x:c r="E83" s="3"/>
      <x:c r="F83" s="3"/>
    </x:row>
    <x:row r="84" ht="30" customHeight="1">
      <x:c r="A84" s="2"/>
      <x:c r="B84" s="2"/>
      <x:c r="C84" s="2" t="n">
        <x:v>75</x:v>
      </x:c>
      <x:c r="D84" s="55" t="str">
        <x:v>Security Industry Regulatory Authority</x:v>
      </x:c>
      <x:c r="E84" s="3"/>
      <x:c r="F84" s="3"/>
    </x:row>
    <x:row r="85" ht="30" customHeight="1">
      <x:c r="A85" s="2"/>
      <x:c r="B85" s="2"/>
      <x:c r="C85" s="2" t="n">
        <x:v>76</x:v>
      </x:c>
      <x:c r="D85" s="55" t="str">
        <x:v>State Security - Dubai</x:v>
      </x:c>
      <x:c r="E85" s="3"/>
      <x:c r="F85" s="3"/>
    </x:row>
    <x:row r="86" ht="30" customHeight="1">
      <x:c r="A86" s="2"/>
      <x:c r="B86" s="2"/>
      <x:c r="C86" s="2" t="n">
        <x:v>77</x:v>
      </x:c>
      <x:c r="D86" s="55" t="str">
        <x:v>Supreme Council of Energy Dubai</x:v>
      </x:c>
      <x:c r="E86" s="3"/>
      <x:c r="F86" s="3"/>
    </x:row>
    <x:row r="87" ht="30" customHeight="1">
      <x:c r="A87" s="2"/>
      <x:c r="B87" s="2"/>
      <x:c r="C87" s="2" t="n">
        <x:v>78</x:v>
      </x:c>
      <x:c r="D87" s="55" t="str">
        <x:v>Supreme Legislation Committee</x:v>
      </x:c>
      <x:c r="E87" s="3"/>
      <x:c r="F87" s="3"/>
    </x:row>
    <x:row r="88" ht="30" customHeight="1">
      <x:c r="A88" s="2"/>
      <x:c r="B88" s="2"/>
      <x:c r="C88" s="2" t="n">
        <x:v>79</x:v>
      </x:c>
      <x:c r="D88" s="55" t="str">
        <x:v>The Executive Council - Dubai</x:v>
      </x:c>
      <x:c r="E88" s="3"/>
      <x:c r="F88" s="3"/>
    </x:row>
    <x:row r="89" ht="30" customHeight="1">
      <x:c r="A89" s="2"/>
      <x:c r="B89" s="2"/>
      <x:c r="C89" s="2" t="n">
        <x:v>80</x:v>
      </x:c>
      <x:c r="D89" s="55" t="str">
        <x:v>The Governement of Dubai Human Resources Department</x:v>
      </x:c>
      <x:c r="E89" s="3"/>
      <x:c r="F89" s="3"/>
    </x:row>
    <x:row r="90" ht="30" customHeight="1">
      <x:c r="A90" s="2"/>
      <x:c r="B90" s="2"/>
      <x:c r="C90" s="2" t="n">
        <x:v>81</x:v>
      </x:c>
      <x:c r="D90" s="55" t="str">
        <x:v>The Government of Dubai Legal Affairs Department</x:v>
      </x:c>
      <x:c r="E90" s="3"/>
      <x:c r="F90" s="3"/>
    </x:row>
    <x:row r="91" ht="30" customHeight="1">
      <x:c r="A91" s="2"/>
      <x:c r="B91" s="2"/>
      <x:c r="C91" s="2" t="n">
        <x:v>82</x:v>
      </x:c>
      <x:c r="D91" s="55" t="str">
        <x:v>The Government of Dubai Media Office</x:v>
      </x:c>
      <x:c r="E91" s="3"/>
      <x:c r="F91" s="3"/>
    </x:row>
    <x:row r="92" ht="30" customHeight="1">
      <x:c r="A92" s="2"/>
      <x:c r="B92" s="2"/>
      <x:c r="C92" s="2" t="n">
        <x:v>83</x:v>
      </x:c>
      <x:c r="D92" s="55" t="str">
        <x:v>The Supreme Legislation Committee</x:v>
      </x:c>
      <x:c r="E92" s="3"/>
      <x:c r="F92" s="3"/>
    </x:row>
    <x:row r="93" ht="30" customHeight="1">
      <x:c r="A93" s="2"/>
      <x:c r="B93" s="2"/>
      <x:c r="C93" s="2" t="n">
        <x:v>84</x:v>
      </x:c>
      <x:c r="D93" s="55" t="str">
        <x:v>Trakhees Corporation</x:v>
      </x:c>
      <x:c r="E93" s="3"/>
      <x:c r="F93" s="3"/>
    </x:row>
    <x:row r="94" ht="30" customHeight="1">
      <x:c r="A94" s="2"/>
      <x:c r="B94" s="2"/>
      <x:c r="C94" s="2" t="n">
        <x:v>85</x:v>
      </x:c>
      <x:c r="D94" s="55" t="str">
        <x:v>UAE Food Bank</x:v>
      </x:c>
      <x:c r="E94" s="3"/>
      <x:c r="F94" s="3"/>
    </x:row>
    <x:row r="95" ht="30" customHeight="1">
      <x:c r="A95" s="2"/>
      <x:c r="B95" s="2"/>
      <x:c r="C95" s="2" t="n">
        <x:v>86</x:v>
      </x:c>
      <x:c r="D95" s="55" t="str">
        <x:v>Visit Dubai</x:v>
      </x:c>
      <x:c r="E95" s="3"/>
      <x:c r="F95" s="3"/>
    </x:row>
    <x:row r="96" ht="30" customHeight="1">
      <x:c r="A96" s="2"/>
      <x:c r="B96" s="2"/>
      <x:c r="C96" s="2" t="n">
        <x:v>87</x:v>
      </x:c>
      <x:c r="D96" s="55" t="str">
        <x:v>Emirates Integrated Telecommunications Company (du)</x:v>
      </x:c>
      <x:c r="E96" s="3"/>
      <x:c r="F96" s="3"/>
    </x:row>
    <x:row r="97" ht="30" customHeight="1">
      <x:c r="A97" s="2"/>
      <x:c r="B97" s="2"/>
      <x:c r="C97" s="2" t="n">
        <x:v>88</x:v>
      </x:c>
      <x:c r="D97" s="55" t="str">
        <x:v>Mohammed Bin Rashid Al Maktoum Global Initiatives</x:v>
      </x:c>
      <x:c r="E97" s="3"/>
      <x:c r="F97" s="3"/>
    </x:row>
    <x:row r="98" ht="30" customHeight="1">
      <x:c r="A98" s="2"/>
      <x:c r="B98" s="2"/>
      <x:c r="C98" s="2" t="n">
        <x:v>89</x:v>
      </x:c>
      <x:c r="D98" s="55" t="str">
        <x:v>Mohammed Bin Rashid Centre for Government Innovation - Dubai</x:v>
      </x:c>
      <x:c r="E98" s="3"/>
      <x:c r="F98" s="3"/>
    </x:row>
    <x:row r="99" ht="30" customHeight="1">
      <x:c r="A99" s="2"/>
      <x:c r="B99" s="2"/>
      <x:c r="C99" s="2" t="n">
        <x:v>90</x:v>
      </x:c>
      <x:c r="D99" s="55" t="str">
        <x:v>Sheikh Zayed Housing Programme</x:v>
      </x:c>
      <x:c r="E99" s="3"/>
      <x:c r="F99" s="3"/>
    </x:row>
    <x:row r="100" ht="30" customHeight="1">
      <x:c r="A100" s="2"/>
      <x:c r="B100" s="2"/>
      <x:c r="C100" s="2" t="n">
        <x:v>91</x:v>
      </x:c>
      <x:c r="D100" s="55" t="str">
        <x:v>Dubai Healthcare City Authority</x:v>
      </x:c>
      <x:c r="E100" s="3"/>
      <x:c r="F100" s="3"/>
    </x:row>
    <x:row r="101" ht="30" customHeight="1">
      <x:c r="A101" s="2"/>
      <x:c r="B101" s="2"/>
      <x:c r="C101" s="2" t="n">
        <x:v>92</x:v>
      </x:c>
      <x:c r="D101" s="55" t="str">
        <x:v>His Highness the Rulers Court</x:v>
      </x:c>
      <x:c r="E101" s="3" t="str">
        <x:v>User, 21 Sep 2026 (V2-S12)</x:v>
      </x:c>
      <x:c r="F101" s="3"/>
    </x:row>
    <x:row r="102" ht="25" customHeight="1">
      <x:c r="A102" s="2"/>
      <x:c r="B102" s="2"/>
      <x:c r="C102" s="2"/>
      <x:c r="D102" s="3"/>
      <x:c r="E102" s="3"/>
      <x:c r="F102" s="3"/>
    </x:row>
    <x:row r="103" ht="25" customHeight="1">
      <x:c r="A103" s="2"/>
      <x:c r="B103" s="2"/>
      <x:c r="C103" s="2" t="str">
        <x:v>Name rows</x:v>
      </x:c>
      <x:c r="D103" s="16" t="n">
        <x:f>COUNTA(D9:D101)</x:f>
        <x:v>93</x:v>
      </x:c>
      <x:c r="E103" s="3"/>
      <x:c r="F103" s="3"/>
    </x:row>
    <x:row r="104" ht="25" customHeight="1">
      <x:c r="A104" s="2"/>
      <x:c r="B104" s="2"/>
      <x:c r="C104" s="2"/>
      <x:c r="D104" s="3"/>
      <x:c r="E104" s="3"/>
      <x:c r="F104" s="3"/>
    </x:row>
    <x:row r="105" ht="25" customHeight="1">
      <x:c r="A105" s="2"/>
      <x:c r="B105" s="2"/>
      <x:c r="C105" s="19" t="str">
        <x:v>Raw rows include duplicates/aliases. This list does not establish funded users or a unique eligible entity count.</x:v>
      </x:c>
      <x:c r="D105" s="3"/>
      <x:c r="E105" s="3"/>
      <x:c r="F105" s="3"/>
    </x:row>
    <x:row r="106" ht="25" customHeight="1">
      <x:c r="A106" s="2"/>
      <x:c r="B106" s="2"/>
      <x:c r="C106" s="2"/>
      <x:c r="D106" s="3"/>
      <x:c r="E106" s="3"/>
      <x:c r="F106" s="3"/>
    </x:row>
  </x:sheetData>
  <x:pageMargins left="0.7" right="0.7" top="0.75" bottom="0.75" header="0.3" footer="0.3"/>
</x:worksheet>
</file>