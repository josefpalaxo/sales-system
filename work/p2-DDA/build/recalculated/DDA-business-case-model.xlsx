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" sheetId="1" state="visible" r:id="rId3"/>
    <sheet name="Assumptions" sheetId="2" state="visible" r:id="rId4"/>
    <sheet name="Cost model" sheetId="3" state="visible" r:id="rId5"/>
    <sheet name="Customers" sheetId="4" state="visible" r:id="rId6"/>
    <sheet name="Demand" sheetId="5" state="visible" r:id="rId7"/>
    <sheet name="Entity scope" sheetId="6" state="visible" r:id="rId8"/>
    <sheet name="Research" sheetId="7" state="visible" r:id="rId9"/>
    <sheet name="Check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<sst xmlns="http://schemas.openxmlformats.org/spreadsheetml/2006/main" count="904" uniqueCount="555">
  <si>
    <t xml:space="preserve">DDA central procurement business case</t>
  </si>
  <si>
    <t xml:space="preserve">Case selected</t>
  </si>
  <si>
    <t xml:space="preserve">Five-year comparison at matched capacity. Base growth and rollout are planning assumptions. AED, before tax and unpriced services.</t>
  </si>
  <si>
    <t xml:space="preserve">Decision metric</t>
  </si>
  <si>
    <t xml:space="preserve">Value</t>
  </si>
  <si>
    <t xml:space="preserve">Initial annual commitment</t>
  </si>
  <si>
    <t xml:space="preserve">Year 5 paid capacity</t>
  </si>
  <si>
    <t xml:space="preserve">Reduction vs DDA baseline</t>
  </si>
  <si>
    <t xml:space="preserve">Reference discount vs list</t>
  </si>
  <si>
    <t xml:space="preserve">Year 1 central modeled cost</t>
  </si>
  <si>
    <t xml:space="preserve">Five-year central modeled cost</t>
  </si>
  <si>
    <t xml:space="preserve">Five-year net comparative benefit</t>
  </si>
  <si>
    <t xml:space="preserve">Five-year procurement ROI</t>
  </si>
  <si>
    <t xml:space="preserve">Initial seats awaiting allocation</t>
  </si>
  <si>
    <t xml:space="preserve">Initial pool five-year recurring cost</t>
  </si>
  <si>
    <t xml:space="preserve">Annual costs and benefit</t>
  </si>
  <si>
    <t xml:space="preserve">Baseline</t>
  </si>
  <si>
    <t xml:space="preserve">Central</t>
  </si>
  <si>
    <t xml:space="preserve">Net benefit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</si>
  <si>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</si>
  <si>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</si>
  <si>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</si>
  <si>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</si>
  <si>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</si>
  <si>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Five years</t>
  </si>
  <si>
    <t xml:space="preserve">Adoption and price protection</t>
  </si>
  <si>
    <t xml:space="preserve">Year 1 break-even deployed users</t>
  </si>
  <si>
    <t xml:space="preserve">Year 1 deployed users assumed</t>
  </si>
  <si>
    <t xml:space="preserve">Five-year demand-adjusted benefit</t>
  </si>
  <si>
    <t xml:space="preserve">Five-year extra escalation avoided</t>
  </si>
  <si>
    <t xml:space="preserve">Escalation sensitivity assumption</t>
  </si>
  <si>
    <t xml:space="preserve">The 50% saving compares identical capacity and support treatment. It does not claim that entities currently spend the baseline total.</t>
  </si>
  <si>
    <t xml:space="preserve">Base assumption: 10,000 to 12,500 paid users by Year 5, 1,260 on-premise users retained, 40 new entities onboarded over five years.</t>
  </si>
  <si>
    <t xml:space="preserve">Existing customers cover 1,830 project users. Survey demand overlaps are unknown. New entity allocations require validation.</t>
  </si>
  <si>
    <t xml:space="preserve">No indexation protects unit prices. Growth increases the annual bill. The 3% escalation illustration is excluded from headline savings.</t>
  </si>
  <si>
    <t xml:space="preserve">Procurement ROI = five-year net comparative benefit / central modeled program cost. Unpriced services can reduce this return.</t>
  </si>
  <si>
    <t xml:space="preserve">Use Assumptions E4 to select Base, Slower adoption or Earlier growth. Review the amber assumptions before budget approval.</t>
  </si>
  <si>
    <t xml:space="preserve">Chart data</t>
  </si>
  <si>
    <t xml:space="preserve">Baseline AED</t>
  </si>
  <si>
    <t xml:space="preserve">Central AED</t>
  </si>
  <si>
    <t xml:space="preserve">Cumulative benefit AED</t>
  </si>
  <si>
    <t xml:space="preserve">Paid users</t>
  </si>
  <si>
    <t xml:space="preserve">Deployed users</t>
  </si>
  <si>
    <t xml:space="preserve">Commercial terms and planning assumptions</t>
  </si>
  <si>
    <t xml:space="preserve">1 Base   2 Slower adoption   3 Earlier growth</t>
  </si>
  <si>
    <t xml:space="preserve">Blue numbers are editable. Amber cells are planning assumptions. Green formulas link sheets. Amounts are AED before tax.</t>
  </si>
  <si>
    <t xml:space="preserve">Commercial input</t>
  </si>
  <si>
    <t xml:space="preserve">Unit</t>
  </si>
  <si>
    <t xml:space="preserve">Regular Basic Price</t>
  </si>
  <si>
    <t xml:space="preserve">AED/user/year</t>
  </si>
  <si>
    <t xml:space="preserve">S01. Reference only.</t>
  </si>
  <si>
    <t xml:space="preserve">DDA Shared Service baseline</t>
  </si>
  <si>
    <t xml:space="preserve">S06. Main comparison baseline, not actual current spending.</t>
  </si>
  <si>
    <t xml:space="preserve">Central subscription</t>
  </si>
  <si>
    <t xml:space="preserve">S08. Offer for initial 10,000 annual commitment.</t>
  </si>
  <si>
    <t xml:space="preserve">Hosted standard support</t>
  </si>
  <si>
    <t xml:space="preserve">% of subscription</t>
  </si>
  <si>
    <t xml:space="preserve">S08/S09. Same percentage in both comparisons. 8×5 support.</t>
  </si>
  <si>
    <t xml:space="preserve">On-premise support</t>
  </si>
  <si>
    <t xml:space="preserve">S10. Replaces 10% and old support charges.</t>
  </si>
  <si>
    <t xml:space="preserve">Onboarding per new entity</t>
  </si>
  <si>
    <t xml:space="preserve">AED once</t>
  </si>
  <si>
    <t xml:space="preserve">S08. New entities only. Existing customer migration excluded.</t>
  </si>
  <si>
    <t xml:space="preserve">Users</t>
  </si>
  <si>
    <t xml:space="preserve">S07. Includes existing customers and RTA.</t>
  </si>
  <si>
    <t xml:space="preserve">Contract duration</t>
  </si>
  <si>
    <t xml:space="preserve">Years</t>
  </si>
  <si>
    <t xml:space="preserve">S07. Annual billing with five-year commitment.</t>
  </si>
  <si>
    <t xml:space="preserve">Central annual indexation</t>
  </si>
  <si>
    <t xml:space="preserve">%</t>
  </si>
  <si>
    <t xml:space="preserve">S07. No indexation for five years.</t>
  </si>
  <si>
    <t xml:space="preserve">Baseline annual escalation</t>
  </si>
  <si>
    <t xml:space="preserve">Planning assumption. No contractual increase supplied. Headline uses zero.</t>
  </si>
  <si>
    <t xml:space="preserve">Illustrative escalation sensitivity</t>
  </si>
  <si>
    <t xml:space="preserve">Hypothetical 3% alternative. Extra avoided escalation shown separately.</t>
  </si>
  <si>
    <t xml:space="preserve">Existing on-premise users</t>
  </si>
  <si>
    <t xml:space="preserve">S03. Sum of four project user counts. Assumed retained on-premise from Year 1.</t>
  </si>
  <si>
    <t xml:space="preserve">Existing users included</t>
  </si>
  <si>
    <t xml:space="preserve">S03/S07. Project users, not verified unique active people.</t>
  </si>
  <si>
    <t xml:space="preserve">Unit reference denominator</t>
  </si>
  <si>
    <t xml:space="preserve">Employees</t>
  </si>
  <si>
    <t xml:space="preserve">R01. Lower reference point for reported over 76,000 Smart Employee users in May 2025.</t>
  </si>
  <si>
    <t xml:space="preserve">Growth-seat price assumption</t>
  </si>
  <si>
    <t xml:space="preserve">Planning assumption. Extension of price lock to added seats needs confirmation.</t>
  </si>
  <si>
    <t xml:space="preserve">Baseline onboarding allowance</t>
  </si>
  <si>
    <t xml:space="preserve">AED/new entity</t>
  </si>
  <si>
    <t xml:space="preserve">Comparison convention only. Unpriced baseline implementation is excluded.</t>
  </si>
  <si>
    <t xml:space="preserve">Planning driver</t>
  </si>
  <si>
    <t xml:space="preserve">Cumulative purchased-seat growth</t>
  </si>
  <si>
    <t xml:space="preserve">25% cumulative agreed. Linear timing to Year 5 is a planning assumption; earlier growth reaches Year 3.</t>
  </si>
  <si>
    <t xml:space="preserve">Base</t>
  </si>
  <si>
    <t xml:space="preserve">Slower adoption</t>
  </si>
  <si>
    <t xml:space="preserve">Earlier growth</t>
  </si>
  <si>
    <t xml:space="preserve">Deployed share of paid capacity</t>
  </si>
  <si>
    <t xml:space="preserve">Illustrative adoption only. Base tests matched capacity, not a verified deployment forecast. Slow case tests underuse.</t>
  </si>
  <si>
    <t xml:space="preserve">New entities onboarded in year</t>
  </si>
  <si>
    <t xml:space="preserve">Entities</t>
  </si>
  <si>
    <t xml:space="preserve">Illustrative schedule, 40 new entities in total. Survey 10 current / 6 future interest does not establish this schedule.</t>
  </si>
  <si>
    <t xml:space="preserve">Legacy overlap charged in year</t>
  </si>
  <si>
    <t xml:space="preserve">Fraction</t>
  </si>
  <si>
    <t xml:space="preserve">Zero assumes migration at Year 1 start. Slow case includes one quarter of known reported annual charges. No refund assumed.</t>
  </si>
  <si>
    <t xml:space="preserve">Additional scenario costs included</t>
  </si>
  <si>
    <t xml:space="preserve">AED</t>
  </si>
  <si>
    <t xml:space="preserve">Zero means no extra allowance included, not that unknown services are free. Enter agreed migration, integration or operating costs.</t>
  </si>
  <si>
    <t xml:space="preserve">Offer scope and unpriced items</t>
  </si>
  <si>
    <t xml:space="preserve">Included</t>
  </si>
  <si>
    <t xml:space="preserve">Digital Sovereign Sign, unlimited manual transactions, unlimited external recipients, hosting and branding.</t>
  </si>
  <si>
    <t xml:space="preserve">Separately purchased</t>
  </si>
  <si>
    <t xml:space="preserve">Automated/API transactions, Sovereign Collaboration, AI services, Evidence based Archiving for Standalone Documents and files.</t>
  </si>
  <si>
    <t xml:space="preserve">Unpriced and excluded</t>
  </si>
  <si>
    <t xml:space="preserve">Tax, additional migration/integration/training and internal operation costs unless entered in the additional allowance.</t>
  </si>
  <si>
    <t xml:space="preserve">Terms to confirm</t>
  </si>
  <si>
    <t xml:space="preserve">Growth-seat price protection, migration dates, prepaid credits, baseline scope equivalence and tax treatment.</t>
  </si>
  <si>
    <t xml:space="preserve">ROI convention</t>
  </si>
  <si>
    <t xml:space="preserve">Five-year net comparative benefit ÷ central modeled program cost. This is a procurement return, not project IRR or productivity ROI.</t>
  </si>
  <si>
    <t xml:space="preserve">Savings definition</t>
  </si>
  <si>
    <t xml:space="preserve">Like-for-like baseline cost less central subscription, support, new-entity onboarding, modeled overlap and included allowances.</t>
  </si>
  <si>
    <t xml:space="preserve">Supplied tier schedule for reference</t>
  </si>
  <si>
    <t xml:space="preserve">Supplied pricing band</t>
  </si>
  <si>
    <t xml:space="preserve">AED per user/year</t>
  </si>
  <si>
    <t xml:space="preserve">S01. General tier eligibility for independent purchasing remains open. Central model uses the explicit 10,000-user offer.</t>
  </si>
  <si>
    <t xml:space="preserve">100–499</t>
  </si>
  <si>
    <t xml:space="preserve">500–999</t>
  </si>
  <si>
    <t xml:space="preserve">1,000–1,999</t>
  </si>
  <si>
    <t xml:space="preserve">2,000–2,999</t>
  </si>
  <si>
    <t xml:space="preserve">3,000+</t>
  </si>
  <si>
    <t xml:space="preserve">Five year costs and comparative returns</t>
  </si>
  <si>
    <t xml:space="preserve">Cost or driver</t>
  </si>
  <si>
    <t xml:space="preserve">Paid central capacity</t>
  </si>
  <si>
    <t xml:space="preserve">Five-year quantities are user-years, not distinct people. Added seats assumed hosted.</t>
  </si>
  <si>
    <t xml:space="preserve">On-premise users</t>
  </si>
  <si>
    <t xml:space="preserve">Hosted paid capacity</t>
  </si>
  <si>
    <t xml:space="preserve">Deployed users assumed</t>
  </si>
  <si>
    <t xml:space="preserve">Assumed full-year deployment. Existing on-premise allocation remains in all cases.</t>
  </si>
  <si>
    <t xml:space="preserve">Unused paid seats</t>
  </si>
  <si>
    <t xml:space="preserve">New entities onboarded</t>
  </si>
  <si>
    <t xml:space="preserve">Unit rates</t>
  </si>
  <si>
    <t xml:space="preserve">Baseline subscription unit rate</t>
  </si>
  <si>
    <t xml:space="preserve">AED/user</t>
  </si>
  <si>
    <t xml:space="preserve">Initial central unit rate</t>
  </si>
  <si>
    <t xml:space="preserve">Added-seat unit rate</t>
  </si>
  <si>
    <t xml:space="preserve">Matched independent purchase baseline</t>
  </si>
  <si>
    <t xml:space="preserve">Baseline subscription</t>
  </si>
  <si>
    <t xml:space="preserve">Baseline hosted support</t>
  </si>
  <si>
    <t xml:space="preserve">Baseline on-premise support</t>
  </si>
  <si>
    <t xml:space="preserve">Matched baseline total</t>
  </si>
  <si>
    <t xml:space="preserve">Comparable capacity at the agreed baseline. Does not represent current actual government spending.</t>
  </si>
  <si>
    <t xml:space="preserve">Central program</t>
  </si>
  <si>
    <t xml:space="preserve">Central hosted support</t>
  </si>
  <si>
    <t xml:space="preserve">Central on-premise support</t>
  </si>
  <si>
    <t xml:space="preserve">Central recurring cost</t>
  </si>
  <si>
    <t xml:space="preserve">New-entity onboarding</t>
  </si>
  <si>
    <t xml:space="preserve">Legacy overlap allowance</t>
  </si>
  <si>
    <t xml:space="preserve">Other included scenario costs</t>
  </si>
  <si>
    <t xml:space="preserve">Central modeled program cost</t>
  </si>
  <si>
    <t xml:space="preserve">Modeled costs only. Unpriced services and tax excluded. Legacy allowance uses incomplete historical charges.</t>
  </si>
  <si>
    <t xml:space="preserve">Five-year value</t>
  </si>
  <si>
    <t xml:space="preserve">Net comparative benefit</t>
  </si>
  <si>
    <t xml:space="preserve">Cumulative comparative benefit</t>
  </si>
  <si>
    <t xml:space="preserve">Net saving as % of baseline</t>
  </si>
  <si>
    <t xml:space="preserve">Procurement ROI on central cost</t>
  </si>
  <si>
    <t xml:space="preserve">Net comparative benefit / central modeled program cost, undiscounted. Definition proposed for review.</t>
  </si>
  <si>
    <t xml:space="preserve">Adoption exposure</t>
  </si>
  <si>
    <t xml:space="preserve">Baseline for deployed users only</t>
  </si>
  <si>
    <t xml:space="preserve">Demand-adjusted benchmark still uses AED 2,360. It is not a reconstruction of actual customer contracts.</t>
  </si>
  <si>
    <t xml:space="preserve">Benefit vs deployed-user baseline</t>
  </si>
  <si>
    <t xml:space="preserve">Unused subscription and support</t>
  </si>
  <si>
    <t xml:space="preserve">Unused seats valued at the initial central hosted rate. Added-seat rate differences are excluded from this exposure measure.</t>
  </si>
  <si>
    <t xml:space="preserve">Break-even deployed users</t>
  </si>
  <si>
    <t xml:space="preserve">Minimum deployed users including retained on-premise users, at matched baseline rates and modeled costs.</t>
  </si>
  <si>
    <t xml:space="preserve">Separate price-lock sensitivity</t>
  </si>
  <si>
    <t xml:space="preserve">Flat baseline recurring cost</t>
  </si>
  <si>
    <t xml:space="preserve">Illustrative escalated baseline</t>
  </si>
  <si>
    <t xml:space="preserve">Extra avoided escalation</t>
  </si>
  <si>
    <t xml:space="preserve">Hypothetical avoided baseline escalation. Already included in row 47. Never add twice.</t>
  </si>
  <si>
    <t xml:space="preserve">Benefit with illustrative escalation</t>
  </si>
  <si>
    <t xml:space="preserve">Allocation and reference discounts</t>
  </si>
  <si>
    <t xml:space="preserve">Initial unallocated seats</t>
  </si>
  <si>
    <t xml:space="preserve">Discount vs DDA baseline</t>
  </si>
  <si>
    <t xml:space="preserve">Discount vs Regular Basic Price</t>
  </si>
  <si>
    <t xml:space="preserve">Onboarding cost cumulative</t>
  </si>
  <si>
    <t xml:space="preserve">Initial pool recurring commitment</t>
  </si>
  <si>
    <t xml:space="preserve">Initial 10,000-seat subscription and support at the retained deployment mix. Excludes growth, onboarding and unpriced services.</t>
  </si>
  <si>
    <t xml:space="preserve">Growth recurring budget</t>
  </si>
  <si>
    <t xml:space="preserve">Annual cash timing within each year and tax are not modeled. No discounted NPV, IRR or productivity savings are claimed.</t>
  </si>
  <si>
    <t xml:space="preserve">Existing customers and proposed subscription</t>
  </si>
  <si>
    <t xml:space="preserve">S03 user-supplied customer records. Blanks remain unspecified. Reported amounts assumed AED and additive for this comparison.</t>
  </si>
  <si>
    <t xml:space="preserve">Source #</t>
  </si>
  <si>
    <t xml:space="preserve">Customer</t>
  </si>
  <si>
    <t xml:space="preserve">Deployment</t>
  </si>
  <si>
    <t xml:space="preserve">Transactions</t>
  </si>
  <si>
    <t xml:space="preserve">Annual subscription</t>
  </si>
  <si>
    <t xml:space="preserve">Annual support</t>
  </si>
  <si>
    <t xml:space="preserve">Current licence</t>
  </si>
  <si>
    <t xml:space="preserve">Known charges</t>
  </si>
  <si>
    <t xml:space="preserve">Support rate</t>
  </si>
  <si>
    <t xml:space="preserve">Central annual cost</t>
  </si>
  <si>
    <t xml:space="preserve">Difference vs known</t>
  </si>
  <si>
    <t xml:space="preserve">Digital Dubai Authority</t>
  </si>
  <si>
    <t xml:space="preserve">On-Premise</t>
  </si>
  <si>
    <t xml:space="preserve">Unlimited</t>
  </si>
  <si>
    <t xml:space="preserve">Subscription</t>
  </si>
  <si>
    <t xml:space="preserve">Shared Service</t>
  </si>
  <si>
    <t xml:space="preserve">Dubai Corporation for Ambulances Services</t>
  </si>
  <si>
    <t xml:space="preserve">SaaS</t>
  </si>
  <si>
    <t xml:space="preserve">Dubai Culture &amp; Arts Authority</t>
  </si>
  <si>
    <t xml:space="preserve">Dubai Electronic Security Center</t>
  </si>
  <si>
    <t xml:space="preserve">Investment Corporation of Dubai</t>
  </si>
  <si>
    <t xml:space="preserve">Ports, Customs and Free Zone Corporation (PCFC)</t>
  </si>
  <si>
    <t xml:space="preserve">Roads and Transport Authority (RTA)</t>
  </si>
  <si>
    <t xml:space="preserve">CAPEX</t>
  </si>
  <si>
    <t xml:space="preserve">Dubai Healthcare City Authority</t>
  </si>
  <si>
    <t xml:space="preserve">Total reported project users / charges</t>
  </si>
  <si>
    <t xml:space="preserve">Positive difference means a higher central charge than the reported known amount. Missing support limits the comparison.</t>
  </si>
  <si>
    <t xml:space="preserve">RTA converts from CAPEX to subscription: AED 1,416,000 annual central cost versus AED 608,000 reported support.</t>
  </si>
  <si>
    <t xml:space="preserve">The conditional AED 808,000 increase is included here. Historic CAPEX is not a recurring saving.</t>
  </si>
  <si>
    <t xml:space="preserve">All four SaaS customers qualify for charge cessation upon migration. DDA Shared Service charges also cease.</t>
  </si>
  <si>
    <t xml:space="preserve">On-premise support becomes 20% of allocated subscription and replaces old support. Deployment still benefits from the lower user price.</t>
  </si>
  <si>
    <t xml:space="preserve">Nine projects represent eight customer entities. Current charges are not the DDA benchmark for an expanded 10,000-user service.</t>
  </si>
  <si>
    <t xml:space="preserve">Demand evidence and adoption analysis</t>
  </si>
  <si>
    <t xml:space="preserve">Demand evidence</t>
  </si>
  <si>
    <t xml:space="preserve">Existing reported project users</t>
  </si>
  <si>
    <t xml:space="preserve">Initial central commitment</t>
  </si>
  <si>
    <t xml:space="preserve">Numerical survey minimum</t>
  </si>
  <si>
    <t xml:space="preserve">Q3 minimum is current/expected demand across 21 numerical answers. Unknown overlap prevents adding existing users.</t>
  </si>
  <si>
    <t xml:space="preserve">Q3 numerical responses</t>
  </si>
  <si>
    <t xml:space="preserve">Responses</t>
  </si>
  <si>
    <t xml:space="preserve">Q3 other response</t>
  </si>
  <si>
    <t xml:space="preserve">Growth expected</t>
  </si>
  <si>
    <t xml:space="preserve">Share</t>
  </si>
  <si>
    <t xml:space="preserve">17 of 22 expect moderate or significant growth. Survey does not establish 25% growth or its timing.</t>
  </si>
  <si>
    <t xml:space="preserve">Interest with current requirement</t>
  </si>
  <si>
    <t xml:space="preserve">Interest with future requirement</t>
  </si>
  <si>
    <t xml:space="preserve">Initial pool / workforce reference</t>
  </si>
  <si>
    <t xml:space="preserve">R01 reports over 76,000 Smart Employee users. Workforce scale is not paid-signature demand.</t>
  </si>
  <si>
    <t xml:space="preserve">Source population rows</t>
  </si>
  <si>
    <t xml:space="preserve">Rows</t>
  </si>
  <si>
    <t xml:space="preserve">92 source-name rows, 91 numbered. Duplicates and aliases prevent asserting 92 unique eligible entities.</t>
  </si>
  <si>
    <t xml:space="preserve">Survey user-band sensitivity</t>
  </si>
  <si>
    <t xml:space="preserve">Q3 band</t>
  </si>
  <si>
    <t xml:space="preserve">Lower endpoint</t>
  </si>
  <si>
    <t xml:space="preserve">Midpoint / assumption</t>
  </si>
  <si>
    <t xml:space="preserve">Minimum users</t>
  </si>
  <si>
    <t xml:space="preserve">Scenario users</t>
  </si>
  <si>
    <t xml:space="preserve">S04 Q3. Midpoints and 2,000 users for the open band are sensitivity assumptions, not observed averages.</t>
  </si>
  <si>
    <t xml:space="preserve">1–50</t>
  </si>
  <si>
    <t xml:space="preserve">51–100</t>
  </si>
  <si>
    <t xml:space="preserve">101–500</t>
  </si>
  <si>
    <t xml:space="preserve">More than 1,000</t>
  </si>
  <si>
    <t xml:space="preserve">Other</t>
  </si>
  <si>
    <t xml:space="preserve">Numerical responses total</t>
  </si>
  <si>
    <t xml:space="preserve">The 10,558.5-user midpoint illustration excludes the unknown answer. Do not round it into confirmed demand.</t>
  </si>
  <si>
    <t xml:space="preserve">DDA internal survey supplied responses</t>
  </si>
  <si>
    <t xml:space="preserve">Question</t>
  </si>
  <si>
    <t xml:space="preserve">Response</t>
  </si>
  <si>
    <t xml:space="preserve">Supplied percentage</t>
  </si>
  <si>
    <t xml:space="preserve">S04: user-supplied DDA internal survey. Date, invitation count and respondent mapping not supplied.</t>
  </si>
  <si>
    <t xml:space="preserve">Q1. Does your organization currently use a digital/electronic signature system?</t>
  </si>
  <si>
    <t xml:space="preserve">Yes</t>
  </si>
  <si>
    <t xml:space="preserve">Q1/Q8 N=38; Q2–Q5 N=22; Q7 N=16. Preserve separate populations.</t>
  </si>
  <si>
    <t xml:space="preserve">No</t>
  </si>
  <si>
    <t xml:space="preserve">Q6 inferred denominator 17, multiple selections. 42 selections are not 42 entities.</t>
  </si>
  <si>
    <t xml:space="preserve">Under planning</t>
  </si>
  <si>
    <t xml:space="preserve">Q2a breaks down the nine Other responses. No extra respondents.</t>
  </si>
  <si>
    <t xml:space="preserve">Under implementation</t>
  </si>
  <si>
    <t xml:space="preserve">Missing user/cost bands are not zero. Annual cost bands mix current and expected spending.</t>
  </si>
  <si>
    <t xml:space="preserve">Total</t>
  </si>
  <si>
    <t xml:space="preserve">Q2. Which digital signature system is currently used / being implemented?</t>
  </si>
  <si>
    <t xml:space="preserve">Circularo Digital Sign</t>
  </si>
  <si>
    <t xml:space="preserve">Adobe Sign</t>
  </si>
  <si>
    <t xml:space="preserve">DocuSign</t>
  </si>
  <si>
    <t xml:space="preserve">Q2a. Other systems specified</t>
  </si>
  <si>
    <t xml:space="preserve">d2tick</t>
  </si>
  <si>
    <t xml:space="preserve">signeasy</t>
  </si>
  <si>
    <t xml:space="preserve">Ascertia SigningHub</t>
  </si>
  <si>
    <t xml:space="preserve">DocuSign &amp; Adobe Sign</t>
  </si>
  <si>
    <t xml:space="preserve">emSigner</t>
  </si>
  <si>
    <t xml:space="preserve">Kofax SignDoc</t>
  </si>
  <si>
    <t xml:space="preserve">Tungsten (Kofax) SignDoc</t>
  </si>
  <si>
    <t xml:space="preserve">Q3. Current / expected number of digital signature users when implementation is complete</t>
  </si>
  <si>
    <t xml:space="preserve">1–50 users</t>
  </si>
  <si>
    <t xml:space="preserve">51–100 users</t>
  </si>
  <si>
    <t xml:space="preserve">101–500 users</t>
  </si>
  <si>
    <t xml:space="preserve">More than 1,000 users</t>
  </si>
  <si>
    <t xml:space="preserve">Q4. Approximate annual cost of the current / expected digital signature system</t>
  </si>
  <si>
    <t xml:space="preserve">Less than AED 50,000</t>
  </si>
  <si>
    <t xml:space="preserve">AED 50,001–100,000</t>
  </si>
  <si>
    <t xml:space="preserve">AED 100,001–250,000</t>
  </si>
  <si>
    <t xml:space="preserve">AED 250,001–500,000</t>
  </si>
  <si>
    <t xml:space="preserve">More than AED 2,000,000</t>
  </si>
  <si>
    <t xml:space="preserve">Not available / unknown</t>
  </si>
  <si>
    <t xml:space="preserve">Q5. Do you expect digital signature usage to increase in the future?</t>
  </si>
  <si>
    <t xml:space="preserve">Yes – moderate increase expected</t>
  </si>
  <si>
    <t xml:space="preserve">Yes – significant increase expected</t>
  </si>
  <si>
    <t xml:space="preserve">Unsure / to be determined</t>
  </si>
  <si>
    <t xml:space="preserve">No – expected to remain approximately the same</t>
  </si>
  <si>
    <t xml:space="preserve">Q6. What factors are expected to drive this increase?</t>
  </si>
  <si>
    <t xml:space="preserve">Increase in number of users</t>
  </si>
  <si>
    <t xml:space="preserve">Expansion to additional departments</t>
  </si>
  <si>
    <t xml:space="preserve">Increased external signing with suppliers, partners, customers/public</t>
  </si>
  <si>
    <t xml:space="preserve">New document types / new use cases</t>
  </si>
  <si>
    <t xml:space="preserve">Q7. Would your organization be interested in using a digital signature system?</t>
  </si>
  <si>
    <t xml:space="preserve">Yes – we have a current requirement</t>
  </si>
  <si>
    <t xml:space="preserve">Yes – may need it in the future</t>
  </si>
  <si>
    <t xml:space="preserve">Total interested organizations</t>
  </si>
  <si>
    <t xml:space="preserve">Q8. What is the primary use of digital/electronic signature in your organization, or expected use if implemented?</t>
  </si>
  <si>
    <t xml:space="preserve">Both internal and external</t>
  </si>
  <si>
    <t xml:space="preserve">Internal – document approval/signing between departments or employees</t>
  </si>
  <si>
    <t xml:space="preserve">External – signing documents with suppliers, partners, customers/public</t>
  </si>
  <si>
    <t xml:space="preserve">Potential entity intake and scope review</t>
  </si>
  <si>
    <t xml:space="preserve">S02: dda departments columns A:B only. Other workbook tabs and columns supply no facts to this model.</t>
  </si>
  <si>
    <t xml:space="preserve">Excel row</t>
  </si>
  <si>
    <t xml:space="preserve">Source company name</t>
  </si>
  <si>
    <t xml:space="preserve">Workforce evidence</t>
  </si>
  <si>
    <t xml:space="preserve">Existing users</t>
  </si>
  <si>
    <t xml:space="preserve">Proposed new seats</t>
  </si>
  <si>
    <t xml:space="preserve">Scope / research note</t>
  </si>
  <si>
    <t xml:space="preserve">Central Grievance Committee</t>
  </si>
  <si>
    <t xml:space="preserve">—</t>
  </si>
  <si>
    <t xml:space="preserve">Entity-specific workforce and paid-user demand remain unestablished.</t>
  </si>
  <si>
    <t xml:space="preserve">Community Development Authority</t>
  </si>
  <si>
    <t xml:space="preserve">Dubai Courts</t>
  </si>
  <si>
    <t xml:space="preserve">R09: 1,275 (2024), candidate; PDF layout unverified</t>
  </si>
  <si>
    <t xml:space="preserve">Department of Economic Development</t>
  </si>
  <si>
    <t xml:space="preserve">R11: DET predecessor; resolve group before counting.</t>
  </si>
  <si>
    <t xml:space="preserve">Department of Economy and Tourism</t>
  </si>
  <si>
    <t xml:space="preserve">R11: current DET name; overlaps rows 5, 8, 24.</t>
  </si>
  <si>
    <t xml:space="preserve">Department of Finance</t>
  </si>
  <si>
    <t xml:space="preserve">Department of Tourism and Commerce Marketing </t>
  </si>
  <si>
    <t xml:space="preserve">S03: On-Premise project; same entity as row 10.</t>
  </si>
  <si>
    <t xml:space="preserve">S03: Shared Service project; same entity as row 9.</t>
  </si>
  <si>
    <t xml:space="preserve">Directorate General of Dubai Civil Defense</t>
  </si>
  <si>
    <t xml:space="preserve">Civil Defence alias candidate with row 18.</t>
  </si>
  <si>
    <t xml:space="preserve">Dubai Academic Health Corporation</t>
  </si>
  <si>
    <t xml:space="preserve">R03: 11,000 (2024); shared population with row 33</t>
  </si>
  <si>
    <t xml:space="preserve">R03: Dubai Health brand; same workforce as row 33.</t>
  </si>
  <si>
    <t xml:space="preserve">Dubai Air Navigation Services</t>
  </si>
  <si>
    <t xml:space="preserve">Dubai Airport Freezone</t>
  </si>
  <si>
    <t xml:space="preserve">R14: DIEZ zone; exclude tenant-company workforce.</t>
  </si>
  <si>
    <t xml:space="preserve">Dubai Airports</t>
  </si>
  <si>
    <t xml:space="preserve">R16: 45,000 airport-community trainees are not entity headcount.</t>
  </si>
  <si>
    <t xml:space="preserve">Dubai Chambers</t>
  </si>
  <si>
    <t xml:space="preserve">Dubai Civil Aviaition Authority</t>
  </si>
  <si>
    <t xml:space="preserve">Dubai Civil Defence</t>
  </si>
  <si>
    <t xml:space="preserve">Civil Defence alias candidate with row 11.</t>
  </si>
  <si>
    <t xml:space="preserve">R07: 1,375 personnel (2023), operational scope</t>
  </si>
  <si>
    <t xml:space="preserve">R07: operational-team scope, not verified total headcount.</t>
  </si>
  <si>
    <t xml:space="preserve">Dubai Corporation for Aviation Engineering Projects</t>
  </si>
  <si>
    <t xml:space="preserve">Dubai Customs</t>
  </si>
  <si>
    <t xml:space="preserve">R06: 2,880, undated; current count unverified</t>
  </si>
  <si>
    <t xml:space="preserve">Dubai Duty Free</t>
  </si>
  <si>
    <t xml:space="preserve">R05: 5,800+ (2025), indexed primary report</t>
  </si>
  <si>
    <t xml:space="preserve">Dubai Economy and Tourism</t>
  </si>
  <si>
    <t xml:space="preserve">R11: DET alias candidate; do not sum independently.</t>
  </si>
  <si>
    <t xml:space="preserve">Dubai Electricity &amp; Water Authority (DEWA)</t>
  </si>
  <si>
    <t xml:space="preserve">R02: 10,764 (2025), indexed primary report</t>
  </si>
  <si>
    <t xml:space="preserve">Dubai Export Development Coroporation</t>
  </si>
  <si>
    <t xml:space="preserve">Dubai Financial Market (DFM)</t>
  </si>
  <si>
    <t xml:space="preserve">Listed-market operator workforce needed; exclude listed companies.</t>
  </si>
  <si>
    <t xml:space="preserve">Dubai Foundation for Women and Children</t>
  </si>
  <si>
    <t xml:space="preserve">Dubai Future Foundation</t>
  </si>
  <si>
    <t xml:space="preserve">Dubai Government Human Resource Department</t>
  </si>
  <si>
    <t xml:space="preserve">Human Resources alias candidate with row 82.</t>
  </si>
  <si>
    <t xml:space="preserve">Dubai Government Workshop</t>
  </si>
  <si>
    <t xml:space="preserve">Dubai Health</t>
  </si>
  <si>
    <t xml:space="preserve">R03: 11,000 (2024); shared population with row 12</t>
  </si>
  <si>
    <t xml:space="preserve">R03: Dubai Health; same workforce as row 12.</t>
  </si>
  <si>
    <t xml:space="preserve">Dubai Health Authority (DHA)</t>
  </si>
  <si>
    <t xml:space="preserve">R03: DHA regulator distinct from Dubai Health; current scope required.</t>
  </si>
  <si>
    <t xml:space="preserve">Dubai International Financial Centre (DIFC)</t>
  </si>
  <si>
    <t xml:space="preserve">Dubai Islamic Economy Development Centre</t>
  </si>
  <si>
    <t xml:space="preserve">Dubai Judicial Institute</t>
  </si>
  <si>
    <t xml:space="preserve">Dubai Land Department (DLD)</t>
  </si>
  <si>
    <t xml:space="preserve">Dubai Maritime City Authority</t>
  </si>
  <si>
    <t xml:space="preserve">Dubai Media Council</t>
  </si>
  <si>
    <t xml:space="preserve">Dubai Media Inc</t>
  </si>
  <si>
    <t xml:space="preserve">Dubai Municipality</t>
  </si>
  <si>
    <t xml:space="preserve">R10: 11,000, undated profile; not current-verified</t>
  </si>
  <si>
    <t xml:space="preserve">Literal duplicate of row 50; preserve raw row.</t>
  </si>
  <si>
    <t xml:space="preserve">Dubai Petroleum</t>
  </si>
  <si>
    <t xml:space="preserve">Dubai Police</t>
  </si>
  <si>
    <t xml:space="preserve">Dubai Public Prosecution</t>
  </si>
  <si>
    <t xml:space="preserve">Public Prosecution alias candidate with row 75.</t>
  </si>
  <si>
    <t xml:space="preserve">Dubai Silicon Oasis Authority</t>
  </si>
  <si>
    <t xml:space="preserve">Dubai South</t>
  </si>
  <si>
    <t xml:space="preserve">Dubai Sports Council</t>
  </si>
  <si>
    <t xml:space="preserve">Dubai Statistics Center</t>
  </si>
  <si>
    <t xml:space="preserve">R10: duplicate of row 42, no additional workforce</t>
  </si>
  <si>
    <t xml:space="preserve">Literal duplicate of row 42; do not allocate additional users.</t>
  </si>
  <si>
    <t xml:space="preserve">Dubai Women Establishment</t>
  </si>
  <si>
    <t xml:space="preserve">Economic Security Center of Dubai</t>
  </si>
  <si>
    <t xml:space="preserve">Emirates International Accreditation Centre (eiac)</t>
  </si>
  <si>
    <t xml:space="preserve">Endowment And Minor Trust Foundation</t>
  </si>
  <si>
    <t xml:space="preserve">Awqaf/Islamic Affairs naming requires review with row 60.</t>
  </si>
  <si>
    <t xml:space="preserve">Financial Audit Authority</t>
  </si>
  <si>
    <t xml:space="preserve">General Directorate of Residency and Forigners Affairs - Dubai</t>
  </si>
  <si>
    <t xml:space="preserve">Hamdan Bin Mohammed Smart University</t>
  </si>
  <si>
    <t xml:space="preserve">International City for Humanitarian Services</t>
  </si>
  <si>
    <t xml:space="preserve">R15: exclude ICD-affiliated-network counts; corporate scope needed.</t>
  </si>
  <si>
    <t xml:space="preserve">Islamic Affairs &amp; Charitable Activities Department (Awqaf Dubai)</t>
  </si>
  <si>
    <t xml:space="preserve">Awqaf/Islamic Affairs naming requires review with row 54.</t>
  </si>
  <si>
    <t xml:space="preserve">Jabel Ali Free Zone</t>
  </si>
  <si>
    <t xml:space="preserve">Free-zone authority vs tenant workforce must be separated.</t>
  </si>
  <si>
    <t xml:space="preserve">Khbrati</t>
  </si>
  <si>
    <t xml:space="preserve">Knowledge and Human Development Authority</t>
  </si>
  <si>
    <t xml:space="preserve">Knowledge Fund Foundation</t>
  </si>
  <si>
    <t xml:space="preserve">Mohamed Bin Rashid Space Centre</t>
  </si>
  <si>
    <t xml:space="preserve">Mohammed Bin Rashid Al Maktoum Knowledge Foundation</t>
  </si>
  <si>
    <t xml:space="preserve">Mohammed Bin Rashid Al Maktoum Library Foundation</t>
  </si>
  <si>
    <t xml:space="preserve">Mohammed Bin Rashid Housing Establishment</t>
  </si>
  <si>
    <t xml:space="preserve">Mohammed Bin Rashid School of Government</t>
  </si>
  <si>
    <t xml:space="preserve">National Bonds</t>
  </si>
  <si>
    <t xml:space="preserve">Nedaa - Professional Communication Corporation</t>
  </si>
  <si>
    <t xml:space="preserve">R12: same named organization as row 73.</t>
  </si>
  <si>
    <t xml:space="preserve">PCFC, Trakhees and Customs workforce boundaries need confirmation.</t>
  </si>
  <si>
    <t xml:space="preserve">Professional Communication Corporation 'Nedaa'</t>
  </si>
  <si>
    <t xml:space="preserve">R12: same named organization as row 71.</t>
  </si>
  <si>
    <t xml:space="preserve">Protocol Department</t>
  </si>
  <si>
    <t xml:space="preserve">Public Prosecution</t>
  </si>
  <si>
    <t xml:space="preserve">Public Prosecution alias candidate with row 45.</t>
  </si>
  <si>
    <t xml:space="preserve">R08: 3,259 (2024), candidate; scope unverified</t>
  </si>
  <si>
    <t xml:space="preserve">S07: include as subscription in proposed model; current CAPEX remains fact.</t>
  </si>
  <si>
    <t xml:space="preserve">Security Industry Regulatory Authority</t>
  </si>
  <si>
    <t xml:space="preserve">State Security - Dubai</t>
  </si>
  <si>
    <t xml:space="preserve">Supreme Council of Energy Dubai</t>
  </si>
  <si>
    <t xml:space="preserve">Supreme Legislation Committee</t>
  </si>
  <si>
    <t xml:space="preserve">R18: Supreme Legislation Committee alias with row 85.</t>
  </si>
  <si>
    <t xml:space="preserve">The Executive Council - Dubai</t>
  </si>
  <si>
    <t xml:space="preserve">The Governement of Dubai Human Resources Department</t>
  </si>
  <si>
    <t xml:space="preserve">Human Resources alias candidate with row 31.</t>
  </si>
  <si>
    <t xml:space="preserve">The Government of Dubai Legal Affairs Department</t>
  </si>
  <si>
    <t xml:space="preserve">The Government of Dubai Media Office</t>
  </si>
  <si>
    <t xml:space="preserve">The Supreme Legislation Committee</t>
  </si>
  <si>
    <t xml:space="preserve">R18: Supreme Legislation Committee alias with row 80.</t>
  </si>
  <si>
    <t xml:space="preserve">Trakhees Corporation</t>
  </si>
  <si>
    <t xml:space="preserve">PCFC/Trakhees scope needs confirmation.</t>
  </si>
  <si>
    <t xml:space="preserve">UAE Food Bank</t>
  </si>
  <si>
    <t xml:space="preserve">Program vs standalone employer scope needs confirmation.</t>
  </si>
  <si>
    <t xml:space="preserve">Visit Dubai</t>
  </si>
  <si>
    <t xml:space="preserve">DET-related brand scope requires confirmation; no workforce assigned.</t>
  </si>
  <si>
    <t xml:space="preserve">Emirates Integrated Telecommunications Company (du)</t>
  </si>
  <si>
    <t xml:space="preserve">R04: 2,687 (2025); source period inconsistency noted</t>
  </si>
  <si>
    <t xml:space="preserve">R04: corporate workforce; DDA procurement eligibility to confirm.</t>
  </si>
  <si>
    <t xml:space="preserve">Mohammed Bin Rashid Al Maktoum Global Initiatives</t>
  </si>
  <si>
    <t xml:space="preserve">Mohammed Bin Rashid Centre for Government Innovation - Dubai</t>
  </si>
  <si>
    <t xml:space="preserve">Sheikh Zayed Housing Programme</t>
  </si>
  <si>
    <t xml:space="preserve">R13: federal MoEI program; DDA procurement eligibility unresolved.</t>
  </si>
  <si>
    <t xml:space="preserve">Authority staff distinct from healthcare-zone provider workforce.</t>
  </si>
  <si>
    <t xml:space="preserve">New allocations are blank pending entity mapping. Enter each distinct demand group once, after resolving aliases and eligibility.</t>
  </si>
  <si>
    <t xml:space="preserve">This intake does not drive purchased capacity. Procurement commitment and evidence-backed allocation remain separate.</t>
  </si>
  <si>
    <t xml:space="preserve">External research and evidence limits</t>
  </si>
  <si>
    <t xml:space="preserve">External research as recorded on 20 September 2026. Scope and evidence limits remain attached to each source.</t>
  </si>
  <si>
    <t xml:space="preserve">Source</t>
  </si>
  <si>
    <t xml:space="preserve">Finding</t>
  </si>
  <si>
    <t xml:space="preserve">Evidence limits</t>
  </si>
  <si>
    <t xml:space="preserve">Primary URL</t>
  </si>
  <si>
    <t xml:space="preserve">R01</t>
  </si>
  <si>
    <t xml:space="preserve">Smart Employee served over 76,000 employees across 76 government entities.</t>
  </si>
  <si>
    <t xml:space="preserve">Strong first-party scale benchmark. Do not add entity headcounts to this aggregate or treat HR self-service users as paid signature users.</t>
  </si>
  <si>
    <t xml:space="preserve">https://www.digitaldubai.ae/newsroom/news/dubai-to-make-presence-felt-at-gitex-europe-x-ai-everything-2025-with-a-joint-pavilion-featuring-12-government-and-private-entities</t>
  </si>
  <si>
    <t xml:space="preserve">R02</t>
  </si>
  <si>
    <t xml:space="preserve">10,764 employees reported for 2025.</t>
  </si>
  <si>
    <t xml:space="preserve">Workforce context for DEWA. Primary search-index extracts corroborate the total; full DEWA PDF retrieval exceeded tool size limit. Operational workers are not automatically paid sign users.</t>
  </si>
  <si>
    <t xml:space="preserve">https://www.dewa.gov.ae/-/media/Files/Investor-Relations-Files/Integrated-report-for-the-year-2025.ashx</t>
  </si>
  <si>
    <t xml:space="preserve">R03</t>
  </si>
  <si>
    <t xml:space="preserve">More than 11,000 professionals in the 2023 announcement; 2024 entity announcement describes 11,000 employees. Dubai Academic Health Corporation operates as Dubai Health. DHA has a separate regulatory role.</t>
  </si>
  <si>
    <t xml:space="preserve">Historical workforce scale; one delivery-system population, not two. Do not reuse historic DHA headcounts without accounting for restructuring, or assume all clinicians need Circularo seats.</t>
  </si>
  <si>
    <t xml:space="preserve">https://mediaoffice.ae/en/news/2023/November/11-11/Dubai-Health</t>
  </si>
  <si>
    <t xml:space="preserve">R04</t>
  </si>
  <si>
    <t xml:space="preserve">2,687 total employees.</t>
  </si>
  <si>
    <t xml:space="preserve">Entity/corporate workforce context, subject to procurement-scope confirmation. The sustainability report introduction identifies 2025, but its GRI index contains a 2024 period statement; retain this source inconsistency. Annual-report search extract corroborates the number.</t>
  </si>
  <si>
    <t xml:space="preserve">https://investors.du.ae/static-files/db00b561-a6f2-41e5-a0de-c73bbad518d2</t>
  </si>
  <si>
    <t xml:space="preserve">R05</t>
  </si>
  <si>
    <t xml:space="preserve">Dubai Duty Free reports 5,800+ employees supporting operations.</t>
  </si>
  <si>
    <t xml:space="preserve">Search-index evidence; full PDF retrieval failed. Do not turn this rounded floor into an exact count, or count it again inside ICD-wide workforce.</t>
  </si>
  <si>
    <t xml:space="preserve">https://icd.gov.ae/wp-content/uploads/2025/11/ICD-AR2025-Full-Report-2.pdf</t>
  </si>
  <si>
    <t xml:space="preserve">R06</t>
  </si>
  <si>
    <t xml:space="preserve">The entity page states 2,880 personnel.</t>
  </si>
  <si>
    <t xml:space="preserve">Reported but undated; not accepted as a current 2026 count. A recent crawl does not establish a recent underlying observation.</t>
  </si>
  <si>
    <t xml:space="preserve">https://www.dubaicustoms.gov.ae/en/SocialResponsibility/Csr/OurEmployees/Pages/default.aspx</t>
  </si>
  <si>
    <t xml:space="preserve">R07</t>
  </si>
  <si>
    <t xml:space="preserve">Describes 1,375 personnel managing and operating specialized ambulance services.</t>
  </si>
  <si>
    <t xml:space="preserve">Operational-team scope, not established total entity headcount; use only as contextual evidence. S03's 275 licensed users remains the direct current-customer input.</t>
  </si>
  <si>
    <t xml:space="preserve">https://www.mediaoffice.ae/en/news/2024/april/04-04/dubai-ambulance-responds-to-over</t>
  </si>
  <si>
    <t xml:space="preserve">R08</t>
  </si>
  <si>
    <t xml:space="preserve">An employee-category table includes a 2024 total of 3,259.</t>
  </si>
  <si>
    <t xml:space="preserve">Candidate only: text extraction and search rendering differ in language/layout; screenshot retrieval failed. Confirm table purpose and population before using this as workforce or an adoption denominator. Keep S03's 1,000 users.</t>
  </si>
  <si>
    <t xml:space="preserve">https://www.rta.ae/wps/wcm/connect/rta/b7653aa3-5dbc-436f-90a3-8dd1aeb270d0/RTA%2BSustainability%2BReport%2B2024-%2BFinal.pdf?MOD=AJPERES</t>
  </si>
  <si>
    <t xml:space="preserve">R09</t>
  </si>
  <si>
    <t xml:space="preserve">Search extract places 1,275 beside total employees, with separate administrative and judicial metrics.</t>
  </si>
  <si>
    <t xml:space="preserve">Candidate only: full retrieval failed and visual association was not verified. Do not use 1,275 in a base-case calculation until the source page is confirmed.</t>
  </si>
  <si>
    <t xml:space="preserve">https://www.dc.gov.ae/publicservices/websitefiles/Annual_Report/Annual-Report-2024-En.pdf</t>
  </si>
  <si>
    <t xml:space="preserve">R10</t>
  </si>
  <si>
    <t xml:space="preserve">Profile states 11,000 employees in 34 departments.</t>
  </si>
  <si>
    <t xml:space="preserve">Undated self-description; similar figures appear in much older coverage. Lower confidence than a dated annual report; do not treat as current verified workforce.</t>
  </si>
  <si>
    <t xml:space="preserve">https://www.linkedin.com/company/dubai-municipality</t>
  </si>
  <si>
    <t xml:space="preserve">R11</t>
  </si>
  <si>
    <t xml:space="preserve">Dubai Economy and Dubai Tourism merged into the Department of Economy and Tourism.</t>
  </si>
  <si>
    <t xml:space="preserve">Supports predecessor/alias review. No workforce count is supplied; do not sum their historic workforces with DET.</t>
  </si>
  <si>
    <t xml:space="preserve">https://pddportalstg.dubai.gov.ae/en/media-listing/news-events/mohammed-bin-rashid-issues-decision-to-merge-dubai-economy-dubai-tourism-to-become-dubai-s-department-of-economy-and-tourism/</t>
  </si>
  <si>
    <t xml:space="preserve">R12</t>
  </si>
  <si>
    <t xml:space="preserve">Nedaa is the Professional Communication Corporation.</t>
  </si>
  <si>
    <t xml:space="preserve">Source names for the two Nedaa rows refer to the same named organization; retain both raw rows, propose one demand group.</t>
  </si>
  <si>
    <t xml:space="preserve">https://www.nedaa.ae/en/Pages/aboutus.aspx</t>
  </si>
  <si>
    <t xml:space="preserve">R13</t>
  </si>
  <si>
    <t xml:space="preserve">Sheikh Zayed Housing Programme is federal and was merged into MoEI in 2020.</t>
  </si>
  <si>
    <t xml:space="preserve">Flag eligibility under a DDA purchase for confirmation; do not silently delete the user-supplied potential entity.</t>
  </si>
  <si>
    <t xml:space="preserve">https://u.ae/en/information-and-services/housing/housing-authorities-and-programmes</t>
  </si>
  <si>
    <t xml:space="preserve">R14</t>
  </si>
  <si>
    <t xml:space="preserve">DIEZ covers DAFZ, Dubai Silicon Oasis, and Dubai CommerCity.</t>
  </si>
  <si>
    <t xml:space="preserve">Parent/zone relationships require workforce boundaries. Zone tenant employees are not automatically authority employees or eligible subscribers.</t>
  </si>
  <si>
    <t xml:space="preserve">https://mediaoffice.ae/en/news/2026/april/09-04/dubai-integrated-economic-zones-authority-launches-set-of-economic-measures</t>
  </si>
  <si>
    <t xml:space="preserve">R15</t>
  </si>
  <si>
    <t xml:space="preserve">Its Happiness Club reached over 76,000 employees across 39 companies.</t>
  </si>
  <si>
    <t xml:space="preserve">This is an ICD-affiliated network, not ICD headquarters headcount. It is also a different population from R01 despite the similar number. Exclude from employee totals.</t>
  </si>
  <si>
    <t xml:space="preserve">https://icd.gov.ae/corporate-social-responsibility/</t>
  </si>
  <si>
    <t xml:space="preserve">R16</t>
  </si>
  <si>
    <t xml:space="preserve">45,000 training participants span the wider airport community, including partners.</t>
  </si>
  <si>
    <t xml:space="preserve">Exclude as an employer headcount or paid-user estimate. Airport-community scale must not be assigned entirely to Dubai Airports.</t>
  </si>
  <si>
    <t xml:space="preserve">https://media.dubaiairports.ae/dubai-airports-redefines-accessible-travel-and-enhances-autism-services-and-training/</t>
  </si>
  <si>
    <t xml:space="preserve">R17</t>
  </si>
  <si>
    <t xml:space="preserve">DDA describes a public-sector HR data initiative and a centralized HR system with regular/outsourced employee records.</t>
  </si>
  <si>
    <t xml:space="preserve">Indicates an authoritative route for aggregate counts by entity and role. This research has not accessed those records or requested personal data.</t>
  </si>
  <si>
    <t xml:space="preserve">https://www.digitaldubai.ae/knowledge-hub/blogs/the-dubai-hr-register-why-human-decisions-need-sound-data</t>
  </si>
  <si>
    <t xml:space="preserve">R18</t>
  </si>
  <si>
    <t xml:space="preserve">Official name and remit of the Supreme Legislation Committee.</t>
  </si>
  <si>
    <t xml:space="preserve">Supports alias review for the two SLC names in the supplied list.</t>
  </si>
  <si>
    <t xml:space="preserve">https://slc.dubai.gov.ae/en/</t>
  </si>
  <si>
    <t xml:space="preserve">Workforce references are context only. No workforce percentage from 91 Entities Model enters the central demand forecast.</t>
  </si>
  <si>
    <t xml:space="preserve">Model checks and unresolved inputs</t>
  </si>
  <si>
    <t xml:space="preserve">Check</t>
  </si>
  <si>
    <t xml:space="preserve">Result</t>
  </si>
  <si>
    <t xml:space="preserve">Source-name rows</t>
  </si>
  <si>
    <t xml:space="preserve">Expected raw count 92, not unique eligible entities.</t>
  </si>
  <si>
    <t xml:space="preserve">Existing users total</t>
  </si>
  <si>
    <t xml:space="preserve">Expected 1,830.</t>
  </si>
  <si>
    <t xml:space="preserve">Expected 1,260.</t>
  </si>
  <si>
    <t xml:space="preserve">Source rows missing new allocations</t>
  </si>
  <si>
    <t xml:space="preserve">Initial allocation gap after proposals</t>
  </si>
  <si>
    <t xml:space="preserve">Positive gap means more named allocation is needed. Duplicate proposals require review.</t>
  </si>
  <si>
    <t xml:space="preserve">Missing reported support amounts</t>
  </si>
  <si>
    <t xml:space="preserve">Missing means unknown, not free or zero.</t>
  </si>
  <si>
    <t xml:space="preserve">Central recurring cost reconciliation</t>
  </si>
  <si>
    <t xml:space="preserve">Benefit reconciliation</t>
  </si>
  <si>
    <t xml:space="preserve">Deployed users exceed paid capacity</t>
  </si>
  <si>
    <t xml:space="preserve">Periods</t>
  </si>
  <si>
    <t xml:space="preserve">New onboarding entities total</t>
  </si>
  <si>
    <t xml:space="preserve">Selected driver input errors</t>
  </si>
  <si>
    <t xml:space="preserve">Cells</t>
  </si>
  <si>
    <t xml:space="preserve">Review before external use</t>
  </si>
  <si>
    <t xml:space="preserve">Map survey respondents to entities and remove overlap with current customers.</t>
  </si>
  <si>
    <t xml:space="preserve">Confirm distinct eligible entities and funded user allocations for the 10,000 commitment.</t>
  </si>
  <si>
    <t xml:space="preserve">Confirm added-seat price lock, migration dates, contract cessations and any credits.</t>
  </si>
  <si>
    <t xml:space="preserve">Price additional services and establish tax, current-charge scope and missing support amounts.</t>
  </si>
  <si>
    <t xml:space="preserve">Confirm the ROI definition, onboarding schedule and adoption assumptions with DDA.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</si>
</sst>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–"/>
    <numFmt numFmtId="166" formatCode="0.0%;\(0.0%\);\–"/>
    <numFmt numFmtId="167" formatCode="0.0,,"/>
    <numFmt numFmtId="168" formatCode="#,##0.00;\(#,##0.00\);\–"/>
    <numFmt numFmtId="169" formatCode="#,##0.0"/>
    <numFmt numFmtId="170" formatCode="0.00%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43247"/>
      <name val="Arial"/>
      <family val="0"/>
      <charset val="1"/>
    </font>
    <font>
      <b val="true"/>
      <sz val="16"/>
      <color rgb="FF1D009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43247"/>
      <name val="Arial"/>
      <family val="0"/>
      <charset val="1"/>
    </font>
    <font>
      <b val="true"/>
      <sz val="10.5"/>
      <color rgb="FF000000"/>
      <name val="Arial"/>
      <family val="2"/>
    </font>
    <font>
      <sz val="9"/>
      <color rgb="FF000000"/>
      <name val="Arial"/>
      <family val="2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D009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0090"/>
        <bgColor rgb="FF000080"/>
      </patternFill>
    </fill>
    <fill>
      <patternFill patternType="solid">
        <fgColor rgb="FFF5EDFF"/>
        <bgColor rgb="FFFDE9E7"/>
      </patternFill>
    </fill>
    <fill>
      <patternFill patternType="solid">
        <fgColor rgb="FFFFF1CC"/>
        <bgColor rgb="FFFDE9E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00FF"/>
      </bottom>
      <diagonal/>
    </border>
    <border diagonalUp="false" diagonalDown="false">
      <left/>
      <right/>
      <top style="thin">
        <color rgb="FF667085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5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B42318"/>
      </font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D0090"/>
      <rgbColor rgb="FF808000"/>
      <rgbColor rgb="FF7000FF"/>
      <rgbColor rgb="FF156082"/>
      <rgbColor rgb="FFCCCCCC"/>
      <rgbColor rgb="FF8B8B8B"/>
      <rgbColor rgb="FF9999FF"/>
      <rgbColor rgb="FF993366"/>
      <rgbColor rgb="FFFFF1CC"/>
      <rgbColor rgb="FFF5ED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Annual cost comparison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"Baseline AED"</c:f>
              <c:strCache>
                <c:ptCount val="1"/>
                <c:pt idx="0">
                  <c:v>Baseline AED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Executive!$C$52:$C$56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Executive!$D$52:$D$56</c:f>
              <c:numCache>
                <c:formatCode>General</c:formatCode>
                <c:ptCount val="5"/>
                <c:pt idx="0">
                  <c:v>26257360</c:v>
                </c:pt>
                <c:pt idx="1">
                  <c:v>27879860</c:v>
                </c:pt>
                <c:pt idx="2">
                  <c:v>29502360</c:v>
                </c:pt>
                <c:pt idx="3">
                  <c:v>31124860</c:v>
                </c:pt>
                <c:pt idx="4">
                  <c:v>32747360</c:v>
                </c:pt>
              </c:numCache>
            </c:numRef>
          </c:val>
        </c:ser>
        <c:ser>
          <c:idx val="1"/>
          <c:order val="1"/>
          <c:tx>
            <c:strRef>
              <c:f>"Central AED"</c:f>
              <c:strCache>
                <c:ptCount val="1"/>
                <c:pt idx="0">
                  <c:v>Central AED</c:v>
                </c:pt>
              </c:strCache>
            </c:strRef>
          </c:tx>
          <c:spPr>
            <a:solidFill>
              <a:srgbClr val="7000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Executive!$C$52:$C$56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Executive!$E$52:$E$56</c:f>
              <c:numCache>
                <c:formatCode>#,##0;\(#,##0\);\–</c:formatCode>
                <c:ptCount val="5"/>
                <c:pt idx="0">
                  <c:v>13308680</c:v>
                </c:pt>
                <c:pt idx="1">
                  <c:v>14047930</c:v>
                </c:pt>
                <c:pt idx="2">
                  <c:v>14895180</c:v>
                </c:pt>
                <c:pt idx="3">
                  <c:v>15706430</c:v>
                </c:pt>
                <c:pt idx="4">
                  <c:v>16517680</c:v>
                </c:pt>
              </c:numCache>
            </c:numRef>
          </c:val>
        </c:ser>
        <c:gapWidth val="150"/>
        <c:overlap val="0"/>
        <c:axId val="62168079"/>
        <c:axId val="79576528"/>
      </c:barChart>
      <c:catAx>
        <c:axId val="6216807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9576528"/>
        <c:crosses val="autoZero"/>
        <c:auto val="1"/>
        <c:lblAlgn val="ctr"/>
        <c:lblOffset val="100"/>
        <c:noMultiLvlLbl val="0"/>
      </c:catAx>
      <c:valAx>
        <c:axId val="7957652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62168079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Cumulative comparative benefit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"Cumulative benefit AED"</c:f>
              <c:strCache>
                <c:ptCount val="1"/>
                <c:pt idx="0">
                  <c:v>Cumulative benefit AED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Executive!$C$52:$C$56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Executive!$F$52:$F$56</c:f>
              <c:numCache>
                <c:formatCode>#,##0;\(#,##0\);\–</c:formatCode>
                <c:ptCount val="5"/>
                <c:pt idx="0">
                  <c:v>12948680</c:v>
                </c:pt>
                <c:pt idx="1">
                  <c:v>26780610</c:v>
                </c:pt>
                <c:pt idx="2">
                  <c:v>41387790</c:v>
                </c:pt>
                <c:pt idx="3">
                  <c:v>56806220</c:v>
                </c:pt>
                <c:pt idx="4">
                  <c:v>73035900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872328"/>
        <c:axId val="82120694"/>
      </c:lineChart>
      <c:catAx>
        <c:axId val="387232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2120694"/>
        <c:crosses val="autoZero"/>
        <c:auto val="1"/>
        <c:lblAlgn val="ctr"/>
        <c:lblOffset val="100"/>
        <c:noMultiLvlLbl val="0"/>
      </c:catAx>
      <c:valAx>
        <c:axId val="8212069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872328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7</xdr:row>
      <xdr:rowOff>0</xdr:rowOff>
    </xdr:from>
    <xdr:to>
      <xdr:col>16</xdr:col>
      <xdr:colOff>845640</xdr:colOff>
      <xdr:row>21</xdr:row>
      <xdr:rowOff>304560</xdr:rowOff>
    </xdr:to>
    <xdr:graphicFrame>
      <xdr:nvGraphicFramePr>
        <xdr:cNvPr id="1" name="Chart"/>
        <xdr:cNvGraphicFramePr/>
      </xdr:nvGraphicFramePr>
      <xdr:xfrm>
        <a:off x="8387640" y="2133720"/>
        <a:ext cx="7612200" cy="472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0</xdr:rowOff>
    </xdr:from>
    <xdr:to>
      <xdr:col>16</xdr:col>
      <xdr:colOff>845640</xdr:colOff>
      <xdr:row>35</xdr:row>
      <xdr:rowOff>304560</xdr:rowOff>
    </xdr:to>
    <xdr:graphicFrame>
      <xdr:nvGraphicFramePr>
        <xdr:cNvPr id="2" name="Chart"/>
        <xdr:cNvGraphicFramePr/>
      </xdr:nvGraphicFramePr>
      <xdr:xfrm>
        <a:off x="8387640" y="6858000"/>
        <a:ext cx="7612200" cy="434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0090"/>
    <pageSetUpPr fitToPage="false"/>
  </sheetPr>
  <dimension ref="A1:N9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4"/>
    <col collapsed="false" customWidth="true" hidden="false" outlineLevel="0" max="4" min="4" style="0" width="3"/>
    <col collapsed="false" customWidth="true" hidden="false" outlineLevel="0" max="7" min="5" style="0" width="21"/>
    <col collapsed="false" customWidth="true" hidden="false" outlineLevel="0" max="8" min="8" style="0" width="3"/>
    <col collapsed="false" customWidth="true" hidden="false" outlineLevel="0" max="17" min="9" style="0" width="12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0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6" t="str">
        <f aca="false">Assumptions!E5</f>
        <v>Base</v>
      </c>
      <c r="F4" s="6"/>
      <c r="G4" s="2"/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7" t="s">
        <v>2</v>
      </c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24" hidden="false" customHeight="true" outlineLevel="0" collapsed="false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1"/>
      <c r="M7" s="1"/>
      <c r="N7" s="1"/>
    </row>
    <row r="8" customFormat="false" ht="30" hidden="false" customHeight="true" outlineLevel="0" collapsed="false">
      <c r="A8" s="1"/>
      <c r="B8" s="1"/>
      <c r="C8" s="8" t="s">
        <v>3</v>
      </c>
      <c r="D8" s="8"/>
      <c r="E8" s="9" t="s">
        <v>4</v>
      </c>
      <c r="F8" s="2"/>
      <c r="G8" s="2"/>
      <c r="H8" s="2"/>
      <c r="I8" s="2"/>
      <c r="J8" s="2"/>
      <c r="K8" s="2"/>
      <c r="L8" s="1"/>
      <c r="M8" s="1"/>
      <c r="N8" s="1"/>
    </row>
    <row r="9" customFormat="false" ht="24" hidden="false" customHeight="true" outlineLevel="0" collapsed="false">
      <c r="A9" s="1"/>
      <c r="B9" s="1"/>
      <c r="C9" s="1" t="s">
        <v>5</v>
      </c>
      <c r="D9" s="1"/>
      <c r="E9" s="2" t="n">
        <f aca="false">'Cost model'!E8</f>
        <v>10000</v>
      </c>
      <c r="F9" s="2"/>
      <c r="G9" s="2"/>
      <c r="H9" s="2"/>
      <c r="I9" s="2"/>
      <c r="J9" s="2"/>
      <c r="K9" s="2"/>
      <c r="L9" s="1"/>
      <c r="M9" s="1"/>
      <c r="N9" s="1"/>
    </row>
    <row r="10" customFormat="false" ht="24" hidden="false" customHeight="true" outlineLevel="0" collapsed="false">
      <c r="A10" s="1"/>
      <c r="B10" s="1"/>
      <c r="C10" s="1" t="s">
        <v>6</v>
      </c>
      <c r="D10" s="1"/>
      <c r="E10" s="2" t="n">
        <f aca="false">'Cost model'!I8</f>
        <v>12500</v>
      </c>
      <c r="F10" s="2"/>
      <c r="G10" s="2"/>
      <c r="H10" s="2"/>
      <c r="I10" s="2"/>
      <c r="J10" s="2"/>
      <c r="K10" s="2"/>
      <c r="L10" s="1"/>
      <c r="M10" s="1"/>
      <c r="N10" s="1"/>
    </row>
    <row r="11" customFormat="false" ht="24" hidden="false" customHeight="true" outlineLevel="0" collapsed="false">
      <c r="A11" s="1"/>
      <c r="B11" s="1"/>
      <c r="C11" s="1" t="s">
        <v>7</v>
      </c>
      <c r="D11" s="1"/>
      <c r="E11" s="10" t="n">
        <f aca="false">'Cost model'!E50</f>
        <v>0.5</v>
      </c>
      <c r="F11" s="2"/>
      <c r="G11" s="2"/>
      <c r="H11" s="2"/>
      <c r="I11" s="2"/>
      <c r="J11" s="2"/>
      <c r="K11" s="2"/>
      <c r="L11" s="1"/>
      <c r="M11" s="1"/>
      <c r="N11" s="1"/>
    </row>
    <row r="12" customFormat="false" ht="24" hidden="false" customHeight="true" outlineLevel="0" collapsed="false">
      <c r="A12" s="1"/>
      <c r="B12" s="1"/>
      <c r="C12" s="1" t="s">
        <v>8</v>
      </c>
      <c r="D12" s="1"/>
      <c r="E12" s="10" t="n">
        <f aca="false">'Cost model'!E51</f>
        <v>0.6</v>
      </c>
      <c r="F12" s="2"/>
      <c r="G12" s="2"/>
      <c r="H12" s="2"/>
      <c r="I12" s="2"/>
      <c r="J12" s="2"/>
      <c r="K12" s="2"/>
      <c r="L12" s="1"/>
      <c r="M12" s="1"/>
      <c r="N12" s="1"/>
    </row>
    <row r="13" customFormat="false" ht="24" hidden="false" customHeight="true" outlineLevel="0" collapsed="false">
      <c r="A13" s="1"/>
      <c r="B13" s="1"/>
      <c r="C13" s="1" t="s">
        <v>9</v>
      </c>
      <c r="D13" s="1"/>
      <c r="E13" s="2" t="n">
        <f aca="false">'Cost model'!E32</f>
        <v>13308680</v>
      </c>
      <c r="F13" s="2"/>
      <c r="G13" s="2"/>
      <c r="H13" s="2"/>
      <c r="I13" s="2"/>
      <c r="J13" s="2"/>
      <c r="K13" s="2"/>
      <c r="L13" s="1"/>
      <c r="M13" s="1"/>
      <c r="N13" s="1"/>
    </row>
    <row r="14" customFormat="false" ht="24" hidden="false" customHeight="true" outlineLevel="0" collapsed="false">
      <c r="A14" s="1"/>
      <c r="B14" s="1"/>
      <c r="C14" s="1" t="s">
        <v>10</v>
      </c>
      <c r="D14" s="1"/>
      <c r="E14" s="2" t="n">
        <f aca="false">'Cost model'!K32</f>
        <v>74475900</v>
      </c>
      <c r="F14" s="2"/>
      <c r="G14" s="2"/>
      <c r="H14" s="2"/>
      <c r="I14" s="2"/>
      <c r="J14" s="2"/>
      <c r="K14" s="2"/>
      <c r="L14" s="1"/>
      <c r="M14" s="1"/>
      <c r="N14" s="1"/>
    </row>
    <row r="15" customFormat="false" ht="24" hidden="false" customHeight="true" outlineLevel="0" collapsed="false">
      <c r="A15" s="1"/>
      <c r="B15" s="1"/>
      <c r="C15" s="1" t="s">
        <v>11</v>
      </c>
      <c r="D15" s="1"/>
      <c r="E15" s="2" t="n">
        <f aca="false">'Cost model'!K34</f>
        <v>73035900</v>
      </c>
      <c r="F15" s="2"/>
      <c r="G15" s="2"/>
      <c r="H15" s="2"/>
      <c r="I15" s="2"/>
      <c r="J15" s="2"/>
      <c r="K15" s="2"/>
      <c r="L15" s="1"/>
      <c r="M15" s="1"/>
      <c r="N15" s="1"/>
    </row>
    <row r="16" customFormat="false" ht="24" hidden="false" customHeight="true" outlineLevel="0" collapsed="false">
      <c r="A16" s="1"/>
      <c r="B16" s="1"/>
      <c r="C16" s="1" t="s">
        <v>12</v>
      </c>
      <c r="D16" s="1"/>
      <c r="E16" s="10" t="n">
        <f aca="false">'Cost model'!K37</f>
        <v>0.98066488622494</v>
      </c>
      <c r="F16" s="2"/>
      <c r="G16" s="2"/>
      <c r="H16" s="2"/>
      <c r="I16" s="2"/>
      <c r="J16" s="2"/>
      <c r="K16" s="2"/>
      <c r="L16" s="1"/>
      <c r="M16" s="1"/>
      <c r="N16" s="1"/>
    </row>
    <row r="17" customFormat="false" ht="24" hidden="false" customHeight="true" outlineLevel="0" collapsed="false">
      <c r="A17" s="1"/>
      <c r="B17" s="1"/>
      <c r="C17" s="1" t="s">
        <v>13</v>
      </c>
      <c r="D17" s="1"/>
      <c r="E17" s="2" t="n">
        <f aca="false">Demand!E10</f>
        <v>8170</v>
      </c>
      <c r="F17" s="2"/>
      <c r="G17" s="2"/>
      <c r="H17" s="2"/>
      <c r="I17" s="2"/>
      <c r="J17" s="2"/>
      <c r="K17" s="2"/>
      <c r="L17" s="1"/>
      <c r="M17" s="1"/>
      <c r="N17" s="1"/>
    </row>
    <row r="18" customFormat="false" ht="24" hidden="false" customHeight="true" outlineLevel="0" collapsed="false">
      <c r="A18" s="1"/>
      <c r="B18" s="1"/>
      <c r="C18" s="1" t="s">
        <v>14</v>
      </c>
      <c r="D18" s="1"/>
      <c r="E18" s="2" t="n">
        <f aca="false">'Cost model'!K54</f>
        <v>65643400</v>
      </c>
      <c r="F18" s="2"/>
      <c r="G18" s="2"/>
      <c r="H18" s="2"/>
      <c r="I18" s="2"/>
      <c r="J18" s="2"/>
      <c r="K18" s="2"/>
      <c r="L18" s="1"/>
      <c r="M18" s="1"/>
      <c r="N18" s="1"/>
    </row>
    <row r="19" customFormat="false" ht="24" hidden="false" customHeight="true" outlineLevel="0" collapsed="false">
      <c r="A19" s="1"/>
      <c r="B19" s="1"/>
      <c r="C19" s="1"/>
      <c r="D19" s="1"/>
      <c r="E19" s="2"/>
      <c r="F19" s="2"/>
      <c r="G19" s="2"/>
      <c r="H19" s="2"/>
      <c r="I19" s="2"/>
      <c r="J19" s="2"/>
      <c r="K19" s="2"/>
      <c r="L19" s="1"/>
      <c r="M19" s="1"/>
      <c r="N19" s="1"/>
    </row>
    <row r="20" customFormat="false" ht="30" hidden="false" customHeight="true" outlineLevel="0" collapsed="false">
      <c r="A20" s="1"/>
      <c r="B20" s="1"/>
      <c r="C20" s="8" t="s">
        <v>15</v>
      </c>
      <c r="D20" s="8"/>
      <c r="E20" s="9" t="s">
        <v>16</v>
      </c>
      <c r="F20" s="9" t="s">
        <v>17</v>
      </c>
      <c r="G20" s="9" t="s">
        <v>18</v>
      </c>
      <c r="H20" s="2"/>
      <c r="I20" s="2"/>
      <c r="J20" s="2"/>
      <c r="K20" s="2"/>
      <c r="L20" s="1"/>
      <c r="M20" s="1"/>
      <c r="N20" s="1"/>
    </row>
    <row r="21" customFormat="false" ht="24" hidden="false" customHeight="true" outlineLevel="0" collapsed="false">
      <c r="A21" s="1"/>
      <c r="B21" s="1"/>
      <c r="C21" s="1" t="s">
        <v>19</v>
      </c>
      <c r="D21" s="1"/>
      <c r="E21" s="2" t="n">
        <f aca="false">'Cost model'!E23</f>
        <v>26257360</v>
      </c>
      <c r="F21" s="2" t="n">
        <f aca="false">'Cost model'!E32</f>
        <v>13308680</v>
      </c>
      <c r="G21" s="2" t="n">
        <f aca="false">'Cost model'!E34</f>
        <v>12948680</v>
      </c>
      <c r="H21" s="2"/>
      <c r="I21" s="2"/>
      <c r="J21" s="2"/>
      <c r="K21" s="2"/>
      <c r="L21" s="1"/>
      <c r="M21" s="1"/>
      <c r="N21" s="1"/>
    </row>
    <row r="22" customFormat="false" ht="24" hidden="false" customHeight="true" outlineLevel="0" collapsed="false">
      <c r="A22" s="1"/>
      <c r="B22" s="1"/>
      <c r="C22" s="1" t="s">
        <v>20</v>
      </c>
      <c r="D22" s="1"/>
      <c r="E22" s="2" t="n">
        <f aca="false">'Cost model'!F23</f>
        <v>27879860</v>
      </c>
      <c r="F22" s="2" t="n">
        <f aca="false">'Cost model'!F32</f>
        <v>14047930</v>
      </c>
      <c r="G22" s="2" t="n">
        <f aca="false">'Cost model'!F34</f>
        <v>13831930</v>
      </c>
      <c r="H22" s="2"/>
      <c r="I22" s="2"/>
      <c r="J22" s="2"/>
      <c r="K22" s="2"/>
      <c r="L22" s="1"/>
      <c r="M22" s="1"/>
      <c r="N22" s="1"/>
    </row>
    <row r="23" customFormat="false" ht="24" hidden="false" customHeight="true" outlineLevel="0" collapsed="false">
      <c r="A23" s="1"/>
      <c r="B23" s="1"/>
      <c r="C23" s="1" t="s">
        <v>21</v>
      </c>
      <c r="D23" s="1"/>
      <c r="E23" s="2" t="n">
        <f aca="false">'Cost model'!G23</f>
        <v>29502360</v>
      </c>
      <c r="F23" s="2" t="n">
        <f aca="false">'Cost model'!G32</f>
        <v>14895180</v>
      </c>
      <c r="G23" s="2" t="n">
        <f aca="false">'Cost model'!G34</f>
        <v>14607180</v>
      </c>
      <c r="H23" s="2"/>
      <c r="I23" s="2"/>
      <c r="J23" s="2"/>
      <c r="K23" s="2"/>
      <c r="L23" s="1"/>
      <c r="M23" s="1"/>
      <c r="N23" s="1"/>
    </row>
    <row r="24" customFormat="false" ht="24" hidden="false" customHeight="true" outlineLevel="0" collapsed="false">
      <c r="A24" s="1"/>
      <c r="B24" s="1"/>
      <c r="C24" s="1" t="s">
        <v>22</v>
      </c>
      <c r="D24" s="1"/>
      <c r="E24" s="2" t="n">
        <f aca="false">'Cost model'!H23</f>
        <v>31124860</v>
      </c>
      <c r="F24" s="2" t="n">
        <f aca="false">'Cost model'!H32</f>
        <v>15706430</v>
      </c>
      <c r="G24" s="2" t="n">
        <f aca="false">'Cost model'!H34</f>
        <v>15418430</v>
      </c>
      <c r="H24" s="2"/>
      <c r="I24" s="2"/>
      <c r="J24" s="2"/>
      <c r="K24" s="2"/>
      <c r="L24" s="1"/>
      <c r="M24" s="1"/>
      <c r="N24" s="1"/>
    </row>
    <row r="25" customFormat="false" ht="24" hidden="false" customHeight="true" outlineLevel="0" collapsed="false">
      <c r="A25" s="1"/>
      <c r="B25" s="1"/>
      <c r="C25" s="1" t="s">
        <v>23</v>
      </c>
      <c r="D25" s="1"/>
      <c r="E25" s="2" t="n">
        <f aca="false">'Cost model'!I23</f>
        <v>32747360</v>
      </c>
      <c r="F25" s="2" t="n">
        <f aca="false">'Cost model'!I32</f>
        <v>16517680</v>
      </c>
      <c r="G25" s="2" t="n">
        <f aca="false">'Cost model'!I34</f>
        <v>16229680</v>
      </c>
      <c r="H25" s="2"/>
      <c r="I25" s="2"/>
      <c r="J25" s="2"/>
      <c r="K25" s="2"/>
      <c r="L25" s="1"/>
      <c r="M25" s="1"/>
      <c r="N25" s="1"/>
    </row>
    <row r="26" customFormat="false" ht="24" hidden="false" customHeight="true" outlineLevel="0" collapsed="false">
      <c r="A26" s="1"/>
      <c r="B26" s="1"/>
      <c r="C26" s="11" t="s">
        <v>24</v>
      </c>
      <c r="D26" s="11"/>
      <c r="E26" s="12" t="n">
        <f aca="false">'Cost model'!K23</f>
        <v>147511800</v>
      </c>
      <c r="F26" s="12" t="n">
        <f aca="false">'Cost model'!K32</f>
        <v>74475900</v>
      </c>
      <c r="G26" s="12" t="n">
        <f aca="false">'Cost model'!K34</f>
        <v>73035900</v>
      </c>
      <c r="H26" s="2"/>
      <c r="I26" s="2"/>
      <c r="J26" s="2"/>
      <c r="K26" s="2"/>
      <c r="L26" s="1"/>
      <c r="M26" s="1"/>
      <c r="N26" s="1"/>
    </row>
    <row r="27" customFormat="false" ht="24" hidden="false" customHeight="true" outlineLevel="0" collapsed="false">
      <c r="A27" s="1"/>
      <c r="B27" s="1"/>
      <c r="C27" s="1"/>
      <c r="D27" s="1"/>
      <c r="E27" s="2"/>
      <c r="F27" s="2"/>
      <c r="G27" s="2"/>
      <c r="H27" s="2"/>
      <c r="I27" s="2"/>
      <c r="J27" s="2"/>
      <c r="K27" s="2"/>
      <c r="L27" s="1"/>
      <c r="M27" s="1"/>
      <c r="N27" s="1"/>
    </row>
    <row r="28" customFormat="false" ht="24" hidden="false" customHeight="true" outlineLevel="0" collapsed="false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1"/>
      <c r="M28" s="1"/>
      <c r="N28" s="1"/>
    </row>
    <row r="29" customFormat="false" ht="30" hidden="false" customHeight="true" outlineLevel="0" collapsed="false">
      <c r="A29" s="1"/>
      <c r="B29" s="1"/>
      <c r="C29" s="8" t="s">
        <v>25</v>
      </c>
      <c r="D29" s="8"/>
      <c r="E29" s="9" t="s">
        <v>4</v>
      </c>
      <c r="F29" s="2"/>
      <c r="G29" s="2"/>
      <c r="H29" s="2"/>
      <c r="I29" s="2"/>
      <c r="J29" s="2"/>
      <c r="K29" s="2"/>
      <c r="L29" s="1"/>
      <c r="M29" s="1"/>
      <c r="N29" s="1"/>
    </row>
    <row r="30" customFormat="false" ht="24" hidden="false" customHeight="true" outlineLevel="0" collapsed="false">
      <c r="A30" s="1"/>
      <c r="B30" s="1"/>
      <c r="C30" s="1" t="s">
        <v>26</v>
      </c>
      <c r="D30" s="1"/>
      <c r="E30" s="2" t="n">
        <f aca="false">'Cost model'!E42</f>
        <v>5013</v>
      </c>
      <c r="F30" s="2"/>
      <c r="G30" s="2"/>
      <c r="H30" s="2"/>
      <c r="I30" s="2"/>
      <c r="J30" s="2"/>
      <c r="K30" s="2"/>
      <c r="L30" s="1"/>
      <c r="M30" s="1"/>
      <c r="N30" s="1"/>
    </row>
    <row r="31" customFormat="false" ht="24" hidden="false" customHeight="true" outlineLevel="0" collapsed="false">
      <c r="A31" s="1"/>
      <c r="B31" s="1"/>
      <c r="C31" s="1" t="s">
        <v>27</v>
      </c>
      <c r="D31" s="1"/>
      <c r="E31" s="2" t="n">
        <f aca="false">'Cost model'!E11</f>
        <v>10000</v>
      </c>
      <c r="F31" s="2"/>
      <c r="G31" s="2"/>
      <c r="H31" s="2"/>
      <c r="I31" s="2"/>
      <c r="J31" s="2"/>
      <c r="K31" s="2"/>
      <c r="L31" s="1"/>
      <c r="M31" s="1"/>
      <c r="N31" s="1"/>
    </row>
    <row r="32" customFormat="false" ht="24" hidden="false" customHeight="true" outlineLevel="0" collapsed="false">
      <c r="A32" s="1"/>
      <c r="B32" s="1"/>
      <c r="C32" s="1" t="s">
        <v>28</v>
      </c>
      <c r="D32" s="1"/>
      <c r="E32" s="2" t="n">
        <f aca="false">'Cost model'!K40</f>
        <v>73035900</v>
      </c>
      <c r="F32" s="2"/>
      <c r="G32" s="2"/>
      <c r="H32" s="2"/>
      <c r="I32" s="2"/>
      <c r="J32" s="2"/>
      <c r="K32" s="2"/>
      <c r="L32" s="1"/>
      <c r="M32" s="1"/>
      <c r="N32" s="1"/>
    </row>
    <row r="33" customFormat="false" ht="24" hidden="false" customHeight="true" outlineLevel="0" collapsed="false">
      <c r="A33" s="1"/>
      <c r="B33" s="1"/>
      <c r="C33" s="1" t="s">
        <v>29</v>
      </c>
      <c r="D33" s="1"/>
      <c r="E33" s="2" t="n">
        <f aca="false">'Cost model'!K46</f>
        <v>9629286.60146161</v>
      </c>
      <c r="F33" s="2"/>
      <c r="G33" s="2"/>
      <c r="H33" s="2"/>
      <c r="I33" s="2"/>
      <c r="J33" s="2"/>
      <c r="K33" s="2"/>
      <c r="L33" s="1"/>
      <c r="M33" s="1"/>
      <c r="N33" s="1"/>
    </row>
    <row r="34" customFormat="false" ht="24" hidden="false" customHeight="true" outlineLevel="0" collapsed="false">
      <c r="A34" s="1"/>
      <c r="B34" s="1"/>
      <c r="C34" s="1" t="s">
        <v>30</v>
      </c>
      <c r="D34" s="1"/>
      <c r="E34" s="10" t="n">
        <f aca="false">Assumptions!E18</f>
        <v>0.03</v>
      </c>
      <c r="F34" s="2"/>
      <c r="G34" s="2"/>
      <c r="H34" s="2"/>
      <c r="I34" s="2"/>
      <c r="J34" s="2"/>
      <c r="K34" s="2"/>
      <c r="L34" s="1"/>
      <c r="M34" s="1"/>
      <c r="N34" s="1"/>
    </row>
    <row r="35" customFormat="false" ht="24" hidden="false" customHeight="true" outlineLevel="0" collapsed="false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1"/>
      <c r="M35" s="1"/>
      <c r="N35" s="1"/>
    </row>
    <row r="36" customFormat="false" ht="24" hidden="false" customHeight="true" outlineLevel="0" collapsed="false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1"/>
      <c r="M36" s="1"/>
      <c r="N36" s="1"/>
    </row>
    <row r="37" customFormat="false" ht="24" hidden="false" customHeight="true" outlineLevel="0" collapsed="false">
      <c r="A37" s="1"/>
      <c r="B37" s="1"/>
      <c r="C37" s="7" t="s">
        <v>31</v>
      </c>
      <c r="D37" s="1"/>
      <c r="E37" s="2"/>
      <c r="F37" s="2"/>
      <c r="G37" s="2"/>
      <c r="H37" s="2"/>
      <c r="I37" s="2"/>
      <c r="J37" s="2"/>
      <c r="K37" s="2"/>
      <c r="L37" s="1"/>
      <c r="M37" s="1"/>
      <c r="N37" s="1"/>
    </row>
    <row r="38" customFormat="false" ht="24" hidden="false" customHeight="true" outlineLevel="0" collapsed="false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1"/>
      <c r="M38" s="1"/>
      <c r="N38" s="1"/>
    </row>
    <row r="39" customFormat="false" ht="24" hidden="false" customHeight="true" outlineLevel="0" collapsed="false">
      <c r="A39" s="1"/>
      <c r="B39" s="1"/>
      <c r="C39" s="7" t="s">
        <v>32</v>
      </c>
      <c r="D39" s="1"/>
      <c r="E39" s="2"/>
      <c r="F39" s="2"/>
      <c r="G39" s="2"/>
      <c r="H39" s="2"/>
      <c r="I39" s="2"/>
      <c r="J39" s="2"/>
      <c r="K39" s="2"/>
      <c r="L39" s="1"/>
      <c r="M39" s="1"/>
      <c r="N39" s="1"/>
    </row>
    <row r="40" customFormat="false" ht="24" hidden="false" customHeight="true" outlineLevel="0" collapsed="false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1"/>
      <c r="M40" s="1"/>
      <c r="N40" s="1"/>
    </row>
    <row r="41" customFormat="false" ht="24" hidden="false" customHeight="true" outlineLevel="0" collapsed="false">
      <c r="A41" s="1"/>
      <c r="B41" s="1"/>
      <c r="C41" s="7" t="s">
        <v>33</v>
      </c>
      <c r="D41" s="1"/>
      <c r="E41" s="2"/>
      <c r="F41" s="2"/>
      <c r="G41" s="2"/>
      <c r="H41" s="2"/>
      <c r="I41" s="2"/>
      <c r="J41" s="2"/>
      <c r="K41" s="2"/>
      <c r="L41" s="1"/>
      <c r="M41" s="1"/>
      <c r="N41" s="1"/>
    </row>
    <row r="42" customFormat="false" ht="24" hidden="false" customHeight="true" outlineLevel="0" collapsed="false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1"/>
      <c r="M42" s="1"/>
      <c r="N42" s="1"/>
    </row>
    <row r="43" customFormat="false" ht="24" hidden="false" customHeight="true" outlineLevel="0" collapsed="false">
      <c r="A43" s="1"/>
      <c r="B43" s="1"/>
      <c r="C43" s="7" t="s">
        <v>34</v>
      </c>
      <c r="D43" s="1"/>
      <c r="E43" s="2"/>
      <c r="F43" s="2"/>
      <c r="G43" s="2"/>
      <c r="H43" s="2"/>
      <c r="I43" s="2"/>
      <c r="J43" s="2"/>
      <c r="K43" s="2"/>
      <c r="L43" s="1"/>
      <c r="M43" s="1"/>
      <c r="N43" s="1"/>
    </row>
    <row r="44" customFormat="false" ht="24" hidden="false" customHeight="true" outlineLevel="0" collapsed="false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1"/>
      <c r="M44" s="1"/>
      <c r="N44" s="1"/>
    </row>
    <row r="45" customFormat="false" ht="24" hidden="false" customHeight="true" outlineLevel="0" collapsed="false">
      <c r="A45" s="1"/>
      <c r="B45" s="1"/>
      <c r="C45" s="7" t="s">
        <v>35</v>
      </c>
      <c r="D45" s="1"/>
      <c r="E45" s="2"/>
      <c r="F45" s="2"/>
      <c r="G45" s="2"/>
      <c r="H45" s="2"/>
      <c r="I45" s="2"/>
      <c r="J45" s="2"/>
      <c r="K45" s="2"/>
      <c r="L45" s="1"/>
      <c r="M45" s="1"/>
      <c r="N45" s="1"/>
    </row>
    <row r="46" customFormat="false" ht="24" hidden="false" customHeight="true" outlineLevel="0" collapsed="false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1"/>
      <c r="M46" s="1"/>
      <c r="N46" s="1"/>
    </row>
    <row r="47" customFormat="false" ht="24" hidden="false" customHeight="true" outlineLevel="0" collapsed="false">
      <c r="A47" s="1"/>
      <c r="B47" s="1"/>
      <c r="C47" s="7" t="s">
        <v>36</v>
      </c>
      <c r="D47" s="1"/>
      <c r="E47" s="2"/>
      <c r="F47" s="2"/>
      <c r="G47" s="2"/>
      <c r="H47" s="2"/>
      <c r="I47" s="2"/>
      <c r="J47" s="2"/>
      <c r="K47" s="2"/>
      <c r="L47" s="1"/>
      <c r="M47" s="1"/>
      <c r="N47" s="1"/>
    </row>
    <row r="48" customFormat="false" ht="24" hidden="false" customHeight="true" outlineLevel="0" collapsed="false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1"/>
      <c r="M48" s="1"/>
      <c r="N48" s="1"/>
    </row>
    <row r="49" customFormat="false" ht="24" hidden="false" customHeight="true" outlineLevel="0" collapsed="false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1"/>
      <c r="M49" s="1"/>
      <c r="N49" s="1"/>
    </row>
    <row r="50" customFormat="false" ht="24" hidden="false" customHeight="true" outlineLevel="0" collapsed="false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1"/>
      <c r="M50" s="1"/>
      <c r="N50" s="1"/>
    </row>
    <row r="51" customFormat="false" ht="30" hidden="false" customHeight="true" outlineLevel="0" collapsed="false">
      <c r="A51" s="1"/>
      <c r="B51" s="1"/>
      <c r="C51" s="8" t="s">
        <v>37</v>
      </c>
      <c r="D51" s="8" t="s">
        <v>38</v>
      </c>
      <c r="E51" s="9" t="s">
        <v>39</v>
      </c>
      <c r="F51" s="9" t="s">
        <v>40</v>
      </c>
      <c r="G51" s="9" t="s">
        <v>41</v>
      </c>
      <c r="H51" s="9" t="s">
        <v>42</v>
      </c>
      <c r="I51" s="2"/>
      <c r="J51" s="2"/>
      <c r="K51" s="2"/>
      <c r="L51" s="1"/>
      <c r="M51" s="1"/>
      <c r="N51" s="1"/>
    </row>
    <row r="52" customFormat="false" ht="24" hidden="false" customHeight="true" outlineLevel="0" collapsed="false">
      <c r="A52" s="1"/>
      <c r="B52" s="1"/>
      <c r="C52" s="1" t="s">
        <v>19</v>
      </c>
      <c r="D52" s="1" t="n">
        <f aca="false">'Cost model'!E23</f>
        <v>26257360</v>
      </c>
      <c r="E52" s="2" t="n">
        <f aca="false">'Cost model'!E32</f>
        <v>13308680</v>
      </c>
      <c r="F52" s="2" t="n">
        <f aca="false">'Cost model'!E35</f>
        <v>12948680</v>
      </c>
      <c r="G52" s="2" t="n">
        <f aca="false">'Cost model'!E8</f>
        <v>10000</v>
      </c>
      <c r="H52" s="2" t="n">
        <f aca="false">'Cost model'!E11</f>
        <v>10000</v>
      </c>
      <c r="I52" s="2"/>
      <c r="J52" s="2"/>
      <c r="K52" s="2"/>
      <c r="L52" s="1"/>
      <c r="M52" s="1"/>
      <c r="N52" s="1"/>
    </row>
    <row r="53" customFormat="false" ht="24" hidden="false" customHeight="true" outlineLevel="0" collapsed="false">
      <c r="A53" s="1"/>
      <c r="B53" s="1"/>
      <c r="C53" s="1" t="s">
        <v>20</v>
      </c>
      <c r="D53" s="1" t="n">
        <f aca="false">'Cost model'!F23</f>
        <v>27879860</v>
      </c>
      <c r="E53" s="2" t="n">
        <f aca="false">'Cost model'!F32</f>
        <v>14047930</v>
      </c>
      <c r="F53" s="2" t="n">
        <f aca="false">'Cost model'!F35</f>
        <v>26780610</v>
      </c>
      <c r="G53" s="2" t="n">
        <f aca="false">'Cost model'!F8</f>
        <v>10625</v>
      </c>
      <c r="H53" s="2" t="n">
        <f aca="false">'Cost model'!F11</f>
        <v>10625</v>
      </c>
      <c r="I53" s="2"/>
      <c r="J53" s="2"/>
      <c r="K53" s="2"/>
      <c r="L53" s="1"/>
      <c r="M53" s="1"/>
      <c r="N53" s="1"/>
    </row>
    <row r="54" customFormat="false" ht="24" hidden="false" customHeight="true" outlineLevel="0" collapsed="false">
      <c r="A54" s="1"/>
      <c r="B54" s="1"/>
      <c r="C54" s="1" t="s">
        <v>21</v>
      </c>
      <c r="D54" s="1" t="n">
        <f aca="false">'Cost model'!G23</f>
        <v>29502360</v>
      </c>
      <c r="E54" s="2" t="n">
        <f aca="false">'Cost model'!G32</f>
        <v>14895180</v>
      </c>
      <c r="F54" s="2" t="n">
        <f aca="false">'Cost model'!G35</f>
        <v>41387790</v>
      </c>
      <c r="G54" s="2" t="n">
        <f aca="false">'Cost model'!G8</f>
        <v>11250</v>
      </c>
      <c r="H54" s="2" t="n">
        <f aca="false">'Cost model'!G11</f>
        <v>11250</v>
      </c>
      <c r="I54" s="2"/>
      <c r="J54" s="2"/>
      <c r="K54" s="2"/>
      <c r="L54" s="1"/>
      <c r="M54" s="1"/>
      <c r="N54" s="1"/>
    </row>
    <row r="55" customFormat="false" ht="24" hidden="false" customHeight="true" outlineLevel="0" collapsed="false">
      <c r="A55" s="1"/>
      <c r="B55" s="1"/>
      <c r="C55" s="1" t="s">
        <v>22</v>
      </c>
      <c r="D55" s="1" t="n">
        <f aca="false">'Cost model'!H23</f>
        <v>31124860</v>
      </c>
      <c r="E55" s="2" t="n">
        <f aca="false">'Cost model'!H32</f>
        <v>15706430</v>
      </c>
      <c r="F55" s="2" t="n">
        <f aca="false">'Cost model'!H35</f>
        <v>56806220</v>
      </c>
      <c r="G55" s="2" t="n">
        <f aca="false">'Cost model'!H8</f>
        <v>11875</v>
      </c>
      <c r="H55" s="2" t="n">
        <f aca="false">'Cost model'!H11</f>
        <v>11875</v>
      </c>
      <c r="I55" s="2"/>
      <c r="J55" s="2"/>
      <c r="K55" s="2"/>
      <c r="L55" s="1"/>
      <c r="M55" s="1"/>
      <c r="N55" s="1"/>
    </row>
    <row r="56" customFormat="false" ht="24" hidden="false" customHeight="true" outlineLevel="0" collapsed="false">
      <c r="A56" s="1"/>
      <c r="B56" s="1"/>
      <c r="C56" s="1" t="s">
        <v>23</v>
      </c>
      <c r="D56" s="1" t="n">
        <f aca="false">'Cost model'!I23</f>
        <v>32747360</v>
      </c>
      <c r="E56" s="2" t="n">
        <f aca="false">'Cost model'!I32</f>
        <v>16517680</v>
      </c>
      <c r="F56" s="2" t="n">
        <f aca="false">'Cost model'!I35</f>
        <v>73035900</v>
      </c>
      <c r="G56" s="2" t="n">
        <f aca="false">'Cost model'!I8</f>
        <v>12500</v>
      </c>
      <c r="H56" s="2" t="n">
        <f aca="false">'Cost model'!I11</f>
        <v>12500</v>
      </c>
      <c r="I56" s="2"/>
      <c r="J56" s="2"/>
      <c r="K56" s="2"/>
      <c r="L56" s="1"/>
      <c r="M56" s="1"/>
      <c r="N56" s="1"/>
    </row>
    <row r="57" customFormat="false" ht="24" hidden="false" customHeight="true" outlineLevel="0" collapsed="false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1"/>
      <c r="M57" s="1"/>
      <c r="N57" s="1"/>
    </row>
    <row r="58" customFormat="false" ht="24" hidden="false" customHeight="true" outlineLevel="0" collapsed="false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1"/>
      <c r="M58" s="1"/>
      <c r="N58" s="1"/>
    </row>
    <row r="59" customFormat="false" ht="24" hidden="false" customHeight="true" outlineLevel="0" collapsed="false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1"/>
      <c r="M59" s="1"/>
      <c r="N59" s="1"/>
    </row>
    <row r="60" customFormat="false" ht="24" hidden="false" customHeight="true" outlineLevel="0" collapsed="false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1"/>
      <c r="M60" s="1"/>
      <c r="N60" s="1"/>
    </row>
    <row r="61" customFormat="false" ht="24" hidden="false" customHeight="true" outlineLevel="0" collapsed="false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1"/>
      <c r="M61" s="1"/>
      <c r="N61" s="1"/>
    </row>
    <row r="62" customFormat="false" ht="24" hidden="false" customHeight="true" outlineLevel="0" collapsed="false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1"/>
      <c r="M62" s="1"/>
      <c r="N62" s="1"/>
    </row>
    <row r="63" customFormat="false" ht="24" hidden="false" customHeight="true" outlineLevel="0" collapsed="false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1"/>
      <c r="M63" s="1"/>
      <c r="N63" s="1"/>
    </row>
    <row r="64" customFormat="false" ht="24" hidden="false" customHeight="true" outlineLevel="0" collapsed="false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1"/>
      <c r="M64" s="1"/>
      <c r="N64" s="1"/>
    </row>
    <row r="65" customFormat="false" ht="24" hidden="false" customHeight="true" outlineLevel="0" collapsed="false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1"/>
      <c r="M65" s="1"/>
      <c r="N65" s="1"/>
    </row>
    <row r="66" customFormat="false" ht="24" hidden="false" customHeight="true" outlineLevel="0" collapsed="false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1"/>
      <c r="M66" s="1"/>
      <c r="N66" s="1"/>
    </row>
    <row r="67" customFormat="false" ht="24" hidden="false" customHeight="true" outlineLevel="0" collapsed="false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1"/>
      <c r="M67" s="1"/>
      <c r="N67" s="1"/>
    </row>
    <row r="68" customFormat="false" ht="24" hidden="false" customHeight="true" outlineLevel="0" collapsed="false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1"/>
      <c r="M68" s="1"/>
      <c r="N68" s="1"/>
    </row>
    <row r="69" customFormat="false" ht="24" hidden="false" customHeight="true" outlineLevel="0" collapsed="false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1"/>
      <c r="M69" s="1"/>
      <c r="N69" s="1"/>
    </row>
    <row r="70" customFormat="false" ht="24" hidden="false" customHeight="true" outlineLevel="0" collapsed="false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1"/>
      <c r="M70" s="1"/>
      <c r="N70" s="1"/>
    </row>
    <row r="71" customFormat="false" ht="24" hidden="false" customHeight="true" outlineLevel="0" collapsed="false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1"/>
      <c r="M71" s="1"/>
      <c r="N71" s="1"/>
    </row>
    <row r="72" customFormat="false" ht="24" hidden="false" customHeight="true" outlineLevel="0" collapsed="false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1"/>
      <c r="M72" s="1"/>
      <c r="N72" s="1"/>
    </row>
    <row r="73" customFormat="false" ht="24" hidden="false" customHeight="true" outlineLevel="0" collapsed="false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1"/>
      <c r="M73" s="1"/>
      <c r="N73" s="1"/>
    </row>
    <row r="74" customFormat="false" ht="24" hidden="false" customHeight="true" outlineLevel="0" collapsed="false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1"/>
      <c r="M74" s="1"/>
      <c r="N74" s="1"/>
    </row>
    <row r="75" customFormat="false" ht="24" hidden="false" customHeight="true" outlineLevel="0" collapsed="false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1"/>
      <c r="M75" s="1"/>
      <c r="N75" s="1"/>
    </row>
    <row r="76" customFormat="false" ht="24" hidden="false" customHeight="true" outlineLevel="0" collapsed="false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1"/>
      <c r="M76" s="1"/>
      <c r="N76" s="1"/>
    </row>
    <row r="77" customFormat="false" ht="24" hidden="false" customHeight="true" outlineLevel="0" collapsed="false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1"/>
      <c r="M77" s="1"/>
      <c r="N77" s="1"/>
    </row>
    <row r="78" customFormat="false" ht="24" hidden="false" customHeight="true" outlineLevel="0" collapsed="false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1"/>
      <c r="M78" s="1"/>
      <c r="N78" s="1"/>
    </row>
    <row r="79" customFormat="false" ht="24" hidden="false" customHeight="true" outlineLevel="0" collapsed="false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1"/>
      <c r="M79" s="1"/>
      <c r="N79" s="1"/>
    </row>
    <row r="80" customFormat="false" ht="24" hidden="false" customHeight="true" outlineLevel="0" collapsed="false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1"/>
      <c r="M80" s="1"/>
      <c r="N80" s="1"/>
    </row>
    <row r="81" customFormat="false" ht="24" hidden="false" customHeight="true" outlineLevel="0" collapsed="false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1"/>
      <c r="M81" s="1"/>
      <c r="N81" s="1"/>
    </row>
    <row r="82" customFormat="false" ht="24" hidden="false" customHeight="true" outlineLevel="0" collapsed="false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1"/>
      <c r="M82" s="1"/>
      <c r="N82" s="1"/>
    </row>
    <row r="83" customFormat="false" ht="24" hidden="false" customHeight="true" outlineLevel="0" collapsed="false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1"/>
      <c r="M83" s="1"/>
      <c r="N83" s="1"/>
    </row>
    <row r="84" customFormat="false" ht="24" hidden="false" customHeight="true" outlineLevel="0" collapsed="false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1"/>
      <c r="M84" s="1"/>
      <c r="N84" s="1"/>
    </row>
    <row r="85" customFormat="false" ht="24" hidden="false" customHeight="true" outlineLevel="0" collapsed="false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1"/>
      <c r="M85" s="1"/>
      <c r="N85" s="1"/>
    </row>
    <row r="86" customFormat="false" ht="24" hidden="false" customHeight="true" outlineLevel="0" collapsed="false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1"/>
      <c r="M86" s="1"/>
      <c r="N86" s="1"/>
    </row>
    <row r="87" customFormat="false" ht="24" hidden="false" customHeight="true" outlineLevel="0" collapsed="false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1"/>
      <c r="M87" s="1"/>
      <c r="N87" s="1"/>
    </row>
    <row r="88" customFormat="false" ht="24" hidden="false" customHeight="true" outlineLevel="0" collapsed="false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1"/>
      <c r="M88" s="1"/>
      <c r="N88" s="1"/>
    </row>
    <row r="89" customFormat="false" ht="24" hidden="false" customHeight="true" outlineLevel="0" collapsed="false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1"/>
      <c r="M89" s="1"/>
      <c r="N89" s="1"/>
    </row>
    <row r="90" customFormat="false" ht="24" hidden="false" customHeight="true" outlineLevel="0" collapsed="false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1"/>
      <c r="M90" s="1"/>
      <c r="N9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00FF"/>
    <pageSetUpPr fitToPage="false"/>
  </sheetPr>
  <dimension ref="A1:N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11" min="5" style="0" width="18"/>
    <col collapsed="false" customWidth="true" hidden="false" outlineLevel="0" max="12" min="12" style="0" width="3"/>
    <col collapsed="false" customWidth="true" hidden="false" outlineLevel="0" max="13" min="13" style="0" width="100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43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13" t="n">
        <v>1</v>
      </c>
      <c r="F4" s="6"/>
      <c r="G4" s="2" t="s">
        <v>44</v>
      </c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14" t="str">
        <f aca="false">CHOOSE(E4,"Base","Slower adoption","Earlier growth")</f>
        <v>Base</v>
      </c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7" t="s">
        <v>45</v>
      </c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30" hidden="false" customHeight="true" outlineLevel="0" collapsed="false">
      <c r="A7" s="1"/>
      <c r="B7" s="1"/>
      <c r="C7" s="8" t="s">
        <v>46</v>
      </c>
      <c r="D7" s="8" t="s">
        <v>47</v>
      </c>
      <c r="E7" s="9" t="s">
        <v>4</v>
      </c>
      <c r="F7" s="2"/>
      <c r="G7" s="2"/>
      <c r="H7" s="2"/>
      <c r="I7" s="2"/>
      <c r="J7" s="2"/>
      <c r="K7" s="2"/>
      <c r="L7" s="1"/>
      <c r="M7" s="1"/>
      <c r="N7" s="1"/>
    </row>
    <row r="8" customFormat="false" ht="24" hidden="false" customHeight="true" outlineLevel="0" collapsed="false">
      <c r="A8" s="1"/>
      <c r="B8" s="1"/>
      <c r="C8" s="1" t="s">
        <v>48</v>
      </c>
      <c r="D8" s="1" t="s">
        <v>49</v>
      </c>
      <c r="E8" s="15" t="n">
        <v>2950</v>
      </c>
      <c r="F8" s="2"/>
      <c r="G8" s="2"/>
      <c r="H8" s="2"/>
      <c r="I8" s="2"/>
      <c r="J8" s="2"/>
      <c r="K8" s="2"/>
      <c r="L8" s="1"/>
      <c r="M8" s="1" t="s">
        <v>50</v>
      </c>
      <c r="N8" s="1"/>
    </row>
    <row r="9" customFormat="false" ht="24" hidden="false" customHeight="true" outlineLevel="0" collapsed="false">
      <c r="A9" s="1"/>
      <c r="B9" s="1"/>
      <c r="C9" s="1" t="s">
        <v>51</v>
      </c>
      <c r="D9" s="1" t="s">
        <v>49</v>
      </c>
      <c r="E9" s="15" t="n">
        <v>2360</v>
      </c>
      <c r="F9" s="2"/>
      <c r="G9" s="2"/>
      <c r="H9" s="2"/>
      <c r="I9" s="2"/>
      <c r="J9" s="2"/>
      <c r="K9" s="2"/>
      <c r="L9" s="1"/>
      <c r="M9" s="1" t="s">
        <v>52</v>
      </c>
      <c r="N9" s="1"/>
    </row>
    <row r="10" customFormat="false" ht="24" hidden="false" customHeight="true" outlineLevel="0" collapsed="false">
      <c r="A10" s="1"/>
      <c r="B10" s="1"/>
      <c r="C10" s="1" t="s">
        <v>53</v>
      </c>
      <c r="D10" s="1" t="s">
        <v>49</v>
      </c>
      <c r="E10" s="15" t="n">
        <v>1180</v>
      </c>
      <c r="F10" s="2"/>
      <c r="G10" s="2"/>
      <c r="H10" s="2"/>
      <c r="I10" s="2"/>
      <c r="J10" s="2"/>
      <c r="K10" s="2"/>
      <c r="L10" s="1"/>
      <c r="M10" s="1" t="s">
        <v>54</v>
      </c>
      <c r="N10" s="1"/>
    </row>
    <row r="11" customFormat="false" ht="24" hidden="false" customHeight="true" outlineLevel="0" collapsed="false">
      <c r="A11" s="1"/>
      <c r="B11" s="1"/>
      <c r="C11" s="1" t="s">
        <v>55</v>
      </c>
      <c r="D11" s="1" t="s">
        <v>56</v>
      </c>
      <c r="E11" s="16" t="n">
        <v>0.1</v>
      </c>
      <c r="F11" s="2"/>
      <c r="G11" s="2"/>
      <c r="H11" s="2"/>
      <c r="I11" s="2"/>
      <c r="J11" s="2"/>
      <c r="K11" s="2"/>
      <c r="L11" s="1"/>
      <c r="M11" s="1" t="s">
        <v>57</v>
      </c>
      <c r="N11" s="1"/>
    </row>
    <row r="12" customFormat="false" ht="24" hidden="false" customHeight="true" outlineLevel="0" collapsed="false">
      <c r="A12" s="1"/>
      <c r="B12" s="1"/>
      <c r="C12" s="1" t="s">
        <v>58</v>
      </c>
      <c r="D12" s="1" t="s">
        <v>56</v>
      </c>
      <c r="E12" s="16" t="n">
        <v>0.2</v>
      </c>
      <c r="F12" s="2"/>
      <c r="G12" s="2"/>
      <c r="H12" s="2"/>
      <c r="I12" s="2"/>
      <c r="J12" s="2"/>
      <c r="K12" s="2"/>
      <c r="L12" s="1"/>
      <c r="M12" s="1" t="s">
        <v>59</v>
      </c>
      <c r="N12" s="1"/>
    </row>
    <row r="13" customFormat="false" ht="24" hidden="false" customHeight="true" outlineLevel="0" collapsed="false">
      <c r="A13" s="1"/>
      <c r="B13" s="1"/>
      <c r="C13" s="1" t="s">
        <v>60</v>
      </c>
      <c r="D13" s="1" t="s">
        <v>61</v>
      </c>
      <c r="E13" s="15" t="n">
        <v>18000</v>
      </c>
      <c r="F13" s="2"/>
      <c r="G13" s="2"/>
      <c r="H13" s="2"/>
      <c r="I13" s="2"/>
      <c r="J13" s="2"/>
      <c r="K13" s="2"/>
      <c r="L13" s="1"/>
      <c r="M13" s="1" t="s">
        <v>62</v>
      </c>
      <c r="N13" s="1"/>
    </row>
    <row r="14" customFormat="false" ht="24" hidden="false" customHeight="true" outlineLevel="0" collapsed="false">
      <c r="A14" s="1"/>
      <c r="B14" s="1"/>
      <c r="C14" s="1" t="s">
        <v>5</v>
      </c>
      <c r="D14" s="1" t="s">
        <v>63</v>
      </c>
      <c r="E14" s="15" t="n">
        <v>10000</v>
      </c>
      <c r="F14" s="2"/>
      <c r="G14" s="2"/>
      <c r="H14" s="2"/>
      <c r="I14" s="2"/>
      <c r="J14" s="2"/>
      <c r="K14" s="2"/>
      <c r="L14" s="1"/>
      <c r="M14" s="1" t="s">
        <v>64</v>
      </c>
      <c r="N14" s="1"/>
    </row>
    <row r="15" customFormat="false" ht="24" hidden="false" customHeight="true" outlineLevel="0" collapsed="false">
      <c r="A15" s="1"/>
      <c r="B15" s="1"/>
      <c r="C15" s="1" t="s">
        <v>65</v>
      </c>
      <c r="D15" s="1" t="s">
        <v>66</v>
      </c>
      <c r="E15" s="15" t="n">
        <v>5</v>
      </c>
      <c r="F15" s="2"/>
      <c r="G15" s="2"/>
      <c r="H15" s="2"/>
      <c r="I15" s="2"/>
      <c r="J15" s="2"/>
      <c r="K15" s="2"/>
      <c r="L15" s="1"/>
      <c r="M15" s="1" t="s">
        <v>67</v>
      </c>
      <c r="N15" s="1"/>
    </row>
    <row r="16" customFormat="false" ht="24" hidden="false" customHeight="true" outlineLevel="0" collapsed="false">
      <c r="A16" s="1"/>
      <c r="B16" s="1"/>
      <c r="C16" s="1" t="s">
        <v>68</v>
      </c>
      <c r="D16" s="1" t="s">
        <v>69</v>
      </c>
      <c r="E16" s="16" t="n">
        <v>0</v>
      </c>
      <c r="F16" s="2"/>
      <c r="G16" s="2"/>
      <c r="H16" s="2"/>
      <c r="I16" s="2"/>
      <c r="J16" s="2"/>
      <c r="K16" s="2"/>
      <c r="L16" s="1"/>
      <c r="M16" s="1" t="s">
        <v>70</v>
      </c>
      <c r="N16" s="1"/>
    </row>
    <row r="17" customFormat="false" ht="24" hidden="false" customHeight="true" outlineLevel="0" collapsed="false">
      <c r="A17" s="1"/>
      <c r="B17" s="1"/>
      <c r="C17" s="1" t="s">
        <v>71</v>
      </c>
      <c r="D17" s="1" t="s">
        <v>69</v>
      </c>
      <c r="E17" s="17" t="n">
        <v>0</v>
      </c>
      <c r="F17" s="2"/>
      <c r="G17" s="2"/>
      <c r="H17" s="2"/>
      <c r="I17" s="2"/>
      <c r="J17" s="2"/>
      <c r="K17" s="2"/>
      <c r="L17" s="1"/>
      <c r="M17" s="1" t="s">
        <v>72</v>
      </c>
      <c r="N17" s="1"/>
    </row>
    <row r="18" customFormat="false" ht="24" hidden="false" customHeight="true" outlineLevel="0" collapsed="false">
      <c r="A18" s="1"/>
      <c r="B18" s="1"/>
      <c r="C18" s="1" t="s">
        <v>73</v>
      </c>
      <c r="D18" s="1" t="s">
        <v>69</v>
      </c>
      <c r="E18" s="17" t="n">
        <v>0.03</v>
      </c>
      <c r="F18" s="2"/>
      <c r="G18" s="2"/>
      <c r="H18" s="2"/>
      <c r="I18" s="2"/>
      <c r="J18" s="2"/>
      <c r="K18" s="2"/>
      <c r="L18" s="1"/>
      <c r="M18" s="1" t="s">
        <v>74</v>
      </c>
      <c r="N18" s="1"/>
    </row>
    <row r="19" customFormat="false" ht="24" hidden="false" customHeight="true" outlineLevel="0" collapsed="false">
      <c r="A19" s="1"/>
      <c r="B19" s="1"/>
      <c r="C19" s="1" t="s">
        <v>75</v>
      </c>
      <c r="D19" s="1" t="s">
        <v>63</v>
      </c>
      <c r="E19" s="18" t="n">
        <f aca="false">SUMIF(Customers!$E$8:$E$16,"On-Premise",Customers!$F$8:$F$16)</f>
        <v>1260</v>
      </c>
      <c r="F19" s="2"/>
      <c r="G19" s="2"/>
      <c r="H19" s="2"/>
      <c r="I19" s="2"/>
      <c r="J19" s="2"/>
      <c r="K19" s="2"/>
      <c r="L19" s="1"/>
      <c r="M19" s="1" t="s">
        <v>76</v>
      </c>
      <c r="N19" s="1"/>
    </row>
    <row r="20" customFormat="false" ht="24" hidden="false" customHeight="true" outlineLevel="0" collapsed="false">
      <c r="A20" s="1"/>
      <c r="B20" s="1"/>
      <c r="C20" s="1" t="s">
        <v>77</v>
      </c>
      <c r="D20" s="1" t="s">
        <v>63</v>
      </c>
      <c r="E20" s="18" t="n">
        <f aca="false">SUM(Customers!F8:F16)</f>
        <v>1830</v>
      </c>
      <c r="F20" s="2"/>
      <c r="G20" s="2"/>
      <c r="H20" s="2"/>
      <c r="I20" s="2"/>
      <c r="J20" s="2"/>
      <c r="K20" s="2"/>
      <c r="L20" s="1"/>
      <c r="M20" s="1" t="s">
        <v>78</v>
      </c>
      <c r="N20" s="1"/>
    </row>
    <row r="21" customFormat="false" ht="24" hidden="false" customHeight="true" outlineLevel="0" collapsed="false">
      <c r="A21" s="1"/>
      <c r="B21" s="1"/>
      <c r="C21" s="1" t="s">
        <v>79</v>
      </c>
      <c r="D21" s="1" t="s">
        <v>80</v>
      </c>
      <c r="E21" s="15" t="n">
        <v>76000</v>
      </c>
      <c r="F21" s="2"/>
      <c r="G21" s="2"/>
      <c r="H21" s="2"/>
      <c r="I21" s="2"/>
      <c r="J21" s="2"/>
      <c r="K21" s="2"/>
      <c r="L21" s="1"/>
      <c r="M21" s="1" t="s">
        <v>81</v>
      </c>
      <c r="N21" s="1"/>
    </row>
    <row r="22" customFormat="false" ht="24" hidden="false" customHeight="true" outlineLevel="0" collapsed="false">
      <c r="A22" s="1"/>
      <c r="B22" s="1"/>
      <c r="C22" s="1" t="s">
        <v>82</v>
      </c>
      <c r="D22" s="1" t="s">
        <v>49</v>
      </c>
      <c r="E22" s="19" t="n">
        <v>1180</v>
      </c>
      <c r="F22" s="2"/>
      <c r="G22" s="2"/>
      <c r="H22" s="2"/>
      <c r="I22" s="2"/>
      <c r="J22" s="2"/>
      <c r="K22" s="2"/>
      <c r="L22" s="1"/>
      <c r="M22" s="1" t="s">
        <v>83</v>
      </c>
      <c r="N22" s="1"/>
    </row>
    <row r="23" customFormat="false" ht="24" hidden="false" customHeight="true" outlineLevel="0" collapsed="false">
      <c r="A23" s="1"/>
      <c r="B23" s="1"/>
      <c r="C23" s="1" t="s">
        <v>84</v>
      </c>
      <c r="D23" s="1" t="s">
        <v>85</v>
      </c>
      <c r="E23" s="19" t="n">
        <v>0</v>
      </c>
      <c r="F23" s="2"/>
      <c r="G23" s="2"/>
      <c r="H23" s="2"/>
      <c r="I23" s="2"/>
      <c r="J23" s="2"/>
      <c r="K23" s="2"/>
      <c r="L23" s="1"/>
      <c r="M23" s="1" t="s">
        <v>86</v>
      </c>
      <c r="N23" s="1"/>
    </row>
    <row r="24" customFormat="false" ht="24" hidden="false" customHeight="true" outlineLevel="0" collapsed="false">
      <c r="A24" s="1"/>
      <c r="B24" s="1"/>
      <c r="C24" s="1"/>
      <c r="D24" s="1"/>
      <c r="E24" s="2"/>
      <c r="F24" s="2"/>
      <c r="G24" s="2"/>
      <c r="H24" s="2"/>
      <c r="I24" s="2"/>
      <c r="J24" s="2"/>
      <c r="K24" s="2"/>
      <c r="L24" s="1"/>
      <c r="M24" s="1"/>
      <c r="N24" s="1"/>
    </row>
    <row r="25" customFormat="false" ht="30" hidden="false" customHeight="true" outlineLevel="0" collapsed="false">
      <c r="A25" s="1"/>
      <c r="B25" s="1"/>
      <c r="C25" s="8" t="s">
        <v>87</v>
      </c>
      <c r="D25" s="8" t="s">
        <v>47</v>
      </c>
      <c r="E25" s="9" t="s">
        <v>19</v>
      </c>
      <c r="F25" s="9" t="s">
        <v>20</v>
      </c>
      <c r="G25" s="9" t="s">
        <v>21</v>
      </c>
      <c r="H25" s="9" t="s">
        <v>22</v>
      </c>
      <c r="I25" s="9" t="s">
        <v>23</v>
      </c>
      <c r="J25" s="2"/>
      <c r="K25" s="2"/>
      <c r="L25" s="1"/>
      <c r="M25" s="1"/>
      <c r="N25" s="1"/>
    </row>
    <row r="26" customFormat="false" ht="24" hidden="false" customHeight="true" outlineLevel="0" collapsed="false">
      <c r="A26" s="1"/>
      <c r="B26" s="1"/>
      <c r="C26" s="20" t="s">
        <v>88</v>
      </c>
      <c r="D26" s="20" t="s">
        <v>69</v>
      </c>
      <c r="E26" s="21" t="n">
        <f aca="false">IF(ISNUMBER(CHOOSE($E$4,E27,E28,E29)),CHOOSE($E$4,E27,E28,E29),NA())</f>
        <v>0</v>
      </c>
      <c r="F26" s="21" t="n">
        <f aca="false">IF(ISNUMBER(CHOOSE($E$4,F27,F28,F29)),CHOOSE($E$4,F27,F28,F29),NA())</f>
        <v>0.0625</v>
      </c>
      <c r="G26" s="21" t="n">
        <f aca="false">IF(ISNUMBER(CHOOSE($E$4,G27,G28,G29)),CHOOSE($E$4,G27,G28,G29),NA())</f>
        <v>0.125</v>
      </c>
      <c r="H26" s="21" t="n">
        <f aca="false">IF(ISNUMBER(CHOOSE($E$4,H27,H28,H29)),CHOOSE($E$4,H27,H28,H29),NA())</f>
        <v>0.1875</v>
      </c>
      <c r="I26" s="21" t="n">
        <f aca="false">IF(ISNUMBER(CHOOSE($E$4,I27,I28,I29)),CHOOSE($E$4,I27,I28,I29),NA())</f>
        <v>0.25</v>
      </c>
      <c r="J26" s="2"/>
      <c r="K26" s="2"/>
      <c r="L26" s="1"/>
      <c r="M26" s="1" t="s">
        <v>89</v>
      </c>
      <c r="N26" s="1"/>
    </row>
    <row r="27" customFormat="false" ht="24" hidden="false" customHeight="true" outlineLevel="0" collapsed="false">
      <c r="A27" s="1"/>
      <c r="B27" s="1"/>
      <c r="C27" s="1" t="s">
        <v>90</v>
      </c>
      <c r="D27" s="1" t="s">
        <v>69</v>
      </c>
      <c r="E27" s="17" t="n">
        <v>0</v>
      </c>
      <c r="F27" s="17" t="n">
        <v>0.0625</v>
      </c>
      <c r="G27" s="17" t="n">
        <v>0.125</v>
      </c>
      <c r="H27" s="17" t="n">
        <v>0.1875</v>
      </c>
      <c r="I27" s="17" t="n">
        <v>0.25</v>
      </c>
      <c r="J27" s="2"/>
      <c r="K27" s="2"/>
      <c r="L27" s="1"/>
      <c r="M27" s="1"/>
      <c r="N27" s="1"/>
    </row>
    <row r="28" customFormat="false" ht="24" hidden="false" customHeight="true" outlineLevel="0" collapsed="false">
      <c r="A28" s="1"/>
      <c r="B28" s="1"/>
      <c r="C28" s="1" t="s">
        <v>91</v>
      </c>
      <c r="D28" s="1" t="s">
        <v>69</v>
      </c>
      <c r="E28" s="17" t="n">
        <v>0</v>
      </c>
      <c r="F28" s="17" t="n">
        <v>0.0625</v>
      </c>
      <c r="G28" s="17" t="n">
        <v>0.125</v>
      </c>
      <c r="H28" s="17" t="n">
        <v>0.1875</v>
      </c>
      <c r="I28" s="17" t="n">
        <v>0.25</v>
      </c>
      <c r="J28" s="2"/>
      <c r="K28" s="2"/>
      <c r="L28" s="1"/>
      <c r="M28" s="1"/>
      <c r="N28" s="1"/>
    </row>
    <row r="29" customFormat="false" ht="24" hidden="false" customHeight="true" outlineLevel="0" collapsed="false">
      <c r="A29" s="1"/>
      <c r="B29" s="1"/>
      <c r="C29" s="1" t="s">
        <v>92</v>
      </c>
      <c r="D29" s="1" t="s">
        <v>69</v>
      </c>
      <c r="E29" s="17" t="n">
        <v>0</v>
      </c>
      <c r="F29" s="17" t="n">
        <v>0.125</v>
      </c>
      <c r="G29" s="17" t="n">
        <v>0.25</v>
      </c>
      <c r="H29" s="17" t="n">
        <v>0.25</v>
      </c>
      <c r="I29" s="17" t="n">
        <v>0.25</v>
      </c>
      <c r="J29" s="2"/>
      <c r="K29" s="2"/>
      <c r="L29" s="1"/>
      <c r="M29" s="1"/>
      <c r="N29" s="1"/>
    </row>
    <row r="30" customFormat="false" ht="24" hidden="false" customHeight="true" outlineLevel="0" collapsed="false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1"/>
      <c r="M30" s="1"/>
      <c r="N30" s="1"/>
    </row>
    <row r="31" customFormat="false" ht="24" hidden="false" customHeight="true" outlineLevel="0" collapsed="false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1"/>
      <c r="M31" s="1"/>
      <c r="N31" s="1"/>
    </row>
    <row r="32" customFormat="false" ht="24" hidden="false" customHeight="true" outlineLevel="0" collapsed="false">
      <c r="A32" s="1"/>
      <c r="B32" s="1"/>
      <c r="C32" s="20" t="s">
        <v>93</v>
      </c>
      <c r="D32" s="20" t="s">
        <v>69</v>
      </c>
      <c r="E32" s="21" t="n">
        <f aca="false">IF(ISNUMBER(CHOOSE($E$4,E33,E34,E35)),CHOOSE($E$4,E33,E34,E35),NA())</f>
        <v>1</v>
      </c>
      <c r="F32" s="21" t="n">
        <f aca="false">IF(ISNUMBER(CHOOSE($E$4,F33,F34,F35)),CHOOSE($E$4,F33,F34,F35),NA())</f>
        <v>1</v>
      </c>
      <c r="G32" s="21" t="n">
        <f aca="false">IF(ISNUMBER(CHOOSE($E$4,G33,G34,G35)),CHOOSE($E$4,G33,G34,G35),NA())</f>
        <v>1</v>
      </c>
      <c r="H32" s="21" t="n">
        <f aca="false">IF(ISNUMBER(CHOOSE($E$4,H33,H34,H35)),CHOOSE($E$4,H33,H34,H35),NA())</f>
        <v>1</v>
      </c>
      <c r="I32" s="21" t="n">
        <f aca="false">IF(ISNUMBER(CHOOSE($E$4,I33,I34,I35)),CHOOSE($E$4,I33,I34,I35),NA())</f>
        <v>1</v>
      </c>
      <c r="J32" s="2"/>
      <c r="K32" s="2"/>
      <c r="L32" s="1"/>
      <c r="M32" s="1" t="s">
        <v>94</v>
      </c>
      <c r="N32" s="1"/>
    </row>
    <row r="33" customFormat="false" ht="24" hidden="false" customHeight="true" outlineLevel="0" collapsed="false">
      <c r="A33" s="1"/>
      <c r="B33" s="1"/>
      <c r="C33" s="1" t="s">
        <v>90</v>
      </c>
      <c r="D33" s="1" t="s">
        <v>69</v>
      </c>
      <c r="E33" s="17" t="n">
        <v>1</v>
      </c>
      <c r="F33" s="17" t="n">
        <v>1</v>
      </c>
      <c r="G33" s="17" t="n">
        <v>1</v>
      </c>
      <c r="H33" s="17" t="n">
        <v>1</v>
      </c>
      <c r="I33" s="17" t="n">
        <v>1</v>
      </c>
      <c r="J33" s="2"/>
      <c r="K33" s="2"/>
      <c r="L33" s="1"/>
      <c r="M33" s="1"/>
      <c r="N33" s="1"/>
    </row>
    <row r="34" customFormat="false" ht="24" hidden="false" customHeight="true" outlineLevel="0" collapsed="false">
      <c r="A34" s="1"/>
      <c r="B34" s="1"/>
      <c r="C34" s="1" t="s">
        <v>91</v>
      </c>
      <c r="D34" s="1" t="s">
        <v>69</v>
      </c>
      <c r="E34" s="17" t="n">
        <v>0.6</v>
      </c>
      <c r="F34" s="17" t="n">
        <v>0.75</v>
      </c>
      <c r="G34" s="17" t="n">
        <v>0.85</v>
      </c>
      <c r="H34" s="17" t="n">
        <v>0.95</v>
      </c>
      <c r="I34" s="17" t="n">
        <v>1</v>
      </c>
      <c r="J34" s="2"/>
      <c r="K34" s="2"/>
      <c r="L34" s="1"/>
      <c r="M34" s="1"/>
      <c r="N34" s="1"/>
    </row>
    <row r="35" customFormat="false" ht="24" hidden="false" customHeight="true" outlineLevel="0" collapsed="false">
      <c r="A35" s="1"/>
      <c r="B35" s="1"/>
      <c r="C35" s="1" t="s">
        <v>92</v>
      </c>
      <c r="D35" s="1" t="s">
        <v>69</v>
      </c>
      <c r="E35" s="17" t="n">
        <v>1</v>
      </c>
      <c r="F35" s="17" t="n">
        <v>1</v>
      </c>
      <c r="G35" s="17" t="n">
        <v>1</v>
      </c>
      <c r="H35" s="17" t="n">
        <v>1</v>
      </c>
      <c r="I35" s="17" t="n">
        <v>1</v>
      </c>
      <c r="J35" s="2"/>
      <c r="K35" s="2"/>
      <c r="L35" s="1"/>
      <c r="M35" s="1"/>
      <c r="N35" s="1"/>
    </row>
    <row r="36" customFormat="false" ht="24" hidden="false" customHeight="true" outlineLevel="0" collapsed="false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1"/>
      <c r="M36" s="1"/>
      <c r="N36" s="1"/>
    </row>
    <row r="37" customFormat="false" ht="24" hidden="false" customHeight="true" outlineLevel="0" collapsed="false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1"/>
      <c r="M37" s="1"/>
      <c r="N37" s="1"/>
    </row>
    <row r="38" customFormat="false" ht="24" hidden="false" customHeight="true" outlineLevel="0" collapsed="false">
      <c r="A38" s="1"/>
      <c r="B38" s="1"/>
      <c r="C38" s="20" t="s">
        <v>95</v>
      </c>
      <c r="D38" s="20" t="s">
        <v>96</v>
      </c>
      <c r="E38" s="22" t="n">
        <f aca="false">IF(ISNUMBER(CHOOSE($E$4,E39,E40,E41)),CHOOSE($E$4,E39,E40,E41),NA())</f>
        <v>10</v>
      </c>
      <c r="F38" s="22" t="n">
        <f aca="false">IF(ISNUMBER(CHOOSE($E$4,F39,F40,F41)),CHOOSE($E$4,F39,F40,F41),NA())</f>
        <v>6</v>
      </c>
      <c r="G38" s="22" t="n">
        <f aca="false">IF(ISNUMBER(CHOOSE($E$4,G39,G40,G41)),CHOOSE($E$4,G39,G40,G41),NA())</f>
        <v>8</v>
      </c>
      <c r="H38" s="22" t="n">
        <f aca="false">IF(ISNUMBER(CHOOSE($E$4,H39,H40,H41)),CHOOSE($E$4,H39,H40,H41),NA())</f>
        <v>8</v>
      </c>
      <c r="I38" s="22" t="n">
        <f aca="false">IF(ISNUMBER(CHOOSE($E$4,I39,I40,I41)),CHOOSE($E$4,I39,I40,I41),NA())</f>
        <v>8</v>
      </c>
      <c r="J38" s="2"/>
      <c r="K38" s="2"/>
      <c r="L38" s="1"/>
      <c r="M38" s="1" t="s">
        <v>97</v>
      </c>
      <c r="N38" s="1"/>
    </row>
    <row r="39" customFormat="false" ht="24" hidden="false" customHeight="true" outlineLevel="0" collapsed="false">
      <c r="A39" s="1"/>
      <c r="B39" s="1"/>
      <c r="C39" s="1" t="s">
        <v>90</v>
      </c>
      <c r="D39" s="1" t="s">
        <v>96</v>
      </c>
      <c r="E39" s="19" t="n">
        <v>10</v>
      </c>
      <c r="F39" s="19" t="n">
        <v>6</v>
      </c>
      <c r="G39" s="19" t="n">
        <v>8</v>
      </c>
      <c r="H39" s="19" t="n">
        <v>8</v>
      </c>
      <c r="I39" s="19" t="n">
        <v>8</v>
      </c>
      <c r="J39" s="2"/>
      <c r="K39" s="2"/>
      <c r="L39" s="1"/>
      <c r="M39" s="1"/>
      <c r="N39" s="1"/>
    </row>
    <row r="40" customFormat="false" ht="24" hidden="false" customHeight="true" outlineLevel="0" collapsed="false">
      <c r="A40" s="1"/>
      <c r="B40" s="1"/>
      <c r="C40" s="1" t="s">
        <v>91</v>
      </c>
      <c r="D40" s="1" t="s">
        <v>96</v>
      </c>
      <c r="E40" s="19" t="n">
        <v>6</v>
      </c>
      <c r="F40" s="19" t="n">
        <v>6</v>
      </c>
      <c r="G40" s="19" t="n">
        <v>8</v>
      </c>
      <c r="H40" s="19" t="n">
        <v>10</v>
      </c>
      <c r="I40" s="19" t="n">
        <v>10</v>
      </c>
      <c r="J40" s="2"/>
      <c r="K40" s="2"/>
      <c r="L40" s="1"/>
      <c r="M40" s="1"/>
      <c r="N40" s="1"/>
    </row>
    <row r="41" customFormat="false" ht="24" hidden="false" customHeight="true" outlineLevel="0" collapsed="false">
      <c r="A41" s="1"/>
      <c r="B41" s="1"/>
      <c r="C41" s="1" t="s">
        <v>92</v>
      </c>
      <c r="D41" s="1" t="s">
        <v>96</v>
      </c>
      <c r="E41" s="19" t="n">
        <v>16</v>
      </c>
      <c r="F41" s="19" t="n">
        <v>12</v>
      </c>
      <c r="G41" s="19" t="n">
        <v>6</v>
      </c>
      <c r="H41" s="19" t="n">
        <v>3</v>
      </c>
      <c r="I41" s="19" t="n">
        <v>3</v>
      </c>
      <c r="J41" s="2"/>
      <c r="K41" s="2"/>
      <c r="L41" s="1"/>
      <c r="M41" s="1"/>
      <c r="N41" s="1"/>
    </row>
    <row r="42" customFormat="false" ht="24" hidden="false" customHeight="true" outlineLevel="0" collapsed="false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1"/>
      <c r="M42" s="1"/>
      <c r="N42" s="1"/>
    </row>
    <row r="43" customFormat="false" ht="24" hidden="false" customHeight="true" outlineLevel="0" collapsed="false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1"/>
      <c r="M43" s="1"/>
      <c r="N43" s="1"/>
    </row>
    <row r="44" customFormat="false" ht="24" hidden="false" customHeight="true" outlineLevel="0" collapsed="false">
      <c r="A44" s="1"/>
      <c r="B44" s="1"/>
      <c r="C44" s="20" t="s">
        <v>98</v>
      </c>
      <c r="D44" s="20" t="s">
        <v>99</v>
      </c>
      <c r="E44" s="21" t="n">
        <f aca="false">IF(ISNUMBER(CHOOSE($E$4,E45,E46,E47)),CHOOSE($E$4,E45,E46,E47),NA())</f>
        <v>0</v>
      </c>
      <c r="F44" s="21" t="n">
        <f aca="false">IF(ISNUMBER(CHOOSE($E$4,F45,F46,F47)),CHOOSE($E$4,F45,F46,F47),NA())</f>
        <v>0</v>
      </c>
      <c r="G44" s="21" t="n">
        <f aca="false">IF(ISNUMBER(CHOOSE($E$4,G45,G46,G47)),CHOOSE($E$4,G45,G46,G47),NA())</f>
        <v>0</v>
      </c>
      <c r="H44" s="21" t="n">
        <f aca="false">IF(ISNUMBER(CHOOSE($E$4,H45,H46,H47)),CHOOSE($E$4,H45,H46,H47),NA())</f>
        <v>0</v>
      </c>
      <c r="I44" s="21" t="n">
        <f aca="false">IF(ISNUMBER(CHOOSE($E$4,I45,I46,I47)),CHOOSE($E$4,I45,I46,I47),NA())</f>
        <v>0</v>
      </c>
      <c r="J44" s="2"/>
      <c r="K44" s="2"/>
      <c r="L44" s="1"/>
      <c r="M44" s="1" t="s">
        <v>100</v>
      </c>
      <c r="N44" s="1"/>
    </row>
    <row r="45" customFormat="false" ht="24" hidden="false" customHeight="true" outlineLevel="0" collapsed="false">
      <c r="A45" s="1"/>
      <c r="B45" s="1"/>
      <c r="C45" s="1" t="s">
        <v>90</v>
      </c>
      <c r="D45" s="1" t="s">
        <v>99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2"/>
      <c r="K45" s="2"/>
      <c r="L45" s="1"/>
      <c r="M45" s="1"/>
      <c r="N45" s="1"/>
    </row>
    <row r="46" customFormat="false" ht="24" hidden="false" customHeight="true" outlineLevel="0" collapsed="false">
      <c r="A46" s="1"/>
      <c r="B46" s="1"/>
      <c r="C46" s="1" t="s">
        <v>91</v>
      </c>
      <c r="D46" s="1" t="s">
        <v>99</v>
      </c>
      <c r="E46" s="17" t="n">
        <v>0.25</v>
      </c>
      <c r="F46" s="17" t="n">
        <v>0</v>
      </c>
      <c r="G46" s="17" t="n">
        <v>0</v>
      </c>
      <c r="H46" s="17" t="n">
        <v>0</v>
      </c>
      <c r="I46" s="17" t="n">
        <v>0</v>
      </c>
      <c r="J46" s="2"/>
      <c r="K46" s="2"/>
      <c r="L46" s="1"/>
      <c r="M46" s="1"/>
      <c r="N46" s="1"/>
    </row>
    <row r="47" customFormat="false" ht="24" hidden="false" customHeight="true" outlineLevel="0" collapsed="false">
      <c r="A47" s="1"/>
      <c r="B47" s="1"/>
      <c r="C47" s="1" t="s">
        <v>92</v>
      </c>
      <c r="D47" s="1" t="s">
        <v>99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2"/>
      <c r="K47" s="2"/>
      <c r="L47" s="1"/>
      <c r="M47" s="1"/>
      <c r="N47" s="1"/>
    </row>
    <row r="48" customFormat="false" ht="24" hidden="false" customHeight="true" outlineLevel="0" collapsed="false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1"/>
      <c r="M48" s="1"/>
      <c r="N48" s="1"/>
    </row>
    <row r="49" customFormat="false" ht="24" hidden="false" customHeight="true" outlineLevel="0" collapsed="false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1"/>
      <c r="M49" s="1"/>
      <c r="N49" s="1"/>
    </row>
    <row r="50" customFormat="false" ht="24" hidden="false" customHeight="true" outlineLevel="0" collapsed="false">
      <c r="A50" s="1"/>
      <c r="B50" s="1"/>
      <c r="C50" s="20" t="s">
        <v>101</v>
      </c>
      <c r="D50" s="20" t="s">
        <v>102</v>
      </c>
      <c r="E50" s="22" t="n">
        <f aca="false">IF(ISNUMBER(CHOOSE($E$4,E51,E52,E53)),CHOOSE($E$4,E51,E52,E53),NA())</f>
        <v>0</v>
      </c>
      <c r="F50" s="22" t="n">
        <f aca="false">IF(ISNUMBER(CHOOSE($E$4,F51,F52,F53)),CHOOSE($E$4,F51,F52,F53),NA())</f>
        <v>0</v>
      </c>
      <c r="G50" s="22" t="n">
        <f aca="false">IF(ISNUMBER(CHOOSE($E$4,G51,G52,G53)),CHOOSE($E$4,G51,G52,G53),NA())</f>
        <v>0</v>
      </c>
      <c r="H50" s="22" t="n">
        <f aca="false">IF(ISNUMBER(CHOOSE($E$4,H51,H52,H53)),CHOOSE($E$4,H51,H52,H53),NA())</f>
        <v>0</v>
      </c>
      <c r="I50" s="22" t="n">
        <f aca="false">IF(ISNUMBER(CHOOSE($E$4,I51,I52,I53)),CHOOSE($E$4,I51,I52,I53),NA())</f>
        <v>0</v>
      </c>
      <c r="J50" s="2"/>
      <c r="K50" s="2"/>
      <c r="L50" s="1"/>
      <c r="M50" s="1" t="s">
        <v>103</v>
      </c>
      <c r="N50" s="1"/>
    </row>
    <row r="51" customFormat="false" ht="24" hidden="false" customHeight="true" outlineLevel="0" collapsed="false">
      <c r="A51" s="1"/>
      <c r="B51" s="1"/>
      <c r="C51" s="1" t="s">
        <v>90</v>
      </c>
      <c r="D51" s="1" t="s">
        <v>102</v>
      </c>
      <c r="E51" s="19" t="n">
        <v>0</v>
      </c>
      <c r="F51" s="19" t="n">
        <v>0</v>
      </c>
      <c r="G51" s="19" t="n">
        <v>0</v>
      </c>
      <c r="H51" s="19" t="n">
        <v>0</v>
      </c>
      <c r="I51" s="19" t="n">
        <v>0</v>
      </c>
      <c r="J51" s="2"/>
      <c r="K51" s="2"/>
      <c r="L51" s="1"/>
      <c r="M51" s="1"/>
      <c r="N51" s="1"/>
    </row>
    <row r="52" customFormat="false" ht="24" hidden="false" customHeight="true" outlineLevel="0" collapsed="false">
      <c r="A52" s="1"/>
      <c r="B52" s="1"/>
      <c r="C52" s="1" t="s">
        <v>91</v>
      </c>
      <c r="D52" s="1" t="s">
        <v>102</v>
      </c>
      <c r="E52" s="19" t="n">
        <v>0</v>
      </c>
      <c r="F52" s="19" t="n">
        <v>0</v>
      </c>
      <c r="G52" s="19" t="n">
        <v>0</v>
      </c>
      <c r="H52" s="19" t="n">
        <v>0</v>
      </c>
      <c r="I52" s="19" t="n">
        <v>0</v>
      </c>
      <c r="J52" s="2"/>
      <c r="K52" s="2"/>
      <c r="L52" s="1"/>
      <c r="M52" s="1"/>
      <c r="N52" s="1"/>
    </row>
    <row r="53" customFormat="false" ht="24" hidden="false" customHeight="true" outlineLevel="0" collapsed="false">
      <c r="A53" s="1"/>
      <c r="B53" s="1"/>
      <c r="C53" s="1" t="s">
        <v>92</v>
      </c>
      <c r="D53" s="1" t="s">
        <v>102</v>
      </c>
      <c r="E53" s="19" t="n">
        <v>0</v>
      </c>
      <c r="F53" s="19" t="n">
        <v>0</v>
      </c>
      <c r="G53" s="19" t="n">
        <v>0</v>
      </c>
      <c r="H53" s="19" t="n">
        <v>0</v>
      </c>
      <c r="I53" s="19" t="n">
        <v>0</v>
      </c>
      <c r="J53" s="2"/>
      <c r="K53" s="2"/>
      <c r="L53" s="1"/>
      <c r="M53" s="1"/>
      <c r="N53" s="1"/>
    </row>
    <row r="54" customFormat="false" ht="24" hidden="false" customHeight="true" outlineLevel="0" collapsed="false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1"/>
      <c r="M54" s="1"/>
      <c r="N54" s="1"/>
    </row>
    <row r="55" customFormat="false" ht="24" hidden="false" customHeight="true" outlineLevel="0" collapsed="false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1"/>
      <c r="M55" s="1"/>
      <c r="N55" s="1"/>
    </row>
    <row r="56" customFormat="false" ht="25" hidden="false" customHeight="true" outlineLevel="0" collapsed="false">
      <c r="A56" s="1"/>
      <c r="B56" s="1"/>
      <c r="C56" s="23" t="s">
        <v>104</v>
      </c>
      <c r="D56" s="23"/>
      <c r="E56" s="24"/>
      <c r="F56" s="24"/>
      <c r="G56" s="24"/>
      <c r="H56" s="24"/>
      <c r="I56" s="24"/>
      <c r="J56" s="24"/>
      <c r="K56" s="24"/>
      <c r="L56" s="1"/>
      <c r="M56" s="1"/>
      <c r="N56" s="1"/>
    </row>
    <row r="57" customFormat="false" ht="24" hidden="false" customHeight="true" outlineLevel="0" collapsed="false">
      <c r="A57" s="1"/>
      <c r="B57" s="1"/>
      <c r="C57" s="1" t="s">
        <v>105</v>
      </c>
      <c r="D57" s="1"/>
      <c r="E57" s="2" t="s">
        <v>106</v>
      </c>
      <c r="F57" s="2"/>
      <c r="G57" s="2"/>
      <c r="H57" s="2"/>
      <c r="I57" s="2"/>
      <c r="J57" s="2"/>
      <c r="K57" s="2"/>
      <c r="L57" s="1"/>
      <c r="M57" s="1"/>
      <c r="N57" s="1"/>
    </row>
    <row r="58" customFormat="false" ht="24" hidden="false" customHeight="true" outlineLevel="0" collapsed="false">
      <c r="A58" s="1"/>
      <c r="B58" s="1"/>
      <c r="C58" s="1" t="s">
        <v>107</v>
      </c>
      <c r="D58" s="1"/>
      <c r="E58" s="2" t="s">
        <v>108</v>
      </c>
      <c r="F58" s="2"/>
      <c r="G58" s="2"/>
      <c r="H58" s="2"/>
      <c r="I58" s="2"/>
      <c r="J58" s="2"/>
      <c r="K58" s="2"/>
      <c r="L58" s="1"/>
      <c r="M58" s="1"/>
      <c r="N58" s="1"/>
    </row>
    <row r="59" customFormat="false" ht="24" hidden="false" customHeight="true" outlineLevel="0" collapsed="false">
      <c r="A59" s="1"/>
      <c r="B59" s="1"/>
      <c r="C59" s="1" t="s">
        <v>109</v>
      </c>
      <c r="D59" s="1"/>
      <c r="E59" s="2" t="s">
        <v>110</v>
      </c>
      <c r="F59" s="2"/>
      <c r="G59" s="2"/>
      <c r="H59" s="2"/>
      <c r="I59" s="2"/>
      <c r="J59" s="2"/>
      <c r="K59" s="2"/>
      <c r="L59" s="1"/>
      <c r="M59" s="1"/>
      <c r="N59" s="1"/>
    </row>
    <row r="60" customFormat="false" ht="24" hidden="false" customHeight="true" outlineLevel="0" collapsed="false">
      <c r="A60" s="1"/>
      <c r="B60" s="1"/>
      <c r="C60" s="1" t="s">
        <v>111</v>
      </c>
      <c r="D60" s="1"/>
      <c r="E60" s="2" t="s">
        <v>112</v>
      </c>
      <c r="F60" s="2"/>
      <c r="G60" s="2"/>
      <c r="H60" s="2"/>
      <c r="I60" s="2"/>
      <c r="J60" s="2"/>
      <c r="K60" s="2"/>
      <c r="L60" s="1"/>
      <c r="M60" s="1"/>
      <c r="N60" s="1"/>
    </row>
    <row r="61" customFormat="false" ht="24" hidden="false" customHeight="true" outlineLevel="0" collapsed="false">
      <c r="A61" s="1"/>
      <c r="B61" s="1"/>
      <c r="C61" s="1" t="s">
        <v>113</v>
      </c>
      <c r="D61" s="1"/>
      <c r="E61" s="2" t="s">
        <v>114</v>
      </c>
      <c r="F61" s="2"/>
      <c r="G61" s="2"/>
      <c r="H61" s="2"/>
      <c r="I61" s="2"/>
      <c r="J61" s="2"/>
      <c r="K61" s="2"/>
      <c r="L61" s="1"/>
      <c r="M61" s="1"/>
      <c r="N61" s="1"/>
    </row>
    <row r="62" customFormat="false" ht="24" hidden="false" customHeight="true" outlineLevel="0" collapsed="false">
      <c r="A62" s="1"/>
      <c r="B62" s="1"/>
      <c r="C62" s="1" t="s">
        <v>115</v>
      </c>
      <c r="D62" s="1"/>
      <c r="E62" s="2" t="s">
        <v>116</v>
      </c>
      <c r="F62" s="2"/>
      <c r="G62" s="2"/>
      <c r="H62" s="2"/>
      <c r="I62" s="2"/>
      <c r="J62" s="2"/>
      <c r="K62" s="2"/>
      <c r="L62" s="1"/>
      <c r="M62" s="1"/>
      <c r="N62" s="1"/>
    </row>
    <row r="63" customFormat="false" ht="24" hidden="false" customHeight="true" outlineLevel="0" collapsed="false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1"/>
      <c r="M63" s="1"/>
      <c r="N63" s="1"/>
    </row>
    <row r="64" customFormat="false" ht="24" hidden="false" customHeight="true" outlineLevel="0" collapsed="false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1"/>
      <c r="M64" s="1"/>
      <c r="N64" s="1"/>
    </row>
    <row r="65" customFormat="false" ht="25" hidden="false" customHeight="true" outlineLevel="0" collapsed="false">
      <c r="A65" s="1"/>
      <c r="B65" s="1"/>
      <c r="C65" s="23" t="s">
        <v>117</v>
      </c>
      <c r="D65" s="23"/>
      <c r="E65" s="24"/>
      <c r="F65" s="24"/>
      <c r="G65" s="24"/>
      <c r="H65" s="24"/>
      <c r="I65" s="24"/>
      <c r="J65" s="24"/>
      <c r="K65" s="24"/>
      <c r="L65" s="1"/>
      <c r="M65" s="1"/>
      <c r="N65" s="1"/>
    </row>
    <row r="66" customFormat="false" ht="30" hidden="false" customHeight="true" outlineLevel="0" collapsed="false">
      <c r="A66" s="1"/>
      <c r="B66" s="1"/>
      <c r="C66" s="8" t="s">
        <v>118</v>
      </c>
      <c r="D66" s="8" t="s">
        <v>47</v>
      </c>
      <c r="E66" s="9" t="s">
        <v>119</v>
      </c>
      <c r="F66" s="2"/>
      <c r="G66" s="2"/>
      <c r="H66" s="2"/>
      <c r="I66" s="2"/>
      <c r="J66" s="2"/>
      <c r="K66" s="2"/>
      <c r="L66" s="1"/>
      <c r="M66" s="1" t="s">
        <v>120</v>
      </c>
      <c r="N66" s="1"/>
    </row>
    <row r="67" customFormat="false" ht="24" hidden="false" customHeight="true" outlineLevel="0" collapsed="false">
      <c r="A67" s="1"/>
      <c r="B67" s="1"/>
      <c r="C67" s="1" t="s">
        <v>121</v>
      </c>
      <c r="D67" s="1" t="s">
        <v>49</v>
      </c>
      <c r="E67" s="2" t="n">
        <v>2213</v>
      </c>
      <c r="F67" s="2"/>
      <c r="G67" s="2"/>
      <c r="H67" s="2"/>
      <c r="I67" s="2"/>
      <c r="J67" s="2"/>
      <c r="K67" s="2"/>
      <c r="L67" s="1"/>
      <c r="M67" s="1"/>
      <c r="N67" s="1"/>
    </row>
    <row r="68" customFormat="false" ht="24" hidden="false" customHeight="true" outlineLevel="0" collapsed="false">
      <c r="A68" s="1"/>
      <c r="B68" s="1"/>
      <c r="C68" s="1" t="s">
        <v>122</v>
      </c>
      <c r="D68" s="1" t="s">
        <v>49</v>
      </c>
      <c r="E68" s="2" t="n">
        <v>2065</v>
      </c>
      <c r="F68" s="2"/>
      <c r="G68" s="2"/>
      <c r="H68" s="2"/>
      <c r="I68" s="2"/>
      <c r="J68" s="2"/>
      <c r="K68" s="2"/>
      <c r="L68" s="1"/>
      <c r="M68" s="1"/>
      <c r="N68" s="1"/>
    </row>
    <row r="69" customFormat="false" ht="24" hidden="false" customHeight="true" outlineLevel="0" collapsed="false">
      <c r="A69" s="1"/>
      <c r="B69" s="1"/>
      <c r="C69" s="1" t="s">
        <v>123</v>
      </c>
      <c r="D69" s="1" t="s">
        <v>49</v>
      </c>
      <c r="E69" s="2" t="n">
        <v>1770</v>
      </c>
      <c r="F69" s="2"/>
      <c r="G69" s="2"/>
      <c r="H69" s="2"/>
      <c r="I69" s="2"/>
      <c r="J69" s="2"/>
      <c r="K69" s="2"/>
      <c r="L69" s="1"/>
      <c r="M69" s="1"/>
      <c r="N69" s="1"/>
    </row>
    <row r="70" customFormat="false" ht="24" hidden="false" customHeight="true" outlineLevel="0" collapsed="false">
      <c r="A70" s="1"/>
      <c r="B70" s="1"/>
      <c r="C70" s="1" t="s">
        <v>124</v>
      </c>
      <c r="D70" s="1" t="s">
        <v>49</v>
      </c>
      <c r="E70" s="2" t="n">
        <v>1475</v>
      </c>
      <c r="F70" s="2"/>
      <c r="G70" s="2"/>
      <c r="H70" s="2"/>
      <c r="I70" s="2"/>
      <c r="J70" s="2"/>
      <c r="K70" s="2"/>
      <c r="L70" s="1"/>
      <c r="M70" s="1"/>
      <c r="N70" s="1"/>
    </row>
    <row r="71" customFormat="false" ht="24" hidden="false" customHeight="true" outlineLevel="0" collapsed="false">
      <c r="A71" s="1"/>
      <c r="B71" s="1"/>
      <c r="C71" s="1" t="s">
        <v>125</v>
      </c>
      <c r="D71" s="1" t="s">
        <v>49</v>
      </c>
      <c r="E71" s="2" t="n">
        <v>1180</v>
      </c>
      <c r="F71" s="2"/>
      <c r="G71" s="2"/>
      <c r="H71" s="2"/>
      <c r="I71" s="2"/>
      <c r="J71" s="2"/>
      <c r="K71" s="2"/>
      <c r="L71" s="1"/>
      <c r="M71" s="1"/>
      <c r="N71" s="1"/>
    </row>
    <row r="72" customFormat="false" ht="24" hidden="false" customHeight="true" outlineLevel="0" collapsed="false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1"/>
      <c r="M72" s="1"/>
      <c r="N72" s="1"/>
    </row>
    <row r="73" customFormat="false" ht="24" hidden="false" customHeight="true" outlineLevel="0" collapsed="false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1"/>
      <c r="M73" s="1"/>
      <c r="N73" s="1"/>
    </row>
    <row r="74" customFormat="false" ht="24" hidden="false" customHeight="true" outlineLevel="0" collapsed="false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1"/>
      <c r="M74" s="1"/>
      <c r="N74" s="1"/>
    </row>
    <row r="75" customFormat="false" ht="24" hidden="false" customHeight="true" outlineLevel="0" collapsed="false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1"/>
      <c r="M75" s="1"/>
      <c r="N75" s="1"/>
    </row>
    <row r="76" customFormat="false" ht="24" hidden="false" customHeight="true" outlineLevel="0" collapsed="false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1"/>
      <c r="M76" s="1"/>
      <c r="N76" s="1"/>
    </row>
    <row r="77" customFormat="false" ht="24" hidden="false" customHeight="true" outlineLevel="0" collapsed="false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1"/>
      <c r="M77" s="1"/>
      <c r="N77" s="1"/>
    </row>
    <row r="78" customFormat="false" ht="24" hidden="false" customHeight="true" outlineLevel="0" collapsed="false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1"/>
      <c r="M78" s="1"/>
      <c r="N78" s="1"/>
    </row>
    <row r="79" customFormat="false" ht="24" hidden="false" customHeight="true" outlineLevel="0" collapsed="false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1"/>
      <c r="M79" s="1"/>
      <c r="N79" s="1"/>
    </row>
    <row r="80" customFormat="false" ht="24" hidden="false" customHeight="true" outlineLevel="0" collapsed="false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1"/>
      <c r="M80" s="1"/>
      <c r="N80" s="1"/>
    </row>
    <row r="81" customFormat="false" ht="24" hidden="false" customHeight="true" outlineLevel="0" collapsed="false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1"/>
      <c r="M81" s="1"/>
      <c r="N81" s="1"/>
    </row>
    <row r="82" customFormat="false" ht="24" hidden="false" customHeight="true" outlineLevel="0" collapsed="false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1"/>
      <c r="M82" s="1"/>
      <c r="N82" s="1"/>
    </row>
    <row r="83" customFormat="false" ht="24" hidden="false" customHeight="true" outlineLevel="0" collapsed="false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1"/>
      <c r="M83" s="1"/>
      <c r="N83" s="1"/>
    </row>
    <row r="84" customFormat="false" ht="24" hidden="false" customHeight="true" outlineLevel="0" collapsed="false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1"/>
      <c r="M84" s="1"/>
      <c r="N84" s="1"/>
    </row>
    <row r="85" customFormat="false" ht="24" hidden="false" customHeight="true" outlineLevel="0" collapsed="false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1"/>
      <c r="M85" s="1"/>
      <c r="N85" s="1"/>
    </row>
    <row r="86" customFormat="false" ht="24" hidden="false" customHeight="true" outlineLevel="0" collapsed="false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1"/>
      <c r="M86" s="1"/>
      <c r="N86" s="1"/>
    </row>
    <row r="87" customFormat="false" ht="24" hidden="false" customHeight="true" outlineLevel="0" collapsed="false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1"/>
      <c r="M87" s="1"/>
      <c r="N87" s="1"/>
    </row>
    <row r="88" customFormat="false" ht="24" hidden="false" customHeight="true" outlineLevel="0" collapsed="false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1"/>
      <c r="M88" s="1"/>
      <c r="N88" s="1"/>
    </row>
    <row r="89" customFormat="false" ht="24" hidden="false" customHeight="true" outlineLevel="0" collapsed="false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1"/>
      <c r="M89" s="1"/>
      <c r="N89" s="1"/>
    </row>
    <row r="90" customFormat="false" ht="24" hidden="false" customHeight="true" outlineLevel="0" collapsed="false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1"/>
      <c r="M90" s="1"/>
      <c r="N90" s="1"/>
    </row>
  </sheetData>
  <dataValidations count="1">
    <dataValidation allowBlank="false" errorStyle="stop" operator="between" showDropDown="false" showErrorMessage="false" showInputMessage="false" sqref="E4" type="whole">
      <formula1>1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11" min="5" style="0" width="18"/>
    <col collapsed="false" customWidth="true" hidden="false" outlineLevel="0" max="12" min="12" style="0" width="3"/>
    <col collapsed="false" customWidth="true" hidden="false" outlineLevel="0" max="13" min="13" style="0" width="100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126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6" t="str">
        <f aca="false">Assumptions!E5</f>
        <v>Base</v>
      </c>
      <c r="F4" s="6"/>
      <c r="G4" s="2"/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30" hidden="false" customHeight="true" outlineLevel="0" collapsed="false">
      <c r="A7" s="1"/>
      <c r="B7" s="1"/>
      <c r="C7" s="8" t="s">
        <v>127</v>
      </c>
      <c r="D7" s="8" t="s">
        <v>47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/>
      <c r="K7" s="9" t="s">
        <v>24</v>
      </c>
      <c r="L7" s="1"/>
      <c r="M7" s="1"/>
      <c r="N7" s="1"/>
    </row>
    <row r="8" customFormat="false" ht="24" hidden="false" customHeight="true" outlineLevel="0" collapsed="false">
      <c r="A8" s="1"/>
      <c r="B8" s="1"/>
      <c r="C8" s="1" t="s">
        <v>128</v>
      </c>
      <c r="D8" s="1" t="s">
        <v>63</v>
      </c>
      <c r="E8" s="18" t="n">
        <f aca="false">ROUND(Assumptions!$E$14*(1+Assumptions!E26),0)</f>
        <v>10000</v>
      </c>
      <c r="F8" s="18" t="n">
        <f aca="false">ROUND(Assumptions!$E$14*(1+Assumptions!F26),0)</f>
        <v>10625</v>
      </c>
      <c r="G8" s="18" t="n">
        <f aca="false">ROUND(Assumptions!$E$14*(1+Assumptions!G26),0)</f>
        <v>11250</v>
      </c>
      <c r="H8" s="18" t="n">
        <f aca="false">ROUND(Assumptions!$E$14*(1+Assumptions!H26),0)</f>
        <v>11875</v>
      </c>
      <c r="I8" s="18" t="n">
        <f aca="false">ROUND(Assumptions!$E$14*(1+Assumptions!I26),0)</f>
        <v>12500</v>
      </c>
      <c r="J8" s="2"/>
      <c r="K8" s="14" t="n">
        <f aca="false">SUM(E8:I8)</f>
        <v>56250</v>
      </c>
      <c r="L8" s="1"/>
      <c r="M8" s="1" t="s">
        <v>129</v>
      </c>
      <c r="N8" s="1"/>
    </row>
    <row r="9" customFormat="false" ht="24" hidden="false" customHeight="true" outlineLevel="0" collapsed="false">
      <c r="A9" s="1"/>
      <c r="B9" s="1"/>
      <c r="C9" s="1" t="s">
        <v>130</v>
      </c>
      <c r="D9" s="1" t="s">
        <v>63</v>
      </c>
      <c r="E9" s="18" t="n">
        <f aca="false">Assumptions!$E$19</f>
        <v>1260</v>
      </c>
      <c r="F9" s="18" t="n">
        <f aca="false">Assumptions!$E$19</f>
        <v>1260</v>
      </c>
      <c r="G9" s="18" t="n">
        <f aca="false">Assumptions!$E$19</f>
        <v>1260</v>
      </c>
      <c r="H9" s="18" t="n">
        <f aca="false">Assumptions!$E$19</f>
        <v>1260</v>
      </c>
      <c r="I9" s="18" t="n">
        <f aca="false">Assumptions!$E$19</f>
        <v>1260</v>
      </c>
      <c r="J9" s="2"/>
      <c r="K9" s="14" t="n">
        <f aca="false">SUM(E9:I9)</f>
        <v>6300</v>
      </c>
      <c r="L9" s="1"/>
      <c r="M9" s="1"/>
      <c r="N9" s="1"/>
    </row>
    <row r="10" customFormat="false" ht="24" hidden="false" customHeight="true" outlineLevel="0" collapsed="false">
      <c r="A10" s="1"/>
      <c r="B10" s="1"/>
      <c r="C10" s="1" t="s">
        <v>131</v>
      </c>
      <c r="D10" s="1" t="s">
        <v>63</v>
      </c>
      <c r="E10" s="14" t="n">
        <f aca="false">E8-E9</f>
        <v>8740</v>
      </c>
      <c r="F10" s="14" t="n">
        <f aca="false">F8-F9</f>
        <v>9365</v>
      </c>
      <c r="G10" s="14" t="n">
        <f aca="false">G8-G9</f>
        <v>9990</v>
      </c>
      <c r="H10" s="14" t="n">
        <f aca="false">H8-H9</f>
        <v>10615</v>
      </c>
      <c r="I10" s="14" t="n">
        <f aca="false">I8-I9</f>
        <v>11240</v>
      </c>
      <c r="J10" s="2"/>
      <c r="K10" s="14" t="n">
        <f aca="false">SUM(E10:I10)</f>
        <v>49950</v>
      </c>
      <c r="L10" s="1"/>
      <c r="M10" s="1"/>
      <c r="N10" s="1"/>
    </row>
    <row r="11" customFormat="false" ht="24" hidden="false" customHeight="true" outlineLevel="0" collapsed="false">
      <c r="A11" s="1"/>
      <c r="B11" s="1"/>
      <c r="C11" s="1" t="s">
        <v>132</v>
      </c>
      <c r="D11" s="1" t="s">
        <v>63</v>
      </c>
      <c r="E11" s="18" t="n">
        <f aca="false">ROUND(E8*Assumptions!E32,0)</f>
        <v>10000</v>
      </c>
      <c r="F11" s="18" t="n">
        <f aca="false">ROUND(F8*Assumptions!F32,0)</f>
        <v>10625</v>
      </c>
      <c r="G11" s="18" t="n">
        <f aca="false">ROUND(G8*Assumptions!G32,0)</f>
        <v>11250</v>
      </c>
      <c r="H11" s="18" t="n">
        <f aca="false">ROUND(H8*Assumptions!H32,0)</f>
        <v>11875</v>
      </c>
      <c r="I11" s="18" t="n">
        <f aca="false">ROUND(I8*Assumptions!I32,0)</f>
        <v>12500</v>
      </c>
      <c r="J11" s="2"/>
      <c r="K11" s="14" t="n">
        <f aca="false">SUM(E11:I11)</f>
        <v>56250</v>
      </c>
      <c r="L11" s="1"/>
      <c r="M11" s="1" t="s">
        <v>133</v>
      </c>
      <c r="N11" s="1"/>
    </row>
    <row r="12" customFormat="false" ht="24" hidden="false" customHeight="true" outlineLevel="0" collapsed="false">
      <c r="A12" s="1"/>
      <c r="B12" s="1"/>
      <c r="C12" s="1" t="s">
        <v>134</v>
      </c>
      <c r="D12" s="1" t="s">
        <v>63</v>
      </c>
      <c r="E12" s="14" t="n">
        <f aca="false">E8-E11</f>
        <v>0</v>
      </c>
      <c r="F12" s="14" t="n">
        <f aca="false">F8-F11</f>
        <v>0</v>
      </c>
      <c r="G12" s="14" t="n">
        <f aca="false">G8-G11</f>
        <v>0</v>
      </c>
      <c r="H12" s="14" t="n">
        <f aca="false">H8-H11</f>
        <v>0</v>
      </c>
      <c r="I12" s="14" t="n">
        <f aca="false">I8-I11</f>
        <v>0</v>
      </c>
      <c r="J12" s="2"/>
      <c r="K12" s="14" t="n">
        <f aca="false">SUM(E12:I12)</f>
        <v>0</v>
      </c>
      <c r="L12" s="1"/>
      <c r="M12" s="1"/>
      <c r="N12" s="1"/>
    </row>
    <row r="13" customFormat="false" ht="24" hidden="false" customHeight="true" outlineLevel="0" collapsed="false">
      <c r="A13" s="1"/>
      <c r="B13" s="1"/>
      <c r="C13" s="1" t="s">
        <v>135</v>
      </c>
      <c r="D13" s="1" t="s">
        <v>96</v>
      </c>
      <c r="E13" s="18" t="n">
        <f aca="false">Assumptions!E38</f>
        <v>10</v>
      </c>
      <c r="F13" s="18" t="n">
        <f aca="false">Assumptions!F38</f>
        <v>6</v>
      </c>
      <c r="G13" s="18" t="n">
        <f aca="false">Assumptions!G38</f>
        <v>8</v>
      </c>
      <c r="H13" s="18" t="n">
        <f aca="false">Assumptions!H38</f>
        <v>8</v>
      </c>
      <c r="I13" s="18" t="n">
        <f aca="false">Assumptions!I38</f>
        <v>8</v>
      </c>
      <c r="J13" s="2"/>
      <c r="K13" s="14" t="n">
        <f aca="false">SUM(E13:I13)</f>
        <v>40</v>
      </c>
      <c r="L13" s="1"/>
      <c r="M13" s="1"/>
      <c r="N13" s="1"/>
    </row>
    <row r="14" customFormat="false" ht="25" hidden="false" customHeight="true" outlineLevel="0" collapsed="false">
      <c r="A14" s="1"/>
      <c r="B14" s="1"/>
      <c r="C14" s="23" t="s">
        <v>136</v>
      </c>
      <c r="D14" s="23"/>
      <c r="E14" s="24"/>
      <c r="F14" s="24"/>
      <c r="G14" s="24"/>
      <c r="H14" s="24"/>
      <c r="I14" s="24"/>
      <c r="J14" s="24"/>
      <c r="K14" s="24"/>
      <c r="L14" s="1"/>
      <c r="M14" s="1"/>
      <c r="N14" s="1"/>
    </row>
    <row r="15" customFormat="false" ht="24" hidden="false" customHeight="true" outlineLevel="0" collapsed="false">
      <c r="A15" s="1"/>
      <c r="B15" s="1"/>
      <c r="C15" s="1" t="s">
        <v>137</v>
      </c>
      <c r="D15" s="1" t="s">
        <v>138</v>
      </c>
      <c r="E15" s="18" t="n">
        <f aca="false">Assumptions!$E$9*(1+Assumptions!$E$17)^0</f>
        <v>2360</v>
      </c>
      <c r="F15" s="18" t="n">
        <f aca="false">Assumptions!$E$9*(1+Assumptions!$E$17)^1</f>
        <v>2360</v>
      </c>
      <c r="G15" s="18" t="n">
        <f aca="false">Assumptions!$E$9*(1+Assumptions!$E$17)^2</f>
        <v>2360</v>
      </c>
      <c r="H15" s="18" t="n">
        <f aca="false">Assumptions!$E$9*(1+Assumptions!$E$17)^3</f>
        <v>2360</v>
      </c>
      <c r="I15" s="18" t="n">
        <f aca="false">Assumptions!$E$9*(1+Assumptions!$E$17)^4</f>
        <v>2360</v>
      </c>
      <c r="J15" s="2"/>
      <c r="K15" s="2"/>
      <c r="L15" s="1"/>
      <c r="M15" s="1"/>
      <c r="N15" s="1"/>
    </row>
    <row r="16" customFormat="false" ht="24" hidden="false" customHeight="true" outlineLevel="0" collapsed="false">
      <c r="A16" s="1"/>
      <c r="B16" s="1"/>
      <c r="C16" s="1" t="s">
        <v>139</v>
      </c>
      <c r="D16" s="1" t="s">
        <v>138</v>
      </c>
      <c r="E16" s="18" t="n">
        <f aca="false">Assumptions!$E$10*(1+Assumptions!$E$16)^0</f>
        <v>1180</v>
      </c>
      <c r="F16" s="18" t="n">
        <f aca="false">Assumptions!$E$10*(1+Assumptions!$E$16)^1</f>
        <v>1180</v>
      </c>
      <c r="G16" s="18" t="n">
        <f aca="false">Assumptions!$E$10*(1+Assumptions!$E$16)^2</f>
        <v>1180</v>
      </c>
      <c r="H16" s="18" t="n">
        <f aca="false">Assumptions!$E$10*(1+Assumptions!$E$16)^3</f>
        <v>1180</v>
      </c>
      <c r="I16" s="18" t="n">
        <f aca="false">Assumptions!$E$10*(1+Assumptions!$E$16)^4</f>
        <v>1180</v>
      </c>
      <c r="J16" s="2"/>
      <c r="K16" s="2"/>
      <c r="L16" s="1"/>
      <c r="M16" s="1"/>
      <c r="N16" s="1"/>
    </row>
    <row r="17" customFormat="false" ht="24" hidden="false" customHeight="true" outlineLevel="0" collapsed="false">
      <c r="A17" s="1"/>
      <c r="B17" s="1"/>
      <c r="C17" s="1" t="s">
        <v>140</v>
      </c>
      <c r="D17" s="1" t="s">
        <v>138</v>
      </c>
      <c r="E17" s="18" t="n">
        <f aca="false">Assumptions!$E$22</f>
        <v>1180</v>
      </c>
      <c r="F17" s="18" t="n">
        <f aca="false">Assumptions!$E$22</f>
        <v>1180</v>
      </c>
      <c r="G17" s="18" t="n">
        <f aca="false">Assumptions!$E$22</f>
        <v>1180</v>
      </c>
      <c r="H17" s="18" t="n">
        <f aca="false">Assumptions!$E$22</f>
        <v>1180</v>
      </c>
      <c r="I17" s="18" t="n">
        <f aca="false">Assumptions!$E$22</f>
        <v>1180</v>
      </c>
      <c r="J17" s="2"/>
      <c r="K17" s="2"/>
      <c r="L17" s="1"/>
      <c r="M17" s="1"/>
      <c r="N17" s="1"/>
    </row>
    <row r="18" customFormat="false" ht="25" hidden="false" customHeight="true" outlineLevel="0" collapsed="false">
      <c r="A18" s="1"/>
      <c r="B18" s="1"/>
      <c r="C18" s="23" t="s">
        <v>141</v>
      </c>
      <c r="D18" s="23"/>
      <c r="E18" s="24"/>
      <c r="F18" s="24"/>
      <c r="G18" s="24"/>
      <c r="H18" s="24"/>
      <c r="I18" s="24"/>
      <c r="J18" s="24"/>
      <c r="K18" s="24"/>
      <c r="L18" s="1"/>
      <c r="M18" s="1"/>
      <c r="N18" s="1"/>
    </row>
    <row r="19" customFormat="false" ht="24" hidden="false" customHeight="true" outlineLevel="0" collapsed="false">
      <c r="A19" s="1"/>
      <c r="B19" s="1"/>
      <c r="C19" s="1" t="s">
        <v>142</v>
      </c>
      <c r="D19" s="1" t="s">
        <v>102</v>
      </c>
      <c r="E19" s="14" t="n">
        <f aca="false">E8*E15</f>
        <v>23600000</v>
      </c>
      <c r="F19" s="14" t="n">
        <f aca="false">F8*F15</f>
        <v>25075000</v>
      </c>
      <c r="G19" s="14" t="n">
        <f aca="false">G8*G15</f>
        <v>26550000</v>
      </c>
      <c r="H19" s="14" t="n">
        <f aca="false">H8*H15</f>
        <v>28025000</v>
      </c>
      <c r="I19" s="14" t="n">
        <f aca="false">I8*I15</f>
        <v>29500000</v>
      </c>
      <c r="J19" s="2"/>
      <c r="K19" s="14" t="n">
        <f aca="false">SUM(E19:I19)</f>
        <v>132750000</v>
      </c>
      <c r="L19" s="1"/>
      <c r="M19" s="1"/>
      <c r="N19" s="1"/>
    </row>
    <row r="20" customFormat="false" ht="24" hidden="false" customHeight="true" outlineLevel="0" collapsed="false">
      <c r="A20" s="1"/>
      <c r="B20" s="1"/>
      <c r="C20" s="1" t="s">
        <v>143</v>
      </c>
      <c r="D20" s="1" t="s">
        <v>102</v>
      </c>
      <c r="E20" s="18" t="n">
        <f aca="false">E10*E15*Assumptions!$E$11</f>
        <v>2062640</v>
      </c>
      <c r="F20" s="18" t="n">
        <f aca="false">F10*F15*Assumptions!$E$11</f>
        <v>2210140</v>
      </c>
      <c r="G20" s="18" t="n">
        <f aca="false">G10*G15*Assumptions!$E$11</f>
        <v>2357640</v>
      </c>
      <c r="H20" s="18" t="n">
        <f aca="false">H10*H15*Assumptions!$E$11</f>
        <v>2505140</v>
      </c>
      <c r="I20" s="18" t="n">
        <f aca="false">I10*I15*Assumptions!$E$11</f>
        <v>2652640</v>
      </c>
      <c r="J20" s="2"/>
      <c r="K20" s="14" t="n">
        <f aca="false">SUM(E20:I20)</f>
        <v>11788200</v>
      </c>
      <c r="L20" s="1"/>
      <c r="M20" s="1"/>
      <c r="N20" s="1"/>
    </row>
    <row r="21" customFormat="false" ht="24" hidden="false" customHeight="true" outlineLevel="0" collapsed="false">
      <c r="A21" s="1"/>
      <c r="B21" s="1"/>
      <c r="C21" s="1" t="s">
        <v>144</v>
      </c>
      <c r="D21" s="1" t="s">
        <v>102</v>
      </c>
      <c r="E21" s="18" t="n">
        <f aca="false">E9*E15*Assumptions!$E$12</f>
        <v>594720</v>
      </c>
      <c r="F21" s="18" t="n">
        <f aca="false">F9*F15*Assumptions!$E$12</f>
        <v>594720</v>
      </c>
      <c r="G21" s="18" t="n">
        <f aca="false">G9*G15*Assumptions!$E$12</f>
        <v>594720</v>
      </c>
      <c r="H21" s="18" t="n">
        <f aca="false">H9*H15*Assumptions!$E$12</f>
        <v>594720</v>
      </c>
      <c r="I21" s="18" t="n">
        <f aca="false">I9*I15*Assumptions!$E$12</f>
        <v>594720</v>
      </c>
      <c r="J21" s="2"/>
      <c r="K21" s="14" t="n">
        <f aca="false">SUM(E21:I21)</f>
        <v>2973600</v>
      </c>
      <c r="L21" s="1"/>
      <c r="M21" s="1"/>
      <c r="N21" s="1"/>
    </row>
    <row r="22" customFormat="false" ht="24" hidden="false" customHeight="true" outlineLevel="0" collapsed="false">
      <c r="A22" s="1"/>
      <c r="B22" s="1"/>
      <c r="C22" s="1" t="s">
        <v>84</v>
      </c>
      <c r="D22" s="1" t="s">
        <v>102</v>
      </c>
      <c r="E22" s="18" t="n">
        <f aca="false">E13*Assumptions!$E$23</f>
        <v>0</v>
      </c>
      <c r="F22" s="18" t="n">
        <f aca="false">F13*Assumptions!$E$23</f>
        <v>0</v>
      </c>
      <c r="G22" s="18" t="n">
        <f aca="false">G13*Assumptions!$E$23</f>
        <v>0</v>
      </c>
      <c r="H22" s="18" t="n">
        <f aca="false">H13*Assumptions!$E$23</f>
        <v>0</v>
      </c>
      <c r="I22" s="18" t="n">
        <f aca="false">I13*Assumptions!$E$23</f>
        <v>0</v>
      </c>
      <c r="J22" s="2"/>
      <c r="K22" s="14" t="n">
        <f aca="false">SUM(E22:I22)</f>
        <v>0</v>
      </c>
      <c r="L22" s="1"/>
      <c r="M22" s="1"/>
      <c r="N22" s="1"/>
    </row>
    <row r="23" customFormat="false" ht="24" hidden="false" customHeight="true" outlineLevel="0" collapsed="false">
      <c r="A23" s="1"/>
      <c r="B23" s="1"/>
      <c r="C23" s="25" t="s">
        <v>145</v>
      </c>
      <c r="D23" s="25" t="s">
        <v>102</v>
      </c>
      <c r="E23" s="26" t="n">
        <f aca="false">SUM(E19:E22)</f>
        <v>26257360</v>
      </c>
      <c r="F23" s="26" t="n">
        <f aca="false">SUM(F19:F22)</f>
        <v>27879860</v>
      </c>
      <c r="G23" s="26" t="n">
        <f aca="false">SUM(G19:G22)</f>
        <v>29502360</v>
      </c>
      <c r="H23" s="26" t="n">
        <f aca="false">SUM(H19:H22)</f>
        <v>31124860</v>
      </c>
      <c r="I23" s="26" t="n">
        <f aca="false">SUM(I19:I22)</f>
        <v>32747360</v>
      </c>
      <c r="J23" s="27"/>
      <c r="K23" s="26" t="n">
        <f aca="false">SUM(E23:I23)</f>
        <v>147511800</v>
      </c>
      <c r="L23" s="1"/>
      <c r="M23" s="1" t="s">
        <v>146</v>
      </c>
      <c r="N23" s="1"/>
    </row>
    <row r="24" customFormat="false" ht="25" hidden="false" customHeight="true" outlineLevel="0" collapsed="false">
      <c r="A24" s="1"/>
      <c r="B24" s="1"/>
      <c r="C24" s="23" t="s">
        <v>147</v>
      </c>
      <c r="D24" s="23"/>
      <c r="E24" s="24"/>
      <c r="F24" s="24"/>
      <c r="G24" s="24"/>
      <c r="H24" s="24"/>
      <c r="I24" s="24"/>
      <c r="J24" s="24"/>
      <c r="K24" s="24"/>
      <c r="L24" s="1"/>
      <c r="M24" s="1"/>
      <c r="N24" s="1"/>
    </row>
    <row r="25" customFormat="false" ht="24" hidden="false" customHeight="true" outlineLevel="0" collapsed="false">
      <c r="A25" s="1"/>
      <c r="B25" s="1"/>
      <c r="C25" s="1" t="s">
        <v>53</v>
      </c>
      <c r="D25" s="1" t="s">
        <v>102</v>
      </c>
      <c r="E25" s="18" t="n">
        <f aca="false">Assumptions!$E$14*E16+(E8-Assumptions!$E$14)*E17</f>
        <v>11800000</v>
      </c>
      <c r="F25" s="18" t="n">
        <f aca="false">Assumptions!$E$14*F16+(F8-Assumptions!$E$14)*F17</f>
        <v>12537500</v>
      </c>
      <c r="G25" s="18" t="n">
        <f aca="false">Assumptions!$E$14*G16+(G8-Assumptions!$E$14)*G17</f>
        <v>13275000</v>
      </c>
      <c r="H25" s="18" t="n">
        <f aca="false">Assumptions!$E$14*H16+(H8-Assumptions!$E$14)*H17</f>
        <v>14012500</v>
      </c>
      <c r="I25" s="18" t="n">
        <f aca="false">Assumptions!$E$14*I16+(I8-Assumptions!$E$14)*I17</f>
        <v>14750000</v>
      </c>
      <c r="J25" s="2"/>
      <c r="K25" s="14" t="n">
        <f aca="false">SUM(E25:I25)</f>
        <v>66375000</v>
      </c>
      <c r="L25" s="1"/>
      <c r="M25" s="1"/>
      <c r="N25" s="1"/>
    </row>
    <row r="26" customFormat="false" ht="24" hidden="false" customHeight="true" outlineLevel="0" collapsed="false">
      <c r="A26" s="1"/>
      <c r="B26" s="1"/>
      <c r="C26" s="1" t="s">
        <v>148</v>
      </c>
      <c r="D26" s="1" t="s">
        <v>102</v>
      </c>
      <c r="E26" s="18" t="n">
        <f aca="false">((Assumptions!$E$14-E9)*E16+(E8-Assumptions!$E$14)*E17)*Assumptions!$E$11</f>
        <v>1031320</v>
      </c>
      <c r="F26" s="18" t="n">
        <f aca="false">((Assumptions!$E$14-F9)*F16+(F8-Assumptions!$E$14)*F17)*Assumptions!$E$11</f>
        <v>1105070</v>
      </c>
      <c r="G26" s="18" t="n">
        <f aca="false">((Assumptions!$E$14-G9)*G16+(G8-Assumptions!$E$14)*G17)*Assumptions!$E$11</f>
        <v>1178820</v>
      </c>
      <c r="H26" s="18" t="n">
        <f aca="false">((Assumptions!$E$14-H9)*H16+(H8-Assumptions!$E$14)*H17)*Assumptions!$E$11</f>
        <v>1252570</v>
      </c>
      <c r="I26" s="18" t="n">
        <f aca="false">((Assumptions!$E$14-I9)*I16+(I8-Assumptions!$E$14)*I17)*Assumptions!$E$11</f>
        <v>1326320</v>
      </c>
      <c r="J26" s="2"/>
      <c r="K26" s="14" t="n">
        <f aca="false">SUM(E26:I26)</f>
        <v>5894100</v>
      </c>
      <c r="L26" s="1"/>
      <c r="M26" s="1"/>
      <c r="N26" s="1"/>
    </row>
    <row r="27" customFormat="false" ht="24" hidden="false" customHeight="true" outlineLevel="0" collapsed="false">
      <c r="A27" s="1"/>
      <c r="B27" s="1"/>
      <c r="C27" s="1" t="s">
        <v>149</v>
      </c>
      <c r="D27" s="1" t="s">
        <v>102</v>
      </c>
      <c r="E27" s="18" t="n">
        <f aca="false">E9*E16*Assumptions!$E$12</f>
        <v>297360</v>
      </c>
      <c r="F27" s="18" t="n">
        <f aca="false">F9*F16*Assumptions!$E$12</f>
        <v>297360</v>
      </c>
      <c r="G27" s="18" t="n">
        <f aca="false">G9*G16*Assumptions!$E$12</f>
        <v>297360</v>
      </c>
      <c r="H27" s="18" t="n">
        <f aca="false">H9*H16*Assumptions!$E$12</f>
        <v>297360</v>
      </c>
      <c r="I27" s="18" t="n">
        <f aca="false">I9*I16*Assumptions!$E$12</f>
        <v>297360</v>
      </c>
      <c r="J27" s="2"/>
      <c r="K27" s="14" t="n">
        <f aca="false">SUM(E27:I27)</f>
        <v>1486800</v>
      </c>
      <c r="L27" s="1"/>
      <c r="M27" s="1"/>
      <c r="N27" s="1"/>
    </row>
    <row r="28" customFormat="false" ht="24" hidden="false" customHeight="true" outlineLevel="0" collapsed="false">
      <c r="A28" s="1"/>
      <c r="B28" s="1"/>
      <c r="C28" s="25" t="s">
        <v>150</v>
      </c>
      <c r="D28" s="25" t="s">
        <v>102</v>
      </c>
      <c r="E28" s="26" t="n">
        <f aca="false">SUM(E25:E27)</f>
        <v>13128680</v>
      </c>
      <c r="F28" s="26" t="n">
        <f aca="false">SUM(F25:F27)</f>
        <v>13939930</v>
      </c>
      <c r="G28" s="26" t="n">
        <f aca="false">SUM(G25:G27)</f>
        <v>14751180</v>
      </c>
      <c r="H28" s="26" t="n">
        <f aca="false">SUM(H25:H27)</f>
        <v>15562430</v>
      </c>
      <c r="I28" s="26" t="n">
        <f aca="false">SUM(I25:I27)</f>
        <v>16373680</v>
      </c>
      <c r="J28" s="27"/>
      <c r="K28" s="26" t="n">
        <f aca="false">SUM(E28:I28)</f>
        <v>73755900</v>
      </c>
      <c r="L28" s="1"/>
      <c r="M28" s="1"/>
      <c r="N28" s="1"/>
    </row>
    <row r="29" customFormat="false" ht="24" hidden="false" customHeight="true" outlineLevel="0" collapsed="false">
      <c r="A29" s="1"/>
      <c r="B29" s="1"/>
      <c r="C29" s="1" t="s">
        <v>151</v>
      </c>
      <c r="D29" s="1" t="s">
        <v>102</v>
      </c>
      <c r="E29" s="18" t="n">
        <f aca="false">E13*Assumptions!$E$13</f>
        <v>180000</v>
      </c>
      <c r="F29" s="18" t="n">
        <f aca="false">F13*Assumptions!$E$13</f>
        <v>108000</v>
      </c>
      <c r="G29" s="18" t="n">
        <f aca="false">G13*Assumptions!$E$13</f>
        <v>144000</v>
      </c>
      <c r="H29" s="18" t="n">
        <f aca="false">H13*Assumptions!$E$13</f>
        <v>144000</v>
      </c>
      <c r="I29" s="18" t="n">
        <f aca="false">I13*Assumptions!$E$13</f>
        <v>144000</v>
      </c>
      <c r="J29" s="2"/>
      <c r="K29" s="14" t="n">
        <f aca="false">SUM(E29:I29)</f>
        <v>720000</v>
      </c>
      <c r="L29" s="1"/>
      <c r="M29" s="1"/>
      <c r="N29" s="1"/>
    </row>
    <row r="30" customFormat="false" ht="24" hidden="false" customHeight="true" outlineLevel="0" collapsed="false">
      <c r="A30" s="1"/>
      <c r="B30" s="1"/>
      <c r="C30" s="1" t="s">
        <v>152</v>
      </c>
      <c r="D30" s="1" t="s">
        <v>102</v>
      </c>
      <c r="E30" s="18" t="n">
        <f aca="false">Customers!$K$18*Assumptions!E44</f>
        <v>0</v>
      </c>
      <c r="F30" s="18" t="n">
        <f aca="false">Customers!$K$18*Assumptions!F44</f>
        <v>0</v>
      </c>
      <c r="G30" s="18" t="n">
        <f aca="false">Customers!$K$18*Assumptions!G44</f>
        <v>0</v>
      </c>
      <c r="H30" s="18" t="n">
        <f aca="false">Customers!$K$18*Assumptions!H44</f>
        <v>0</v>
      </c>
      <c r="I30" s="18" t="n">
        <f aca="false">Customers!$K$18*Assumptions!I44</f>
        <v>0</v>
      </c>
      <c r="J30" s="2"/>
      <c r="K30" s="14" t="n">
        <f aca="false">SUM(E30:I30)</f>
        <v>0</v>
      </c>
      <c r="L30" s="1"/>
      <c r="M30" s="1"/>
      <c r="N30" s="1"/>
    </row>
    <row r="31" customFormat="false" ht="24" hidden="false" customHeight="true" outlineLevel="0" collapsed="false">
      <c r="A31" s="1"/>
      <c r="B31" s="1"/>
      <c r="C31" s="1" t="s">
        <v>153</v>
      </c>
      <c r="D31" s="1" t="s">
        <v>102</v>
      </c>
      <c r="E31" s="18" t="n">
        <f aca="false">Assumptions!E50</f>
        <v>0</v>
      </c>
      <c r="F31" s="18" t="n">
        <f aca="false">Assumptions!F50</f>
        <v>0</v>
      </c>
      <c r="G31" s="18" t="n">
        <f aca="false">Assumptions!G50</f>
        <v>0</v>
      </c>
      <c r="H31" s="18" t="n">
        <f aca="false">Assumptions!H50</f>
        <v>0</v>
      </c>
      <c r="I31" s="18" t="n">
        <f aca="false">Assumptions!I50</f>
        <v>0</v>
      </c>
      <c r="J31" s="2"/>
      <c r="K31" s="14" t="n">
        <f aca="false">SUM(E31:I31)</f>
        <v>0</v>
      </c>
      <c r="L31" s="1"/>
      <c r="M31" s="1"/>
      <c r="N31" s="1"/>
    </row>
    <row r="32" customFormat="false" ht="24" hidden="false" customHeight="true" outlineLevel="0" collapsed="false">
      <c r="A32" s="1"/>
      <c r="B32" s="1"/>
      <c r="C32" s="25" t="s">
        <v>154</v>
      </c>
      <c r="D32" s="25" t="s">
        <v>102</v>
      </c>
      <c r="E32" s="26" t="n">
        <f aca="false">SUM(E28:E31)</f>
        <v>13308680</v>
      </c>
      <c r="F32" s="26" t="n">
        <f aca="false">SUM(F28:F31)</f>
        <v>14047930</v>
      </c>
      <c r="G32" s="26" t="n">
        <f aca="false">SUM(G28:G31)</f>
        <v>14895180</v>
      </c>
      <c r="H32" s="26" t="n">
        <f aca="false">SUM(H28:H31)</f>
        <v>15706430</v>
      </c>
      <c r="I32" s="26" t="n">
        <f aca="false">SUM(I28:I31)</f>
        <v>16517680</v>
      </c>
      <c r="J32" s="27"/>
      <c r="K32" s="26" t="n">
        <f aca="false">SUM(E32:I32)</f>
        <v>74475900</v>
      </c>
      <c r="L32" s="1"/>
      <c r="M32" s="1" t="s">
        <v>155</v>
      </c>
      <c r="N32" s="1"/>
    </row>
    <row r="33" customFormat="false" ht="25" hidden="false" customHeight="true" outlineLevel="0" collapsed="false">
      <c r="A33" s="1"/>
      <c r="B33" s="1"/>
      <c r="C33" s="23" t="s">
        <v>156</v>
      </c>
      <c r="D33" s="23"/>
      <c r="E33" s="24"/>
      <c r="F33" s="24"/>
      <c r="G33" s="24"/>
      <c r="H33" s="24"/>
      <c r="I33" s="24"/>
      <c r="J33" s="24"/>
      <c r="K33" s="24"/>
      <c r="L33" s="1"/>
      <c r="M33" s="1"/>
      <c r="N33" s="1"/>
    </row>
    <row r="34" customFormat="false" ht="24" hidden="false" customHeight="true" outlineLevel="0" collapsed="false">
      <c r="A34" s="1"/>
      <c r="B34" s="1"/>
      <c r="C34" s="25" t="s">
        <v>157</v>
      </c>
      <c r="D34" s="25" t="s">
        <v>102</v>
      </c>
      <c r="E34" s="26" t="n">
        <f aca="false">E23-E32</f>
        <v>12948680</v>
      </c>
      <c r="F34" s="26" t="n">
        <f aca="false">F23-F32</f>
        <v>13831930</v>
      </c>
      <c r="G34" s="26" t="n">
        <f aca="false">G23-G32</f>
        <v>14607180</v>
      </c>
      <c r="H34" s="26" t="n">
        <f aca="false">H23-H32</f>
        <v>15418430</v>
      </c>
      <c r="I34" s="26" t="n">
        <f aca="false">I23-I32</f>
        <v>16229680</v>
      </c>
      <c r="J34" s="27"/>
      <c r="K34" s="26" t="n">
        <f aca="false">SUM(E34:I34)</f>
        <v>73035900</v>
      </c>
      <c r="L34" s="1"/>
      <c r="M34" s="1"/>
      <c r="N34" s="1"/>
    </row>
    <row r="35" customFormat="false" ht="24" hidden="false" customHeight="true" outlineLevel="0" collapsed="false">
      <c r="A35" s="1"/>
      <c r="B35" s="1"/>
      <c r="C35" s="25" t="s">
        <v>158</v>
      </c>
      <c r="D35" s="25" t="s">
        <v>102</v>
      </c>
      <c r="E35" s="26" t="n">
        <f aca="false">E34</f>
        <v>12948680</v>
      </c>
      <c r="F35" s="26" t="n">
        <f aca="false">E35+F34</f>
        <v>26780610</v>
      </c>
      <c r="G35" s="26" t="n">
        <f aca="false">F35+G34</f>
        <v>41387790</v>
      </c>
      <c r="H35" s="26" t="n">
        <f aca="false">G35+H34</f>
        <v>56806220</v>
      </c>
      <c r="I35" s="26" t="n">
        <f aca="false">H35+I34</f>
        <v>73035900</v>
      </c>
      <c r="J35" s="27"/>
      <c r="K35" s="26" t="n">
        <f aca="false">I35</f>
        <v>73035900</v>
      </c>
      <c r="L35" s="1"/>
      <c r="M35" s="1"/>
      <c r="N35" s="1"/>
    </row>
    <row r="36" customFormat="false" ht="24" hidden="false" customHeight="true" outlineLevel="0" collapsed="false">
      <c r="A36" s="1"/>
      <c r="B36" s="1"/>
      <c r="C36" s="1" t="s">
        <v>159</v>
      </c>
      <c r="D36" s="1" t="s">
        <v>69</v>
      </c>
      <c r="E36" s="28" t="n">
        <f aca="false">E34/E23</f>
        <v>0.493144779216189</v>
      </c>
      <c r="F36" s="28" t="n">
        <f aca="false">F34/F23</f>
        <v>0.496126235928014</v>
      </c>
      <c r="G36" s="28" t="n">
        <f aca="false">G34/G23</f>
        <v>0.495119034545033</v>
      </c>
      <c r="H36" s="28" t="n">
        <f aca="false">H34/H23</f>
        <v>0.495373473165823</v>
      </c>
      <c r="I36" s="28" t="n">
        <f aca="false">I34/I23</f>
        <v>0.495602698965657</v>
      </c>
      <c r="J36" s="10"/>
      <c r="K36" s="28" t="n">
        <f aca="false">K34/K23</f>
        <v>0.495119034545033</v>
      </c>
      <c r="L36" s="1"/>
      <c r="M36" s="1"/>
      <c r="N36" s="1"/>
    </row>
    <row r="37" customFormat="false" ht="24" hidden="false" customHeight="true" outlineLevel="0" collapsed="false">
      <c r="A37" s="1"/>
      <c r="B37" s="1"/>
      <c r="C37" s="1" t="s">
        <v>160</v>
      </c>
      <c r="D37" s="1" t="s">
        <v>69</v>
      </c>
      <c r="E37" s="28" t="n">
        <f aca="false">E34/E32</f>
        <v>0.97294998452138</v>
      </c>
      <c r="F37" s="28" t="n">
        <f aca="false">F34/F32</f>
        <v>0.98462406916891</v>
      </c>
      <c r="G37" s="28" t="n">
        <f aca="false">G34/G32</f>
        <v>0.98066488622494</v>
      </c>
      <c r="H37" s="28" t="n">
        <f aca="false">H34/H32</f>
        <v>0.981663560720036</v>
      </c>
      <c r="I37" s="28" t="n">
        <f aca="false">I34/I32</f>
        <v>0.982564137336478</v>
      </c>
      <c r="J37" s="10"/>
      <c r="K37" s="28" t="n">
        <f aca="false">K34/K32</f>
        <v>0.98066488622494</v>
      </c>
      <c r="L37" s="1"/>
      <c r="M37" s="1" t="s">
        <v>161</v>
      </c>
      <c r="N37" s="1"/>
    </row>
    <row r="38" customFormat="false" ht="25" hidden="false" customHeight="true" outlineLevel="0" collapsed="false">
      <c r="A38" s="1"/>
      <c r="B38" s="1"/>
      <c r="C38" s="23" t="s">
        <v>162</v>
      </c>
      <c r="D38" s="23"/>
      <c r="E38" s="24"/>
      <c r="F38" s="24"/>
      <c r="G38" s="24"/>
      <c r="H38" s="24"/>
      <c r="I38" s="24"/>
      <c r="J38" s="24"/>
      <c r="K38" s="24"/>
      <c r="L38" s="1"/>
      <c r="M38" s="1"/>
      <c r="N38" s="1"/>
    </row>
    <row r="39" customFormat="false" ht="24" hidden="false" customHeight="true" outlineLevel="0" collapsed="false">
      <c r="A39" s="1"/>
      <c r="B39" s="1"/>
      <c r="C39" s="1" t="s">
        <v>163</v>
      </c>
      <c r="D39" s="1" t="s">
        <v>102</v>
      </c>
      <c r="E39" s="18" t="n">
        <f aca="false">E9*E15*(1+Assumptions!$E$12)+(E11-E9)*E15*(1+Assumptions!$E$11)+E22</f>
        <v>26257360</v>
      </c>
      <c r="F39" s="18" t="n">
        <f aca="false">F9*F15*(1+Assumptions!$E$12)+(F11-F9)*F15*(1+Assumptions!$E$11)+F22</f>
        <v>27879860</v>
      </c>
      <c r="G39" s="18" t="n">
        <f aca="false">G9*G15*(1+Assumptions!$E$12)+(G11-G9)*G15*(1+Assumptions!$E$11)+G22</f>
        <v>29502360</v>
      </c>
      <c r="H39" s="18" t="n">
        <f aca="false">H9*H15*(1+Assumptions!$E$12)+(H11-H9)*H15*(1+Assumptions!$E$11)+H22</f>
        <v>31124860</v>
      </c>
      <c r="I39" s="18" t="n">
        <f aca="false">I9*I15*(1+Assumptions!$E$12)+(I11-I9)*I15*(1+Assumptions!$E$11)+I22</f>
        <v>32747360</v>
      </c>
      <c r="J39" s="2"/>
      <c r="K39" s="14" t="n">
        <f aca="false">SUM(E39:I39)</f>
        <v>147511800</v>
      </c>
      <c r="L39" s="1"/>
      <c r="M39" s="1" t="s">
        <v>164</v>
      </c>
      <c r="N39" s="1"/>
    </row>
    <row r="40" customFormat="false" ht="24" hidden="false" customHeight="true" outlineLevel="0" collapsed="false">
      <c r="A40" s="1"/>
      <c r="B40" s="1"/>
      <c r="C40" s="1" t="s">
        <v>165</v>
      </c>
      <c r="D40" s="1" t="s">
        <v>102</v>
      </c>
      <c r="E40" s="14" t="n">
        <f aca="false">E39-E32</f>
        <v>12948680</v>
      </c>
      <c r="F40" s="14" t="n">
        <f aca="false">F39-F32</f>
        <v>13831930</v>
      </c>
      <c r="G40" s="14" t="n">
        <f aca="false">G39-G32</f>
        <v>14607180</v>
      </c>
      <c r="H40" s="14" t="n">
        <f aca="false">H39-H32</f>
        <v>15418430</v>
      </c>
      <c r="I40" s="14" t="n">
        <f aca="false">I39-I32</f>
        <v>16229680</v>
      </c>
      <c r="J40" s="2"/>
      <c r="K40" s="14" t="n">
        <f aca="false">SUM(E40:I40)</f>
        <v>73035900</v>
      </c>
      <c r="L40" s="1"/>
      <c r="M40" s="1"/>
      <c r="N40" s="1"/>
    </row>
    <row r="41" customFormat="false" ht="24" hidden="false" customHeight="true" outlineLevel="0" collapsed="false">
      <c r="A41" s="1"/>
      <c r="B41" s="1"/>
      <c r="C41" s="1" t="s">
        <v>166</v>
      </c>
      <c r="D41" s="1" t="s">
        <v>102</v>
      </c>
      <c r="E41" s="18" t="n">
        <f aca="false">E12*E16*(1+Assumptions!$E$11)</f>
        <v>0</v>
      </c>
      <c r="F41" s="18" t="n">
        <f aca="false">F12*F16*(1+Assumptions!$E$11)</f>
        <v>0</v>
      </c>
      <c r="G41" s="18" t="n">
        <f aca="false">G12*G16*(1+Assumptions!$E$11)</f>
        <v>0</v>
      </c>
      <c r="H41" s="18" t="n">
        <f aca="false">H12*H16*(1+Assumptions!$E$11)</f>
        <v>0</v>
      </c>
      <c r="I41" s="18" t="n">
        <f aca="false">I12*I16*(1+Assumptions!$E$11)</f>
        <v>0</v>
      </c>
      <c r="J41" s="2"/>
      <c r="K41" s="14" t="n">
        <f aca="false">SUM(E41:I41)</f>
        <v>0</v>
      </c>
      <c r="L41" s="1"/>
      <c r="M41" s="1" t="s">
        <v>167</v>
      </c>
      <c r="N41" s="1"/>
    </row>
    <row r="42" customFormat="false" ht="24" hidden="false" customHeight="true" outlineLevel="0" collapsed="false">
      <c r="A42" s="1"/>
      <c r="B42" s="1"/>
      <c r="C42" s="1" t="s">
        <v>168</v>
      </c>
      <c r="D42" s="1" t="s">
        <v>63</v>
      </c>
      <c r="E42" s="18" t="n">
        <f aca="false">ROUNDUP((E32-E22-E9*E15*(Assumptions!$E$12-Assumptions!$E$11))/(E15*(1+Assumptions!$E$11)),0)</f>
        <v>5013</v>
      </c>
      <c r="F42" s="18" t="n">
        <f aca="false">ROUNDUP((F32-F22-F9*F15*(Assumptions!$E$12-Assumptions!$E$11))/(F15*(1+Assumptions!$E$11)),0)</f>
        <v>5297</v>
      </c>
      <c r="G42" s="18" t="n">
        <f aca="false">ROUNDUP((G32-G22-G9*G15*(Assumptions!$E$12-Assumptions!$E$11))/(G15*(1+Assumptions!$E$11)),0)</f>
        <v>5624</v>
      </c>
      <c r="H42" s="18" t="n">
        <f aca="false">ROUNDUP((H32-H22-H9*H15*(Assumptions!$E$12-Assumptions!$E$11))/(H15*(1+Assumptions!$E$11)),0)</f>
        <v>5936</v>
      </c>
      <c r="I42" s="18" t="n">
        <f aca="false">ROUNDUP((I32-I22-I9*I15*(Assumptions!$E$12-Assumptions!$E$11))/(I15*(1+Assumptions!$E$11)),0)</f>
        <v>6249</v>
      </c>
      <c r="J42" s="2"/>
      <c r="K42" s="2"/>
      <c r="L42" s="1"/>
      <c r="M42" s="1" t="s">
        <v>169</v>
      </c>
      <c r="N42" s="1"/>
    </row>
    <row r="43" customFormat="false" ht="25" hidden="false" customHeight="true" outlineLevel="0" collapsed="false">
      <c r="A43" s="1"/>
      <c r="B43" s="1"/>
      <c r="C43" s="23" t="s">
        <v>170</v>
      </c>
      <c r="D43" s="23"/>
      <c r="E43" s="24"/>
      <c r="F43" s="24"/>
      <c r="G43" s="24"/>
      <c r="H43" s="24"/>
      <c r="I43" s="24"/>
      <c r="J43" s="24"/>
      <c r="K43" s="24"/>
      <c r="L43" s="1"/>
      <c r="M43" s="1"/>
      <c r="N43" s="1"/>
    </row>
    <row r="44" customFormat="false" ht="24" hidden="false" customHeight="true" outlineLevel="0" collapsed="false">
      <c r="A44" s="1"/>
      <c r="B44" s="1"/>
      <c r="C44" s="1" t="s">
        <v>171</v>
      </c>
      <c r="D44" s="1" t="s">
        <v>102</v>
      </c>
      <c r="E44" s="18" t="n">
        <f aca="false">E8*Assumptions!$E$9+E10*Assumptions!$E$9*Assumptions!$E$11+E9*Assumptions!$E$9*Assumptions!$E$12</f>
        <v>26257360</v>
      </c>
      <c r="F44" s="18" t="n">
        <f aca="false">F8*Assumptions!$E$9+F10*Assumptions!$E$9*Assumptions!$E$11+F9*Assumptions!$E$9*Assumptions!$E$12</f>
        <v>27879860</v>
      </c>
      <c r="G44" s="18" t="n">
        <f aca="false">G8*Assumptions!$E$9+G10*Assumptions!$E$9*Assumptions!$E$11+G9*Assumptions!$E$9*Assumptions!$E$12</f>
        <v>29502360</v>
      </c>
      <c r="H44" s="18" t="n">
        <f aca="false">H8*Assumptions!$E$9+H10*Assumptions!$E$9*Assumptions!$E$11+H9*Assumptions!$E$9*Assumptions!$E$12</f>
        <v>31124860</v>
      </c>
      <c r="I44" s="18" t="n">
        <f aca="false">I8*Assumptions!$E$9+I10*Assumptions!$E$9*Assumptions!$E$11+I9*Assumptions!$E$9*Assumptions!$E$12</f>
        <v>32747360</v>
      </c>
      <c r="J44" s="2"/>
      <c r="K44" s="14" t="n">
        <f aca="false">SUM(E44:I44)</f>
        <v>147511800</v>
      </c>
      <c r="L44" s="1"/>
      <c r="M44" s="1"/>
      <c r="N44" s="1"/>
    </row>
    <row r="45" customFormat="false" ht="24" hidden="false" customHeight="true" outlineLevel="0" collapsed="false">
      <c r="A45" s="1"/>
      <c r="B45" s="1"/>
      <c r="C45" s="1" t="s">
        <v>172</v>
      </c>
      <c r="D45" s="1" t="s">
        <v>102</v>
      </c>
      <c r="E45" s="18" t="n">
        <f aca="false">E44*(1+Assumptions!$E$18)^0</f>
        <v>26257360</v>
      </c>
      <c r="F45" s="18" t="n">
        <f aca="false">F44*(1+Assumptions!$E$18)^1</f>
        <v>28716255.8</v>
      </c>
      <c r="G45" s="18" t="n">
        <f aca="false">G44*(1+Assumptions!$E$18)^2</f>
        <v>31299053.724</v>
      </c>
      <c r="H45" s="18" t="n">
        <f aca="false">H44*(1+Assumptions!$E$18)^3</f>
        <v>34010974.89322</v>
      </c>
      <c r="I45" s="18" t="n">
        <f aca="false">I44*(1+Assumptions!$E$18)^4</f>
        <v>36857442.1842416</v>
      </c>
      <c r="J45" s="2"/>
      <c r="K45" s="14" t="n">
        <f aca="false">SUM(E45:I45)</f>
        <v>157141086.601462</v>
      </c>
      <c r="L45" s="1"/>
      <c r="M45" s="1"/>
      <c r="N45" s="1"/>
    </row>
    <row r="46" customFormat="false" ht="24" hidden="false" customHeight="true" outlineLevel="0" collapsed="false">
      <c r="A46" s="1"/>
      <c r="B46" s="1"/>
      <c r="C46" s="1" t="s">
        <v>173</v>
      </c>
      <c r="D46" s="1" t="s">
        <v>102</v>
      </c>
      <c r="E46" s="14" t="n">
        <f aca="false">E45-E44</f>
        <v>0</v>
      </c>
      <c r="F46" s="14" t="n">
        <f aca="false">F45-F44</f>
        <v>836395.800000001</v>
      </c>
      <c r="G46" s="14" t="n">
        <f aca="false">G45-G44</f>
        <v>1796693.724</v>
      </c>
      <c r="H46" s="14" t="n">
        <f aca="false">H45-H44</f>
        <v>2886114.89322</v>
      </c>
      <c r="I46" s="14" t="n">
        <f aca="false">I45-I44</f>
        <v>4110082.18424161</v>
      </c>
      <c r="J46" s="2"/>
      <c r="K46" s="14" t="n">
        <f aca="false">SUM(E46:I46)</f>
        <v>9629286.60146161</v>
      </c>
      <c r="L46" s="1"/>
      <c r="M46" s="1" t="s">
        <v>174</v>
      </c>
      <c r="N46" s="1"/>
    </row>
    <row r="47" customFormat="false" ht="24" hidden="false" customHeight="true" outlineLevel="0" collapsed="false">
      <c r="A47" s="1"/>
      <c r="B47" s="1"/>
      <c r="C47" s="1" t="s">
        <v>175</v>
      </c>
      <c r="D47" s="1" t="s">
        <v>102</v>
      </c>
      <c r="E47" s="14" t="n">
        <f aca="false">E45+E22-E32</f>
        <v>12948680</v>
      </c>
      <c r="F47" s="14" t="n">
        <f aca="false">F45+F22-F32</f>
        <v>14668325.8</v>
      </c>
      <c r="G47" s="14" t="n">
        <f aca="false">G45+G22-G32</f>
        <v>16403873.724</v>
      </c>
      <c r="H47" s="14" t="n">
        <f aca="false">H45+H22-H32</f>
        <v>18304544.89322</v>
      </c>
      <c r="I47" s="14" t="n">
        <f aca="false">I45+I22-I32</f>
        <v>20339762.1842416</v>
      </c>
      <c r="J47" s="2"/>
      <c r="K47" s="14" t="n">
        <f aca="false">SUM(E47:I47)</f>
        <v>82665186.6014616</v>
      </c>
      <c r="L47" s="1"/>
      <c r="M47" s="1"/>
      <c r="N47" s="1"/>
    </row>
    <row r="48" customFormat="false" ht="25" hidden="false" customHeight="true" outlineLevel="0" collapsed="false">
      <c r="A48" s="1"/>
      <c r="B48" s="1"/>
      <c r="C48" s="23" t="s">
        <v>176</v>
      </c>
      <c r="D48" s="23"/>
      <c r="E48" s="24"/>
      <c r="F48" s="24"/>
      <c r="G48" s="24"/>
      <c r="H48" s="24"/>
      <c r="I48" s="24"/>
      <c r="J48" s="24"/>
      <c r="K48" s="24"/>
      <c r="L48" s="1"/>
      <c r="M48" s="1"/>
      <c r="N48" s="1"/>
    </row>
    <row r="49" customFormat="false" ht="24" hidden="false" customHeight="true" outlineLevel="0" collapsed="false">
      <c r="A49" s="1"/>
      <c r="B49" s="1"/>
      <c r="C49" s="1" t="s">
        <v>177</v>
      </c>
      <c r="D49" s="1" t="s">
        <v>63</v>
      </c>
      <c r="E49" s="18" t="n">
        <f aca="false">Assumptions!$E$14-Assumptions!$E$20</f>
        <v>8170</v>
      </c>
      <c r="F49" s="18" t="n">
        <f aca="false">Assumptions!$E$14-Assumptions!$E$20</f>
        <v>8170</v>
      </c>
      <c r="G49" s="18" t="n">
        <f aca="false">Assumptions!$E$14-Assumptions!$E$20</f>
        <v>8170</v>
      </c>
      <c r="H49" s="18" t="n">
        <f aca="false">Assumptions!$E$14-Assumptions!$E$20</f>
        <v>8170</v>
      </c>
      <c r="I49" s="18" t="n">
        <f aca="false">Assumptions!$E$14-Assumptions!$E$20</f>
        <v>8170</v>
      </c>
      <c r="J49" s="2"/>
      <c r="K49" s="2"/>
      <c r="L49" s="1"/>
      <c r="M49" s="1"/>
      <c r="N49" s="1"/>
    </row>
    <row r="50" customFormat="false" ht="24" hidden="false" customHeight="true" outlineLevel="0" collapsed="false">
      <c r="A50" s="1"/>
      <c r="B50" s="1"/>
      <c r="C50" s="1" t="s">
        <v>178</v>
      </c>
      <c r="D50" s="1" t="s">
        <v>69</v>
      </c>
      <c r="E50" s="29" t="n">
        <f aca="false">1-Assumptions!$E$10/Assumptions!$E$9</f>
        <v>0.5</v>
      </c>
      <c r="F50" s="29" t="n">
        <f aca="false">1-Assumptions!$E$10/Assumptions!$E$9</f>
        <v>0.5</v>
      </c>
      <c r="G50" s="29" t="n">
        <f aca="false">1-Assumptions!$E$10/Assumptions!$E$9</f>
        <v>0.5</v>
      </c>
      <c r="H50" s="29" t="n">
        <f aca="false">1-Assumptions!$E$10/Assumptions!$E$9</f>
        <v>0.5</v>
      </c>
      <c r="I50" s="29" t="n">
        <f aca="false">1-Assumptions!$E$10/Assumptions!$E$9</f>
        <v>0.5</v>
      </c>
      <c r="J50" s="10"/>
      <c r="K50" s="10"/>
      <c r="L50" s="1"/>
      <c r="M50" s="1"/>
      <c r="N50" s="1"/>
    </row>
    <row r="51" customFormat="false" ht="24" hidden="false" customHeight="true" outlineLevel="0" collapsed="false">
      <c r="A51" s="1"/>
      <c r="B51" s="1"/>
      <c r="C51" s="1" t="s">
        <v>179</v>
      </c>
      <c r="D51" s="1" t="s">
        <v>69</v>
      </c>
      <c r="E51" s="29" t="n">
        <f aca="false">1-Assumptions!$E$10/Assumptions!$E$8</f>
        <v>0.6</v>
      </c>
      <c r="F51" s="29" t="n">
        <f aca="false">1-Assumptions!$E$10/Assumptions!$E$8</f>
        <v>0.6</v>
      </c>
      <c r="G51" s="29" t="n">
        <f aca="false">1-Assumptions!$E$10/Assumptions!$E$8</f>
        <v>0.6</v>
      </c>
      <c r="H51" s="29" t="n">
        <f aca="false">1-Assumptions!$E$10/Assumptions!$E$8</f>
        <v>0.6</v>
      </c>
      <c r="I51" s="29" t="n">
        <f aca="false">1-Assumptions!$E$10/Assumptions!$E$8</f>
        <v>0.6</v>
      </c>
      <c r="J51" s="10"/>
      <c r="K51" s="10"/>
      <c r="L51" s="1"/>
      <c r="M51" s="1"/>
      <c r="N51" s="1"/>
    </row>
    <row r="52" customFormat="false" ht="24" hidden="false" customHeight="true" outlineLevel="0" collapsed="false">
      <c r="A52" s="1"/>
      <c r="B52" s="1"/>
      <c r="C52" s="1" t="s">
        <v>180</v>
      </c>
      <c r="D52" s="1" t="s">
        <v>102</v>
      </c>
      <c r="E52" s="14" t="n">
        <f aca="false">E29</f>
        <v>180000</v>
      </c>
      <c r="F52" s="14" t="n">
        <f aca="false">E52+F29</f>
        <v>288000</v>
      </c>
      <c r="G52" s="14" t="n">
        <f aca="false">F52+G29</f>
        <v>432000</v>
      </c>
      <c r="H52" s="14" t="n">
        <f aca="false">G52+H29</f>
        <v>576000</v>
      </c>
      <c r="I52" s="14" t="n">
        <f aca="false">H52+I29</f>
        <v>720000</v>
      </c>
      <c r="J52" s="2"/>
      <c r="K52" s="14" t="n">
        <f aca="false">I52</f>
        <v>720000</v>
      </c>
      <c r="L52" s="1"/>
      <c r="M52" s="1"/>
      <c r="N52" s="1"/>
    </row>
    <row r="53" customFormat="false" ht="24" hidden="false" customHeight="true" outlineLevel="0" collapsed="false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1"/>
      <c r="M53" s="1"/>
      <c r="N53" s="1"/>
    </row>
    <row r="54" customFormat="false" ht="24" hidden="false" customHeight="true" outlineLevel="0" collapsed="false">
      <c r="A54" s="1"/>
      <c r="B54" s="1"/>
      <c r="C54" s="1" t="s">
        <v>181</v>
      </c>
      <c r="D54" s="1" t="s">
        <v>102</v>
      </c>
      <c r="E54" s="18" t="n">
        <f aca="false">Assumptions!$E$14*E16+(Assumptions!$E$14-E9)*E16*Assumptions!$E$11+E9*E16*Assumptions!$E$12</f>
        <v>13128680</v>
      </c>
      <c r="F54" s="18" t="n">
        <f aca="false">Assumptions!$E$14*F16+(Assumptions!$E$14-F9)*F16*Assumptions!$E$11+F9*F16*Assumptions!$E$12</f>
        <v>13128680</v>
      </c>
      <c r="G54" s="18" t="n">
        <f aca="false">Assumptions!$E$14*G16+(Assumptions!$E$14-G9)*G16*Assumptions!$E$11+G9*G16*Assumptions!$E$12</f>
        <v>13128680</v>
      </c>
      <c r="H54" s="18" t="n">
        <f aca="false">Assumptions!$E$14*H16+(Assumptions!$E$14-H9)*H16*Assumptions!$E$11+H9*H16*Assumptions!$E$12</f>
        <v>13128680</v>
      </c>
      <c r="I54" s="18" t="n">
        <f aca="false">Assumptions!$E$14*I16+(Assumptions!$E$14-I9)*I16*Assumptions!$E$11+I9*I16*Assumptions!$E$12</f>
        <v>13128680</v>
      </c>
      <c r="J54" s="2"/>
      <c r="K54" s="14" t="n">
        <f aca="false">SUM(E54:I54)</f>
        <v>65643400</v>
      </c>
      <c r="L54" s="1"/>
      <c r="M54" s="1" t="s">
        <v>182</v>
      </c>
      <c r="N54" s="1"/>
    </row>
    <row r="55" customFormat="false" ht="24" hidden="false" customHeight="true" outlineLevel="0" collapsed="false">
      <c r="A55" s="1"/>
      <c r="B55" s="1"/>
      <c r="C55" s="1" t="s">
        <v>183</v>
      </c>
      <c r="D55" s="1" t="s">
        <v>102</v>
      </c>
      <c r="E55" s="14" t="n">
        <f aca="false">E28-E54</f>
        <v>0</v>
      </c>
      <c r="F55" s="14" t="n">
        <f aca="false">F28-F54</f>
        <v>811250</v>
      </c>
      <c r="G55" s="14" t="n">
        <f aca="false">G28-G54</f>
        <v>1622500</v>
      </c>
      <c r="H55" s="14" t="n">
        <f aca="false">H28-H54</f>
        <v>2433750</v>
      </c>
      <c r="I55" s="14" t="n">
        <f aca="false">I28-I54</f>
        <v>3245000</v>
      </c>
      <c r="J55" s="2"/>
      <c r="K55" s="14" t="n">
        <f aca="false">SUM(E55:I55)</f>
        <v>8112500</v>
      </c>
      <c r="L55" s="1"/>
      <c r="M55" s="1"/>
      <c r="N55" s="1"/>
    </row>
    <row r="56" customFormat="false" ht="24" hidden="false" customHeight="true" outlineLevel="0" collapsed="false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1"/>
      <c r="M56" s="1"/>
      <c r="N56" s="1"/>
    </row>
    <row r="57" customFormat="false" ht="24" hidden="false" customHeight="true" outlineLevel="0" collapsed="false">
      <c r="A57" s="1"/>
      <c r="B57" s="1"/>
      <c r="C57" s="7" t="s">
        <v>184</v>
      </c>
      <c r="D57" s="1"/>
      <c r="E57" s="2"/>
      <c r="F57" s="2"/>
      <c r="G57" s="2"/>
      <c r="H57" s="2"/>
      <c r="I57" s="2"/>
      <c r="J57" s="2"/>
      <c r="K57" s="2"/>
      <c r="L57" s="1"/>
      <c r="M57" s="1"/>
      <c r="N57" s="1"/>
    </row>
    <row r="58" customFormat="false" ht="24" hidden="false" customHeight="true" outlineLevel="0" collapsed="false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1"/>
      <c r="M58" s="1"/>
      <c r="N58" s="1"/>
    </row>
    <row r="59" customFormat="false" ht="24" hidden="false" customHeight="true" outlineLevel="0" collapsed="false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1"/>
      <c r="M59" s="1"/>
      <c r="N59" s="1"/>
    </row>
    <row r="60" customFormat="false" ht="24" hidden="false" customHeight="true" outlineLevel="0" collapsed="false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1"/>
      <c r="M60" s="1"/>
      <c r="N60" s="1"/>
    </row>
    <row r="61" customFormat="false" ht="24" hidden="false" customHeight="true" outlineLevel="0" collapsed="false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1"/>
      <c r="M61" s="1"/>
      <c r="N61" s="1"/>
    </row>
    <row r="62" customFormat="false" ht="24" hidden="false" customHeight="true" outlineLevel="0" collapsed="false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1"/>
      <c r="M62" s="1"/>
      <c r="N62" s="1"/>
    </row>
    <row r="63" customFormat="false" ht="24" hidden="false" customHeight="true" outlineLevel="0" collapsed="false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1"/>
      <c r="M63" s="1"/>
      <c r="N63" s="1"/>
    </row>
    <row r="64" customFormat="false" ht="24" hidden="false" customHeight="true" outlineLevel="0" collapsed="false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1"/>
      <c r="M64" s="1"/>
      <c r="N64" s="1"/>
    </row>
    <row r="65" customFormat="false" ht="24" hidden="false" customHeight="true" outlineLevel="0" collapsed="false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1"/>
      <c r="M65" s="1"/>
      <c r="N65" s="1"/>
    </row>
    <row r="66" customFormat="false" ht="24" hidden="false" customHeight="true" outlineLevel="0" collapsed="false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1"/>
      <c r="M66" s="1"/>
      <c r="N66" s="1"/>
    </row>
    <row r="67" customFormat="false" ht="24" hidden="false" customHeight="true" outlineLevel="0" collapsed="false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1"/>
      <c r="M67" s="1"/>
      <c r="N67" s="1"/>
    </row>
    <row r="68" customFormat="false" ht="24" hidden="false" customHeight="true" outlineLevel="0" collapsed="false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1"/>
      <c r="M68" s="1"/>
      <c r="N68" s="1"/>
    </row>
    <row r="69" customFormat="false" ht="24" hidden="false" customHeight="true" outlineLevel="0" collapsed="false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1"/>
      <c r="M69" s="1"/>
      <c r="N69" s="1"/>
    </row>
    <row r="70" customFormat="false" ht="24" hidden="false" customHeight="true" outlineLevel="0" collapsed="false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1"/>
      <c r="M70" s="1"/>
      <c r="N70" s="1"/>
    </row>
    <row r="71" customFormat="false" ht="24" hidden="false" customHeight="true" outlineLevel="0" collapsed="false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1"/>
      <c r="M71" s="1"/>
      <c r="N71" s="1"/>
    </row>
    <row r="72" customFormat="false" ht="24" hidden="false" customHeight="true" outlineLevel="0" collapsed="false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1"/>
      <c r="M72" s="1"/>
      <c r="N72" s="1"/>
    </row>
    <row r="73" customFormat="false" ht="24" hidden="false" customHeight="true" outlineLevel="0" collapsed="false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1"/>
      <c r="M73" s="1"/>
      <c r="N73" s="1"/>
    </row>
    <row r="74" customFormat="false" ht="24" hidden="false" customHeight="true" outlineLevel="0" collapsed="false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1"/>
      <c r="M74" s="1"/>
      <c r="N74" s="1"/>
    </row>
    <row r="75" customFormat="false" ht="24" hidden="false" customHeight="true" outlineLevel="0" collapsed="false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1"/>
      <c r="M75" s="1"/>
      <c r="N75" s="1"/>
    </row>
    <row r="76" customFormat="false" ht="24" hidden="false" customHeight="true" outlineLevel="0" collapsed="false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1"/>
      <c r="M76" s="1"/>
      <c r="N76" s="1"/>
    </row>
    <row r="77" customFormat="false" ht="24" hidden="false" customHeight="true" outlineLevel="0" collapsed="false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1"/>
      <c r="M77" s="1"/>
      <c r="N77" s="1"/>
    </row>
    <row r="78" customFormat="false" ht="24" hidden="false" customHeight="true" outlineLevel="0" collapsed="false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1"/>
      <c r="M78" s="1"/>
      <c r="N78" s="1"/>
    </row>
    <row r="79" customFormat="false" ht="24" hidden="false" customHeight="true" outlineLevel="0" collapsed="false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1"/>
      <c r="M79" s="1"/>
      <c r="N79" s="1"/>
    </row>
    <row r="80" customFormat="false" ht="24" hidden="false" customHeight="true" outlineLevel="0" collapsed="false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1"/>
      <c r="M80" s="1"/>
      <c r="N80" s="1"/>
    </row>
    <row r="81" customFormat="false" ht="24" hidden="false" customHeight="true" outlineLevel="0" collapsed="false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1"/>
      <c r="M81" s="1"/>
      <c r="N81" s="1"/>
    </row>
    <row r="82" customFormat="false" ht="24" hidden="false" customHeight="true" outlineLevel="0" collapsed="false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1"/>
      <c r="M82" s="1"/>
      <c r="N82" s="1"/>
    </row>
    <row r="83" customFormat="false" ht="24" hidden="false" customHeight="true" outlineLevel="0" collapsed="false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1"/>
      <c r="M83" s="1"/>
      <c r="N83" s="1"/>
    </row>
    <row r="84" customFormat="false" ht="24" hidden="false" customHeight="true" outlineLevel="0" collapsed="false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1"/>
      <c r="M84" s="1"/>
      <c r="N84" s="1"/>
    </row>
    <row r="85" customFormat="false" ht="24" hidden="false" customHeight="true" outlineLevel="0" collapsed="false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1"/>
      <c r="M85" s="1"/>
      <c r="N85" s="1"/>
    </row>
    <row r="86" customFormat="false" ht="24" hidden="false" customHeight="true" outlineLevel="0" collapsed="false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1"/>
      <c r="M86" s="1"/>
      <c r="N86" s="1"/>
    </row>
    <row r="87" customFormat="false" ht="24" hidden="false" customHeight="true" outlineLevel="0" collapsed="false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1"/>
      <c r="M87" s="1"/>
      <c r="N87" s="1"/>
    </row>
    <row r="88" customFormat="false" ht="24" hidden="false" customHeight="true" outlineLevel="0" collapsed="false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1"/>
      <c r="M88" s="1"/>
      <c r="N88" s="1"/>
    </row>
    <row r="89" customFormat="false" ht="24" hidden="false" customHeight="true" outlineLevel="0" collapsed="false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1"/>
      <c r="M89" s="1"/>
      <c r="N89" s="1"/>
    </row>
    <row r="90" customFormat="false" ht="24" hidden="false" customHeight="true" outlineLevel="0" collapsed="false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1"/>
      <c r="M90" s="1"/>
      <c r="N9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8"/>
    <col collapsed="false" customWidth="true" hidden="false" outlineLevel="0" max="4" min="4" style="0" width="51"/>
    <col collapsed="false" customWidth="true" hidden="false" outlineLevel="0" max="5" min="5" style="0" width="19"/>
    <col collapsed="false" customWidth="true" hidden="false" outlineLevel="0" max="11" min="6" style="0" width="18"/>
    <col collapsed="false" customWidth="true" hidden="false" outlineLevel="0" max="12" min="12" style="0" width="14"/>
    <col collapsed="false" customWidth="true" hidden="false" outlineLevel="0" max="13" min="13" style="0" width="20"/>
    <col collapsed="false" customWidth="true" hidden="false" outlineLevel="0" max="15" min="14" style="0" width="22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185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6" t="str">
        <f aca="false">Assumptions!E5</f>
        <v>Base</v>
      </c>
      <c r="F4" s="6"/>
      <c r="G4" s="2"/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7" t="s">
        <v>186</v>
      </c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30" hidden="false" customHeight="true" outlineLevel="0" collapsed="false">
      <c r="A7" s="1"/>
      <c r="B7" s="1"/>
      <c r="C7" s="8" t="s">
        <v>187</v>
      </c>
      <c r="D7" s="8" t="s">
        <v>188</v>
      </c>
      <c r="E7" s="9" t="s">
        <v>189</v>
      </c>
      <c r="F7" s="9" t="s">
        <v>63</v>
      </c>
      <c r="G7" s="9" t="s">
        <v>190</v>
      </c>
      <c r="H7" s="9" t="s">
        <v>191</v>
      </c>
      <c r="I7" s="9" t="s">
        <v>192</v>
      </c>
      <c r="J7" s="9" t="s">
        <v>193</v>
      </c>
      <c r="K7" s="9" t="s">
        <v>194</v>
      </c>
      <c r="L7" s="8" t="s">
        <v>195</v>
      </c>
      <c r="M7" s="30" t="s">
        <v>196</v>
      </c>
      <c r="N7" s="8" t="s">
        <v>197</v>
      </c>
    </row>
    <row r="8" customFormat="false" ht="43" hidden="false" customHeight="true" outlineLevel="0" collapsed="false">
      <c r="A8" s="1"/>
      <c r="B8" s="1"/>
      <c r="C8" s="31" t="n">
        <v>8</v>
      </c>
      <c r="D8" s="32" t="s">
        <v>198</v>
      </c>
      <c r="E8" s="15" t="s">
        <v>199</v>
      </c>
      <c r="F8" s="15" t="n">
        <v>50</v>
      </c>
      <c r="G8" s="15" t="s">
        <v>200</v>
      </c>
      <c r="H8" s="33" t="n">
        <v>163201.6</v>
      </c>
      <c r="I8" s="33" t="n">
        <v>63397</v>
      </c>
      <c r="J8" s="33" t="s">
        <v>201</v>
      </c>
      <c r="K8" s="34" t="n">
        <f aca="false">SUM(H8:I8)</f>
        <v>226598.6</v>
      </c>
      <c r="L8" s="29" t="n">
        <f aca="false">IF(E8="On-Premise",Assumptions!$E$12,Assumptions!$E$11)</f>
        <v>0.2</v>
      </c>
      <c r="M8" s="35" t="n">
        <f aca="false">F8*Assumptions!$E$10*(1+L8)</f>
        <v>70800</v>
      </c>
      <c r="N8" s="34" t="n">
        <f aca="false">M8-K8</f>
        <v>-155798.6</v>
      </c>
    </row>
    <row r="9" customFormat="false" ht="43" hidden="false" customHeight="true" outlineLevel="0" collapsed="false">
      <c r="A9" s="1"/>
      <c r="B9" s="1"/>
      <c r="C9" s="31" t="n">
        <v>8</v>
      </c>
      <c r="D9" s="32" t="s">
        <v>198</v>
      </c>
      <c r="E9" s="15" t="s">
        <v>202</v>
      </c>
      <c r="F9" s="15" t="n">
        <v>100</v>
      </c>
      <c r="G9" s="15" t="s">
        <v>200</v>
      </c>
      <c r="H9" s="33" t="n">
        <v>293444.33</v>
      </c>
      <c r="I9" s="33" t="n">
        <v>75000</v>
      </c>
      <c r="J9" s="33" t="s">
        <v>201</v>
      </c>
      <c r="K9" s="34" t="n">
        <f aca="false">SUM(H9:I9)</f>
        <v>368444.33</v>
      </c>
      <c r="L9" s="29" t="n">
        <f aca="false">IF(E9="On-Premise",Assumptions!$E$12,Assumptions!$E$11)</f>
        <v>0.1</v>
      </c>
      <c r="M9" s="35" t="n">
        <f aca="false">F9*Assumptions!$E$10*(1+L9)</f>
        <v>129800</v>
      </c>
      <c r="N9" s="34" t="n">
        <f aca="false">M9-K9</f>
        <v>-238644.33</v>
      </c>
    </row>
    <row r="10" customFormat="false" ht="43" hidden="false" customHeight="true" outlineLevel="0" collapsed="false">
      <c r="A10" s="1"/>
      <c r="B10" s="1"/>
      <c r="C10" s="31" t="n">
        <v>17</v>
      </c>
      <c r="D10" s="32" t="s">
        <v>203</v>
      </c>
      <c r="E10" s="15" t="s">
        <v>204</v>
      </c>
      <c r="F10" s="15" t="n">
        <v>275</v>
      </c>
      <c r="G10" s="15" t="n">
        <v>10000</v>
      </c>
      <c r="H10" s="33" t="n">
        <v>147268.13</v>
      </c>
      <c r="I10" s="33"/>
      <c r="J10" s="33" t="s">
        <v>201</v>
      </c>
      <c r="K10" s="34" t="n">
        <f aca="false">SUM(H10:I10)</f>
        <v>147268.13</v>
      </c>
      <c r="L10" s="29" t="n">
        <f aca="false">IF(E10="On-Premise",Assumptions!$E$12,Assumptions!$E$11)</f>
        <v>0.1</v>
      </c>
      <c r="M10" s="35" t="n">
        <f aca="false">F10*Assumptions!$E$10*(1+L10)</f>
        <v>356950</v>
      </c>
      <c r="N10" s="34" t="n">
        <f aca="false">M10-K10</f>
        <v>209681.87</v>
      </c>
    </row>
    <row r="11" customFormat="false" ht="43" hidden="false" customHeight="true" outlineLevel="0" collapsed="false">
      <c r="A11" s="1"/>
      <c r="B11" s="1"/>
      <c r="C11" s="31" t="n">
        <v>19</v>
      </c>
      <c r="D11" s="32" t="s">
        <v>205</v>
      </c>
      <c r="E11" s="15" t="s">
        <v>204</v>
      </c>
      <c r="F11" s="15" t="n">
        <v>25</v>
      </c>
      <c r="G11" s="15" t="s">
        <v>200</v>
      </c>
      <c r="H11" s="33" t="n">
        <v>110988.75</v>
      </c>
      <c r="I11" s="33"/>
      <c r="J11" s="33" t="s">
        <v>201</v>
      </c>
      <c r="K11" s="34" t="n">
        <f aca="false">SUM(H11:I11)</f>
        <v>110988.75</v>
      </c>
      <c r="L11" s="29" t="n">
        <f aca="false">IF(E11="On-Premise",Assumptions!$E$12,Assumptions!$E$11)</f>
        <v>0.1</v>
      </c>
      <c r="M11" s="35" t="n">
        <f aca="false">F11*Assumptions!$E$10*(1+L11)</f>
        <v>32450</v>
      </c>
      <c r="N11" s="34" t="n">
        <f aca="false">M11-K11</f>
        <v>-78538.75</v>
      </c>
    </row>
    <row r="12" customFormat="false" ht="43" hidden="false" customHeight="true" outlineLevel="0" collapsed="false">
      <c r="A12" s="1"/>
      <c r="B12" s="1"/>
      <c r="C12" s="31" t="n">
        <v>24</v>
      </c>
      <c r="D12" s="32" t="s">
        <v>206</v>
      </c>
      <c r="E12" s="15" t="s">
        <v>199</v>
      </c>
      <c r="F12" s="15" t="n">
        <v>60</v>
      </c>
      <c r="G12" s="15" t="s">
        <v>200</v>
      </c>
      <c r="H12" s="33" t="n">
        <v>234635.43</v>
      </c>
      <c r="I12" s="33"/>
      <c r="J12" s="33" t="s">
        <v>201</v>
      </c>
      <c r="K12" s="34" t="n">
        <f aca="false">SUM(H12:I12)</f>
        <v>234635.43</v>
      </c>
      <c r="L12" s="29" t="n">
        <f aca="false">IF(E12="On-Premise",Assumptions!$E$12,Assumptions!$E$11)</f>
        <v>0.2</v>
      </c>
      <c r="M12" s="35" t="n">
        <f aca="false">F12*Assumptions!$E$10*(1+L12)</f>
        <v>84960</v>
      </c>
      <c r="N12" s="34" t="n">
        <f aca="false">M12-K12</f>
        <v>-149675.43</v>
      </c>
    </row>
    <row r="13" customFormat="false" ht="43" hidden="false" customHeight="true" outlineLevel="0" collapsed="false">
      <c r="A13" s="1"/>
      <c r="B13" s="1"/>
      <c r="C13" s="31" t="n">
        <v>57</v>
      </c>
      <c r="D13" s="32" t="s">
        <v>207</v>
      </c>
      <c r="E13" s="15" t="s">
        <v>199</v>
      </c>
      <c r="F13" s="15" t="n">
        <v>150</v>
      </c>
      <c r="G13" s="15" t="s">
        <v>200</v>
      </c>
      <c r="H13" s="33" t="n">
        <v>177108</v>
      </c>
      <c r="I13" s="33"/>
      <c r="J13" s="33" t="s">
        <v>201</v>
      </c>
      <c r="K13" s="34" t="n">
        <f aca="false">SUM(H13:I13)</f>
        <v>177108</v>
      </c>
      <c r="L13" s="29" t="n">
        <f aca="false">IF(E13="On-Premise",Assumptions!$E$12,Assumptions!$E$11)</f>
        <v>0.2</v>
      </c>
      <c r="M13" s="35" t="n">
        <f aca="false">F13*Assumptions!$E$10*(1+L13)</f>
        <v>212400</v>
      </c>
      <c r="N13" s="34" t="n">
        <f aca="false">M13-K13</f>
        <v>35292</v>
      </c>
    </row>
    <row r="14" customFormat="false" ht="43" hidden="false" customHeight="true" outlineLevel="0" collapsed="false">
      <c r="A14" s="1"/>
      <c r="B14" s="1"/>
      <c r="C14" s="31" t="n">
        <v>70</v>
      </c>
      <c r="D14" s="32" t="s">
        <v>208</v>
      </c>
      <c r="E14" s="15" t="s">
        <v>204</v>
      </c>
      <c r="F14" s="15" t="n">
        <v>20</v>
      </c>
      <c r="G14" s="15" t="s">
        <v>200</v>
      </c>
      <c r="H14" s="33" t="n">
        <v>116564.92</v>
      </c>
      <c r="I14" s="33"/>
      <c r="J14" s="33" t="s">
        <v>201</v>
      </c>
      <c r="K14" s="34" t="n">
        <f aca="false">SUM(H14:I14)</f>
        <v>116564.92</v>
      </c>
      <c r="L14" s="29" t="n">
        <f aca="false">IF(E14="On-Premise",Assumptions!$E$12,Assumptions!$E$11)</f>
        <v>0.1</v>
      </c>
      <c r="M14" s="35" t="n">
        <f aca="false">F14*Assumptions!$E$10*(1+L14)</f>
        <v>25960</v>
      </c>
      <c r="N14" s="34" t="n">
        <f aca="false">M14-K14</f>
        <v>-90604.92</v>
      </c>
    </row>
    <row r="15" customFormat="false" ht="43" hidden="false" customHeight="true" outlineLevel="0" collapsed="false">
      <c r="A15" s="1"/>
      <c r="B15" s="1"/>
      <c r="C15" s="31" t="n">
        <v>74</v>
      </c>
      <c r="D15" s="32" t="s">
        <v>209</v>
      </c>
      <c r="E15" s="15" t="s">
        <v>199</v>
      </c>
      <c r="F15" s="15" t="n">
        <v>1000</v>
      </c>
      <c r="G15" s="15" t="s">
        <v>200</v>
      </c>
      <c r="H15" s="33"/>
      <c r="I15" s="33" t="n">
        <v>608000</v>
      </c>
      <c r="J15" s="33" t="s">
        <v>210</v>
      </c>
      <c r="K15" s="34" t="n">
        <f aca="false">SUM(H15:I15)</f>
        <v>608000</v>
      </c>
      <c r="L15" s="29" t="n">
        <f aca="false">IF(E15="On-Premise",Assumptions!$E$12,Assumptions!$E$11)</f>
        <v>0.2</v>
      </c>
      <c r="M15" s="35" t="n">
        <f aca="false">F15*Assumptions!$E$10*(1+L15)</f>
        <v>1416000</v>
      </c>
      <c r="N15" s="34" t="n">
        <f aca="false">M15-K15</f>
        <v>808000</v>
      </c>
    </row>
    <row r="16" customFormat="false" ht="43" hidden="false" customHeight="true" outlineLevel="0" collapsed="false">
      <c r="A16" s="1"/>
      <c r="B16" s="1"/>
      <c r="C16" s="31" t="n">
        <v>91</v>
      </c>
      <c r="D16" s="32" t="s">
        <v>211</v>
      </c>
      <c r="E16" s="15" t="s">
        <v>204</v>
      </c>
      <c r="F16" s="15" t="n">
        <v>150</v>
      </c>
      <c r="G16" s="15" t="n">
        <v>5000</v>
      </c>
      <c r="H16" s="33" t="n">
        <v>57627.5</v>
      </c>
      <c r="I16" s="33"/>
      <c r="J16" s="33" t="s">
        <v>201</v>
      </c>
      <c r="K16" s="34" t="n">
        <f aca="false">SUM(H16:I16)</f>
        <v>57627.5</v>
      </c>
      <c r="L16" s="29" t="n">
        <f aca="false">IF(E16="On-Premise",Assumptions!$E$12,Assumptions!$E$11)</f>
        <v>0.1</v>
      </c>
      <c r="M16" s="35" t="n">
        <f aca="false">F16*Assumptions!$E$10*(1+L16)</f>
        <v>194700</v>
      </c>
      <c r="N16" s="34" t="n">
        <f aca="false">M16-K16</f>
        <v>137072.5</v>
      </c>
    </row>
    <row r="17" customFormat="false" ht="24" hidden="false" customHeight="true" outlineLevel="0" collapsed="false">
      <c r="A17" s="1"/>
      <c r="B17" s="1"/>
      <c r="C17" s="1"/>
      <c r="D17" s="1"/>
      <c r="E17" s="2"/>
      <c r="F17" s="2"/>
      <c r="G17" s="2"/>
      <c r="H17" s="36"/>
      <c r="I17" s="36"/>
      <c r="J17" s="36"/>
      <c r="K17" s="36"/>
      <c r="L17" s="1"/>
      <c r="M17" s="36"/>
      <c r="N17" s="36"/>
    </row>
    <row r="18" customFormat="false" ht="24" hidden="false" customHeight="true" outlineLevel="0" collapsed="false">
      <c r="A18" s="1"/>
      <c r="B18" s="1"/>
      <c r="C18" s="20"/>
      <c r="D18" s="20" t="s">
        <v>212</v>
      </c>
      <c r="E18" s="37"/>
      <c r="F18" s="22" t="n">
        <f aca="false">SUM(F8:F16)</f>
        <v>1830</v>
      </c>
      <c r="G18" s="37"/>
      <c r="H18" s="38" t="n">
        <f aca="false">SUM(H8:H16)</f>
        <v>1300838.66</v>
      </c>
      <c r="I18" s="38" t="n">
        <f aca="false">SUM(I8:I16)</f>
        <v>746397</v>
      </c>
      <c r="J18" s="39"/>
      <c r="K18" s="38" t="n">
        <f aca="false">SUM(K8:K16)</f>
        <v>2047235.66</v>
      </c>
      <c r="L18" s="20"/>
      <c r="M18" s="38" t="n">
        <f aca="false">SUM(M8:M16)</f>
        <v>2524020</v>
      </c>
      <c r="N18" s="38" t="n">
        <f aca="false">SUM(N8:N16)</f>
        <v>476784.34</v>
      </c>
    </row>
    <row r="19" customFormat="false" ht="24" hidden="false" customHeight="true" outlineLevel="0" collapsed="false">
      <c r="A19" s="1"/>
      <c r="B19" s="1"/>
      <c r="C19" s="1"/>
      <c r="D19" s="1"/>
      <c r="E19" s="2"/>
      <c r="F19" s="2"/>
      <c r="G19" s="2"/>
      <c r="H19" s="2"/>
      <c r="I19" s="2"/>
      <c r="J19" s="2"/>
      <c r="K19" s="2"/>
      <c r="L19" s="1"/>
      <c r="M19" s="1"/>
      <c r="N19" s="1"/>
    </row>
    <row r="20" customFormat="false" ht="24" hidden="false" customHeight="true" outlineLevel="0" collapsed="false">
      <c r="A20" s="1"/>
      <c r="B20" s="1"/>
      <c r="C20" s="1"/>
      <c r="D20" s="1"/>
      <c r="E20" s="2"/>
      <c r="F20" s="2"/>
      <c r="G20" s="2"/>
      <c r="H20" s="2"/>
      <c r="I20" s="2"/>
      <c r="J20" s="2"/>
      <c r="K20" s="2"/>
      <c r="L20" s="1"/>
      <c r="M20" s="1"/>
      <c r="N20" s="1"/>
    </row>
    <row r="21" customFormat="false" ht="24" hidden="false" customHeight="true" outlineLevel="0" collapsed="false">
      <c r="A21" s="1"/>
      <c r="B21" s="1"/>
      <c r="C21" s="7" t="s">
        <v>213</v>
      </c>
      <c r="D21" s="1"/>
      <c r="E21" s="2"/>
      <c r="F21" s="2"/>
      <c r="G21" s="2"/>
      <c r="H21" s="2"/>
      <c r="I21" s="2"/>
      <c r="J21" s="2"/>
      <c r="K21" s="2"/>
      <c r="L21" s="1"/>
      <c r="M21" s="1"/>
      <c r="N21" s="1"/>
    </row>
    <row r="22" customFormat="false" ht="24" hidden="false" customHeight="true" outlineLevel="0" collapsed="false">
      <c r="A22" s="1"/>
      <c r="B22" s="1"/>
      <c r="C22" s="1"/>
      <c r="D22" s="1"/>
      <c r="E22" s="2"/>
      <c r="F22" s="2"/>
      <c r="G22" s="2"/>
      <c r="H22" s="2"/>
      <c r="I22" s="2"/>
      <c r="J22" s="2"/>
      <c r="K22" s="2"/>
      <c r="L22" s="1"/>
      <c r="M22" s="1"/>
      <c r="N22" s="1"/>
    </row>
    <row r="23" customFormat="false" ht="24" hidden="false" customHeight="true" outlineLevel="0" collapsed="false">
      <c r="A23" s="1"/>
      <c r="B23" s="1"/>
      <c r="C23" s="7" t="s">
        <v>214</v>
      </c>
      <c r="D23" s="1"/>
      <c r="E23" s="2"/>
      <c r="F23" s="2"/>
      <c r="G23" s="2"/>
      <c r="H23" s="2"/>
      <c r="I23" s="2"/>
      <c r="J23" s="2"/>
      <c r="K23" s="2"/>
      <c r="L23" s="1"/>
      <c r="M23" s="1"/>
      <c r="N23" s="1"/>
    </row>
    <row r="24" customFormat="false" ht="24" hidden="false" customHeight="true" outlineLevel="0" collapsed="false">
      <c r="A24" s="1"/>
      <c r="B24" s="1"/>
      <c r="C24" s="7" t="s">
        <v>215</v>
      </c>
      <c r="D24" s="1"/>
      <c r="E24" s="2"/>
      <c r="F24" s="2"/>
      <c r="G24" s="2"/>
      <c r="H24" s="2"/>
      <c r="I24" s="2"/>
      <c r="J24" s="2"/>
      <c r="K24" s="2"/>
      <c r="L24" s="1"/>
      <c r="M24" s="1"/>
      <c r="N24" s="1"/>
    </row>
    <row r="25" customFormat="false" ht="24" hidden="false" customHeight="true" outlineLevel="0" collapsed="false">
      <c r="A25" s="1"/>
      <c r="B25" s="1"/>
      <c r="C25" s="1"/>
      <c r="D25" s="1"/>
      <c r="E25" s="2"/>
      <c r="F25" s="2"/>
      <c r="G25" s="2"/>
      <c r="H25" s="2"/>
      <c r="I25" s="2"/>
      <c r="J25" s="2"/>
      <c r="K25" s="2"/>
      <c r="L25" s="1"/>
      <c r="M25" s="1"/>
      <c r="N25" s="1"/>
    </row>
    <row r="26" customFormat="false" ht="24" hidden="false" customHeight="true" outlineLevel="0" collapsed="false">
      <c r="A26" s="1"/>
      <c r="B26" s="1"/>
      <c r="C26" s="7" t="s">
        <v>216</v>
      </c>
      <c r="D26" s="1"/>
      <c r="E26" s="2"/>
      <c r="F26" s="2"/>
      <c r="G26" s="2"/>
      <c r="H26" s="2"/>
      <c r="I26" s="2"/>
      <c r="J26" s="2"/>
      <c r="K26" s="2"/>
      <c r="L26" s="1"/>
      <c r="M26" s="1"/>
      <c r="N26" s="1"/>
    </row>
    <row r="27" customFormat="false" ht="24" hidden="false" customHeight="true" outlineLevel="0" collapsed="false">
      <c r="A27" s="1"/>
      <c r="B27" s="1"/>
      <c r="C27" s="7" t="s">
        <v>217</v>
      </c>
      <c r="D27" s="1"/>
      <c r="E27" s="2"/>
      <c r="F27" s="2"/>
      <c r="G27" s="2"/>
      <c r="H27" s="2"/>
      <c r="I27" s="2"/>
      <c r="J27" s="2"/>
      <c r="K27" s="2"/>
      <c r="L27" s="1"/>
      <c r="M27" s="1"/>
      <c r="N27" s="1"/>
    </row>
    <row r="28" customFormat="false" ht="24" hidden="false" customHeight="true" outlineLevel="0" collapsed="false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1"/>
      <c r="M28" s="1"/>
      <c r="N28" s="1"/>
    </row>
    <row r="29" customFormat="false" ht="24" hidden="false" customHeight="true" outlineLevel="0" collapsed="false">
      <c r="A29" s="1"/>
      <c r="B29" s="1"/>
      <c r="C29" s="7" t="s">
        <v>218</v>
      </c>
      <c r="D29" s="1"/>
      <c r="E29" s="2"/>
      <c r="F29" s="2"/>
      <c r="G29" s="2"/>
      <c r="H29" s="2"/>
      <c r="I29" s="2"/>
      <c r="J29" s="2"/>
      <c r="K29" s="2"/>
      <c r="L29" s="1"/>
      <c r="M29" s="1"/>
      <c r="N29" s="1"/>
    </row>
    <row r="30" customFormat="false" ht="24" hidden="false" customHeight="true" outlineLevel="0" collapsed="false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1"/>
      <c r="M30" s="1"/>
      <c r="N30" s="1"/>
    </row>
    <row r="31" customFormat="false" ht="24" hidden="false" customHeight="true" outlineLevel="0" collapsed="false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1"/>
      <c r="M31" s="1"/>
      <c r="N31" s="1"/>
    </row>
    <row r="32" customFormat="false" ht="24" hidden="false" customHeight="true" outlineLevel="0" collapsed="false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1"/>
      <c r="M32" s="1"/>
      <c r="N32" s="1"/>
    </row>
    <row r="33" customFormat="false" ht="24" hidden="false" customHeight="true" outlineLevel="0" collapsed="false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1"/>
      <c r="M33" s="1"/>
      <c r="N33" s="1"/>
    </row>
    <row r="34" customFormat="false" ht="24" hidden="false" customHeight="true" outlineLevel="0" collapsed="false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1"/>
      <c r="M34" s="1"/>
      <c r="N34" s="1"/>
    </row>
    <row r="35" customFormat="false" ht="24" hidden="false" customHeight="true" outlineLevel="0" collapsed="false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1"/>
      <c r="M35" s="1"/>
      <c r="N35" s="1"/>
    </row>
    <row r="36" customFormat="false" ht="24" hidden="false" customHeight="true" outlineLevel="0" collapsed="false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1"/>
      <c r="M36" s="1"/>
      <c r="N36" s="1"/>
    </row>
    <row r="37" customFormat="false" ht="24" hidden="false" customHeight="true" outlineLevel="0" collapsed="false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1"/>
      <c r="M37" s="1"/>
      <c r="N37" s="1"/>
    </row>
    <row r="38" customFormat="false" ht="24" hidden="false" customHeight="true" outlineLevel="0" collapsed="false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1"/>
      <c r="M38" s="1"/>
      <c r="N38" s="1"/>
    </row>
    <row r="39" customFormat="false" ht="24" hidden="false" customHeight="true" outlineLevel="0" collapsed="false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1"/>
      <c r="M39" s="1"/>
      <c r="N39" s="1"/>
    </row>
    <row r="40" customFormat="false" ht="24" hidden="false" customHeight="true" outlineLevel="0" collapsed="false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1"/>
      <c r="M40" s="1"/>
      <c r="N40" s="1"/>
    </row>
    <row r="41" customFormat="false" ht="24" hidden="false" customHeight="true" outlineLevel="0" collapsed="false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1"/>
      <c r="M41" s="1"/>
      <c r="N41" s="1"/>
    </row>
    <row r="42" customFormat="false" ht="24" hidden="false" customHeight="true" outlineLevel="0" collapsed="false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1"/>
      <c r="M42" s="1"/>
      <c r="N42" s="1"/>
    </row>
    <row r="43" customFormat="false" ht="24" hidden="false" customHeight="true" outlineLevel="0" collapsed="false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1"/>
      <c r="M43" s="1"/>
      <c r="N43" s="1"/>
    </row>
    <row r="44" customFormat="false" ht="24" hidden="false" customHeight="true" outlineLevel="0" collapsed="false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1"/>
      <c r="M44" s="1"/>
      <c r="N44" s="1"/>
    </row>
    <row r="45" customFormat="false" ht="24" hidden="false" customHeight="true" outlineLevel="0" collapsed="false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1"/>
      <c r="M45" s="1"/>
      <c r="N45" s="1"/>
    </row>
    <row r="46" customFormat="false" ht="24" hidden="false" customHeight="true" outlineLevel="0" collapsed="false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1"/>
      <c r="M46" s="1"/>
      <c r="N46" s="1"/>
    </row>
    <row r="47" customFormat="false" ht="24" hidden="false" customHeight="true" outlineLevel="0" collapsed="false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1"/>
      <c r="M47" s="1"/>
      <c r="N47" s="1"/>
    </row>
    <row r="48" customFormat="false" ht="24" hidden="false" customHeight="true" outlineLevel="0" collapsed="false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1"/>
      <c r="M48" s="1"/>
      <c r="N48" s="1"/>
    </row>
    <row r="49" customFormat="false" ht="24" hidden="false" customHeight="true" outlineLevel="0" collapsed="false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1"/>
      <c r="M49" s="1"/>
      <c r="N49" s="1"/>
    </row>
    <row r="50" customFormat="false" ht="24" hidden="false" customHeight="true" outlineLevel="0" collapsed="false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1"/>
      <c r="M50" s="1"/>
      <c r="N50" s="1"/>
    </row>
    <row r="51" customFormat="false" ht="24" hidden="false" customHeight="true" outlineLevel="0" collapsed="false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1"/>
      <c r="M51" s="1"/>
      <c r="N51" s="1"/>
    </row>
    <row r="52" customFormat="false" ht="24" hidden="false" customHeight="true" outlineLevel="0" collapsed="false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1"/>
      <c r="M52" s="1"/>
      <c r="N52" s="1"/>
    </row>
    <row r="53" customFormat="false" ht="24" hidden="false" customHeight="true" outlineLevel="0" collapsed="false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1"/>
      <c r="M53" s="1"/>
      <c r="N53" s="1"/>
    </row>
    <row r="54" customFormat="false" ht="24" hidden="false" customHeight="true" outlineLevel="0" collapsed="false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1"/>
      <c r="M54" s="1"/>
      <c r="N54" s="1"/>
    </row>
    <row r="55" customFormat="false" ht="24" hidden="false" customHeight="true" outlineLevel="0" collapsed="false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1"/>
      <c r="M55" s="1"/>
      <c r="N55" s="1"/>
    </row>
    <row r="56" customFormat="false" ht="24" hidden="false" customHeight="true" outlineLevel="0" collapsed="false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1"/>
      <c r="M56" s="1"/>
      <c r="N56" s="1"/>
    </row>
    <row r="57" customFormat="false" ht="24" hidden="false" customHeight="true" outlineLevel="0" collapsed="false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1"/>
      <c r="M57" s="1"/>
      <c r="N57" s="1"/>
    </row>
    <row r="58" customFormat="false" ht="24" hidden="false" customHeight="true" outlineLevel="0" collapsed="false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1"/>
      <c r="M58" s="1"/>
      <c r="N58" s="1"/>
    </row>
    <row r="59" customFormat="false" ht="24" hidden="false" customHeight="true" outlineLevel="0" collapsed="false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1"/>
      <c r="M59" s="1"/>
      <c r="N59" s="1"/>
    </row>
    <row r="60" customFormat="false" ht="24" hidden="false" customHeight="true" outlineLevel="0" collapsed="false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1"/>
      <c r="M60" s="1"/>
      <c r="N60" s="1"/>
    </row>
    <row r="61" customFormat="false" ht="24" hidden="false" customHeight="true" outlineLevel="0" collapsed="false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1"/>
      <c r="M61" s="1"/>
      <c r="N61" s="1"/>
    </row>
    <row r="62" customFormat="false" ht="24" hidden="false" customHeight="true" outlineLevel="0" collapsed="false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1"/>
      <c r="M62" s="1"/>
      <c r="N62" s="1"/>
    </row>
    <row r="63" customFormat="false" ht="24" hidden="false" customHeight="true" outlineLevel="0" collapsed="false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1"/>
      <c r="M63" s="1"/>
      <c r="N63" s="1"/>
    </row>
    <row r="64" customFormat="false" ht="24" hidden="false" customHeight="true" outlineLevel="0" collapsed="false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1"/>
      <c r="M64" s="1"/>
      <c r="N64" s="1"/>
    </row>
    <row r="65" customFormat="false" ht="24" hidden="false" customHeight="true" outlineLevel="0" collapsed="false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1"/>
      <c r="M65" s="1"/>
      <c r="N65" s="1"/>
    </row>
    <row r="66" customFormat="false" ht="24" hidden="false" customHeight="true" outlineLevel="0" collapsed="false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1"/>
      <c r="M66" s="1"/>
      <c r="N66" s="1"/>
    </row>
    <row r="67" customFormat="false" ht="24" hidden="false" customHeight="true" outlineLevel="0" collapsed="false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1"/>
      <c r="M67" s="1"/>
      <c r="N67" s="1"/>
    </row>
    <row r="68" customFormat="false" ht="24" hidden="false" customHeight="true" outlineLevel="0" collapsed="false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1"/>
      <c r="M68" s="1"/>
      <c r="N68" s="1"/>
    </row>
    <row r="69" customFormat="false" ht="24" hidden="false" customHeight="true" outlineLevel="0" collapsed="false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1"/>
      <c r="M69" s="1"/>
      <c r="N69" s="1"/>
    </row>
    <row r="70" customFormat="false" ht="24" hidden="false" customHeight="true" outlineLevel="0" collapsed="false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1"/>
      <c r="M70" s="1"/>
      <c r="N70" s="1"/>
    </row>
    <row r="71" customFormat="false" ht="24" hidden="false" customHeight="true" outlineLevel="0" collapsed="false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1"/>
      <c r="M71" s="1"/>
      <c r="N71" s="1"/>
    </row>
    <row r="72" customFormat="false" ht="24" hidden="false" customHeight="true" outlineLevel="0" collapsed="false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1"/>
      <c r="M72" s="1"/>
      <c r="N72" s="1"/>
    </row>
    <row r="73" customFormat="false" ht="24" hidden="false" customHeight="true" outlineLevel="0" collapsed="false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1"/>
      <c r="M73" s="1"/>
      <c r="N73" s="1"/>
    </row>
    <row r="74" customFormat="false" ht="24" hidden="false" customHeight="true" outlineLevel="0" collapsed="false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1"/>
      <c r="M74" s="1"/>
      <c r="N74" s="1"/>
    </row>
    <row r="75" customFormat="false" ht="24" hidden="false" customHeight="true" outlineLevel="0" collapsed="false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1"/>
      <c r="M75" s="1"/>
      <c r="N75" s="1"/>
    </row>
    <row r="76" customFormat="false" ht="24" hidden="false" customHeight="true" outlineLevel="0" collapsed="false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1"/>
      <c r="M76" s="1"/>
      <c r="N76" s="1"/>
    </row>
    <row r="77" customFormat="false" ht="24" hidden="false" customHeight="true" outlineLevel="0" collapsed="false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1"/>
      <c r="M77" s="1"/>
      <c r="N77" s="1"/>
    </row>
    <row r="78" customFormat="false" ht="24" hidden="false" customHeight="true" outlineLevel="0" collapsed="false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1"/>
      <c r="M78" s="1"/>
      <c r="N78" s="1"/>
    </row>
    <row r="79" customFormat="false" ht="24" hidden="false" customHeight="true" outlineLevel="0" collapsed="false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1"/>
      <c r="M79" s="1"/>
      <c r="N79" s="1"/>
    </row>
    <row r="80" customFormat="false" ht="24" hidden="false" customHeight="true" outlineLevel="0" collapsed="false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1"/>
      <c r="M80" s="1"/>
      <c r="N80" s="1"/>
    </row>
    <row r="81" customFormat="false" ht="24" hidden="false" customHeight="true" outlineLevel="0" collapsed="false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1"/>
      <c r="M81" s="1"/>
      <c r="N81" s="1"/>
    </row>
    <row r="82" customFormat="false" ht="24" hidden="false" customHeight="true" outlineLevel="0" collapsed="false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1"/>
      <c r="M82" s="1"/>
      <c r="N82" s="1"/>
    </row>
    <row r="83" customFormat="false" ht="24" hidden="false" customHeight="true" outlineLevel="0" collapsed="false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1"/>
      <c r="M83" s="1"/>
      <c r="N83" s="1"/>
    </row>
    <row r="84" customFormat="false" ht="24" hidden="false" customHeight="true" outlineLevel="0" collapsed="false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1"/>
      <c r="M84" s="1"/>
      <c r="N84" s="1"/>
    </row>
    <row r="85" customFormat="false" ht="24" hidden="false" customHeight="true" outlineLevel="0" collapsed="false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1"/>
      <c r="M85" s="1"/>
      <c r="N85" s="1"/>
    </row>
    <row r="86" customFormat="false" ht="24" hidden="false" customHeight="true" outlineLevel="0" collapsed="false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1"/>
      <c r="M86" s="1"/>
      <c r="N86" s="1"/>
    </row>
    <row r="87" customFormat="false" ht="24" hidden="false" customHeight="true" outlineLevel="0" collapsed="false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1"/>
      <c r="M87" s="1"/>
      <c r="N87" s="1"/>
    </row>
    <row r="88" customFormat="false" ht="24" hidden="false" customHeight="true" outlineLevel="0" collapsed="false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1"/>
      <c r="M88" s="1"/>
      <c r="N88" s="1"/>
    </row>
    <row r="89" customFormat="false" ht="24" hidden="false" customHeight="true" outlineLevel="0" collapsed="false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1"/>
      <c r="M89" s="1"/>
      <c r="N89" s="1"/>
    </row>
    <row r="90" customFormat="false" ht="24" hidden="false" customHeight="true" outlineLevel="0" collapsed="false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1"/>
      <c r="M90" s="1"/>
      <c r="N9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6"/>
    <col collapsed="false" customWidth="true" hidden="false" outlineLevel="0" max="4" min="4" style="0" width="47"/>
    <col collapsed="false" customWidth="true" hidden="false" outlineLevel="0" max="11" min="5" style="0" width="18"/>
    <col collapsed="false" customWidth="true" hidden="false" outlineLevel="0" max="12" min="12" style="0" width="3"/>
    <col collapsed="false" customWidth="true" hidden="false" outlineLevel="0" max="13" min="13" style="0" width="100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219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6" t="str">
        <f aca="false">Assumptions!E5</f>
        <v>Base</v>
      </c>
      <c r="F4" s="6"/>
      <c r="G4" s="2"/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30" hidden="false" customHeight="true" outlineLevel="0" collapsed="false">
      <c r="A7" s="1"/>
      <c r="B7" s="1"/>
      <c r="C7" s="8" t="s">
        <v>220</v>
      </c>
      <c r="D7" s="8" t="s">
        <v>47</v>
      </c>
      <c r="E7" s="9" t="s">
        <v>4</v>
      </c>
      <c r="F7" s="2"/>
      <c r="G7" s="2"/>
      <c r="H7" s="2"/>
      <c r="I7" s="2"/>
      <c r="J7" s="2"/>
      <c r="K7" s="2"/>
      <c r="L7" s="1"/>
      <c r="M7" s="1"/>
      <c r="N7" s="1"/>
    </row>
    <row r="8" customFormat="false" ht="24" hidden="false" customHeight="true" outlineLevel="0" collapsed="false">
      <c r="A8" s="1"/>
      <c r="B8" s="1"/>
      <c r="C8" s="1" t="s">
        <v>221</v>
      </c>
      <c r="D8" s="1" t="s">
        <v>63</v>
      </c>
      <c r="E8" s="18" t="n">
        <f aca="false">Assumptions!E20</f>
        <v>1830</v>
      </c>
      <c r="F8" s="2"/>
      <c r="G8" s="2"/>
      <c r="H8" s="2"/>
      <c r="I8" s="2"/>
      <c r="J8" s="2"/>
      <c r="K8" s="2"/>
      <c r="L8" s="1"/>
      <c r="M8" s="1"/>
      <c r="N8" s="1"/>
    </row>
    <row r="9" customFormat="false" ht="24" hidden="false" customHeight="true" outlineLevel="0" collapsed="false">
      <c r="A9" s="1"/>
      <c r="B9" s="1"/>
      <c r="C9" s="1" t="s">
        <v>222</v>
      </c>
      <c r="D9" s="1" t="s">
        <v>63</v>
      </c>
      <c r="E9" s="18" t="n">
        <f aca="false">Assumptions!E14</f>
        <v>10000</v>
      </c>
      <c r="F9" s="2"/>
      <c r="G9" s="2"/>
      <c r="H9" s="2"/>
      <c r="I9" s="2"/>
      <c r="J9" s="2"/>
      <c r="K9" s="2"/>
      <c r="L9" s="1"/>
      <c r="M9" s="1"/>
      <c r="N9" s="1"/>
    </row>
    <row r="10" customFormat="false" ht="24" hidden="false" customHeight="true" outlineLevel="0" collapsed="false">
      <c r="A10" s="1"/>
      <c r="B10" s="1"/>
      <c r="C10" s="1" t="s">
        <v>13</v>
      </c>
      <c r="D10" s="1" t="s">
        <v>63</v>
      </c>
      <c r="E10" s="14" t="n">
        <f aca="false">E9-E8</f>
        <v>8170</v>
      </c>
      <c r="F10" s="2"/>
      <c r="G10" s="2"/>
      <c r="H10" s="2"/>
      <c r="I10" s="2"/>
      <c r="J10" s="2"/>
      <c r="K10" s="2"/>
      <c r="L10" s="1"/>
      <c r="M10" s="1"/>
      <c r="N10" s="1"/>
    </row>
    <row r="11" customFormat="false" ht="24" hidden="false" customHeight="true" outlineLevel="0" collapsed="false">
      <c r="A11" s="1"/>
      <c r="B11" s="1"/>
      <c r="C11" s="1" t="s">
        <v>223</v>
      </c>
      <c r="D11" s="1" t="s">
        <v>63</v>
      </c>
      <c r="E11" s="14" t="n">
        <f aca="false">G28</f>
        <v>4921</v>
      </c>
      <c r="F11" s="2"/>
      <c r="G11" s="2"/>
      <c r="H11" s="2"/>
      <c r="I11" s="2"/>
      <c r="J11" s="2"/>
      <c r="K11" s="2"/>
      <c r="L11" s="1"/>
      <c r="M11" s="1" t="s">
        <v>224</v>
      </c>
      <c r="N11" s="1"/>
    </row>
    <row r="12" customFormat="false" ht="24" hidden="false" customHeight="true" outlineLevel="0" collapsed="false">
      <c r="A12" s="1"/>
      <c r="B12" s="1"/>
      <c r="C12" s="1" t="s">
        <v>225</v>
      </c>
      <c r="D12" s="1" t="s">
        <v>226</v>
      </c>
      <c r="E12" s="14" t="n">
        <f aca="false">SUM(D23:D26)</f>
        <v>21</v>
      </c>
      <c r="F12" s="2"/>
      <c r="G12" s="2"/>
      <c r="H12" s="2"/>
      <c r="I12" s="2"/>
      <c r="J12" s="2"/>
      <c r="K12" s="2"/>
      <c r="L12" s="1"/>
      <c r="M12" s="1"/>
      <c r="N12" s="1"/>
    </row>
    <row r="13" customFormat="false" ht="24" hidden="false" customHeight="true" outlineLevel="0" collapsed="false">
      <c r="A13" s="1"/>
      <c r="B13" s="1"/>
      <c r="C13" s="1" t="s">
        <v>227</v>
      </c>
      <c r="D13" s="1" t="s">
        <v>226</v>
      </c>
      <c r="E13" s="14" t="n">
        <f aca="false">D27</f>
        <v>1</v>
      </c>
      <c r="F13" s="2"/>
      <c r="G13" s="2"/>
      <c r="H13" s="2"/>
      <c r="I13" s="2"/>
      <c r="J13" s="2"/>
      <c r="K13" s="2"/>
      <c r="L13" s="1"/>
      <c r="M13" s="1"/>
      <c r="N13" s="1"/>
    </row>
    <row r="14" customFormat="false" ht="24" hidden="false" customHeight="true" outlineLevel="0" collapsed="false">
      <c r="A14" s="1"/>
      <c r="B14" s="1"/>
      <c r="C14" s="1" t="s">
        <v>228</v>
      </c>
      <c r="D14" s="1" t="s">
        <v>229</v>
      </c>
      <c r="E14" s="28" t="n">
        <f aca="false">(E65+E66)/E69</f>
        <v>0.772727272727273</v>
      </c>
      <c r="F14" s="2"/>
      <c r="G14" s="2"/>
      <c r="H14" s="2"/>
      <c r="I14" s="2"/>
      <c r="J14" s="2"/>
      <c r="K14" s="2"/>
      <c r="L14" s="1"/>
      <c r="M14" s="1" t="s">
        <v>230</v>
      </c>
      <c r="N14" s="1"/>
    </row>
    <row r="15" customFormat="false" ht="24" hidden="false" customHeight="true" outlineLevel="0" collapsed="false">
      <c r="A15" s="1"/>
      <c r="B15" s="1"/>
      <c r="C15" s="1" t="s">
        <v>231</v>
      </c>
      <c r="D15" s="1" t="s">
        <v>96</v>
      </c>
      <c r="E15" s="14" t="n">
        <f aca="false">E75</f>
        <v>10</v>
      </c>
      <c r="F15" s="2"/>
      <c r="G15" s="2"/>
      <c r="H15" s="2"/>
      <c r="I15" s="2"/>
      <c r="J15" s="2"/>
      <c r="K15" s="2"/>
      <c r="L15" s="1"/>
      <c r="M15" s="1"/>
      <c r="N15" s="1"/>
    </row>
    <row r="16" customFormat="false" ht="24" hidden="false" customHeight="true" outlineLevel="0" collapsed="false">
      <c r="A16" s="1"/>
      <c r="B16" s="1"/>
      <c r="C16" s="1" t="s">
        <v>232</v>
      </c>
      <c r="D16" s="1" t="s">
        <v>96</v>
      </c>
      <c r="E16" s="14" t="n">
        <f aca="false">E76</f>
        <v>6</v>
      </c>
      <c r="F16" s="2"/>
      <c r="G16" s="2"/>
      <c r="H16" s="2"/>
      <c r="I16" s="2"/>
      <c r="J16" s="2"/>
      <c r="K16" s="2"/>
      <c r="L16" s="1"/>
      <c r="M16" s="1"/>
      <c r="N16" s="1"/>
    </row>
    <row r="17" customFormat="false" ht="24" hidden="false" customHeight="true" outlineLevel="0" collapsed="false">
      <c r="A17" s="1"/>
      <c r="B17" s="1"/>
      <c r="C17" s="1" t="s">
        <v>233</v>
      </c>
      <c r="D17" s="1" t="s">
        <v>229</v>
      </c>
      <c r="E17" s="29" t="n">
        <f aca="false">E9/Assumptions!E21</f>
        <v>0.131578947368421</v>
      </c>
      <c r="F17" s="2"/>
      <c r="G17" s="2"/>
      <c r="H17" s="2"/>
      <c r="I17" s="2"/>
      <c r="J17" s="2"/>
      <c r="K17" s="2"/>
      <c r="L17" s="1"/>
      <c r="M17" s="1" t="s">
        <v>234</v>
      </c>
      <c r="N17" s="1"/>
    </row>
    <row r="18" customFormat="false" ht="24" hidden="false" customHeight="true" outlineLevel="0" collapsed="false">
      <c r="A18" s="1"/>
      <c r="B18" s="1"/>
      <c r="C18" s="1" t="s">
        <v>235</v>
      </c>
      <c r="D18" s="1" t="s">
        <v>236</v>
      </c>
      <c r="E18" s="15" t="n">
        <v>92</v>
      </c>
      <c r="F18" s="2"/>
      <c r="G18" s="2"/>
      <c r="H18" s="2"/>
      <c r="I18" s="2"/>
      <c r="J18" s="2"/>
      <c r="K18" s="2"/>
      <c r="L18" s="1"/>
      <c r="M18" s="1" t="s">
        <v>237</v>
      </c>
      <c r="N18" s="1"/>
    </row>
    <row r="19" customFormat="false" ht="24" hidden="false" customHeight="true" outlineLevel="0" collapsed="false">
      <c r="A19" s="1"/>
      <c r="B19" s="1"/>
      <c r="C19" s="1"/>
      <c r="D19" s="1"/>
      <c r="E19" s="2"/>
      <c r="F19" s="2"/>
      <c r="G19" s="2"/>
      <c r="H19" s="2"/>
      <c r="I19" s="2"/>
      <c r="J19" s="2"/>
      <c r="K19" s="2"/>
      <c r="L19" s="1"/>
      <c r="M19" s="1"/>
      <c r="N19" s="1"/>
    </row>
    <row r="20" customFormat="false" ht="24" hidden="false" customHeight="true" outlineLevel="0" collapsed="false">
      <c r="A20" s="1"/>
      <c r="B20" s="1"/>
      <c r="C20" s="1"/>
      <c r="D20" s="1"/>
      <c r="E20" s="2"/>
      <c r="F20" s="2"/>
      <c r="G20" s="2"/>
      <c r="H20" s="2"/>
      <c r="I20" s="2"/>
      <c r="J20" s="2"/>
      <c r="K20" s="2"/>
      <c r="L20" s="1"/>
      <c r="M20" s="1"/>
      <c r="N20" s="1"/>
    </row>
    <row r="21" customFormat="false" ht="25" hidden="false" customHeight="true" outlineLevel="0" collapsed="false">
      <c r="A21" s="1"/>
      <c r="B21" s="1"/>
      <c r="C21" s="23" t="s">
        <v>238</v>
      </c>
      <c r="D21" s="23"/>
      <c r="E21" s="24"/>
      <c r="F21" s="24"/>
      <c r="G21" s="24"/>
      <c r="H21" s="24"/>
      <c r="I21" s="24"/>
      <c r="J21" s="24"/>
      <c r="K21" s="24"/>
      <c r="L21" s="1"/>
      <c r="M21" s="1"/>
      <c r="N21" s="1"/>
    </row>
    <row r="22" customFormat="false" ht="30" hidden="false" customHeight="true" outlineLevel="0" collapsed="false">
      <c r="A22" s="1"/>
      <c r="B22" s="1"/>
      <c r="C22" s="8" t="s">
        <v>239</v>
      </c>
      <c r="D22" s="8" t="s">
        <v>226</v>
      </c>
      <c r="E22" s="9" t="s">
        <v>240</v>
      </c>
      <c r="F22" s="9" t="s">
        <v>241</v>
      </c>
      <c r="G22" s="9" t="s">
        <v>242</v>
      </c>
      <c r="H22" s="9" t="s">
        <v>243</v>
      </c>
      <c r="I22" s="2"/>
      <c r="J22" s="2"/>
      <c r="K22" s="2"/>
      <c r="L22" s="1"/>
      <c r="M22" s="1" t="s">
        <v>244</v>
      </c>
      <c r="N22" s="1"/>
    </row>
    <row r="23" customFormat="false" ht="24" hidden="false" customHeight="true" outlineLevel="0" collapsed="false">
      <c r="A23" s="1"/>
      <c r="B23" s="1"/>
      <c r="C23" s="1" t="s">
        <v>245</v>
      </c>
      <c r="D23" s="40" t="n">
        <f aca="false">E52</f>
        <v>6</v>
      </c>
      <c r="E23" s="2" t="n">
        <v>1</v>
      </c>
      <c r="F23" s="41" t="n">
        <v>25.5</v>
      </c>
      <c r="G23" s="14" t="n">
        <f aca="false">D23*E23</f>
        <v>6</v>
      </c>
      <c r="H23" s="42" t="n">
        <f aca="false">D23*F23</f>
        <v>153</v>
      </c>
      <c r="I23" s="2"/>
      <c r="J23" s="2"/>
      <c r="K23" s="2"/>
      <c r="L23" s="1"/>
      <c r="M23" s="1"/>
      <c r="N23" s="1"/>
    </row>
    <row r="24" customFormat="false" ht="24" hidden="false" customHeight="true" outlineLevel="0" collapsed="false">
      <c r="A24" s="1"/>
      <c r="B24" s="1"/>
      <c r="C24" s="1" t="s">
        <v>246</v>
      </c>
      <c r="D24" s="40" t="n">
        <f aca="false">E53</f>
        <v>4</v>
      </c>
      <c r="E24" s="2" t="n">
        <v>51</v>
      </c>
      <c r="F24" s="41" t="n">
        <v>75.5</v>
      </c>
      <c r="G24" s="14" t="n">
        <f aca="false">D24*E24</f>
        <v>204</v>
      </c>
      <c r="H24" s="42" t="n">
        <f aca="false">D24*F24</f>
        <v>302</v>
      </c>
      <c r="I24" s="2"/>
      <c r="J24" s="2"/>
      <c r="K24" s="2"/>
      <c r="L24" s="1"/>
      <c r="M24" s="1"/>
      <c r="N24" s="1"/>
    </row>
    <row r="25" customFormat="false" ht="24" hidden="false" customHeight="true" outlineLevel="0" collapsed="false">
      <c r="A25" s="1"/>
      <c r="B25" s="1"/>
      <c r="C25" s="1" t="s">
        <v>247</v>
      </c>
      <c r="D25" s="40" t="n">
        <f aca="false">E54</f>
        <v>7</v>
      </c>
      <c r="E25" s="2" t="n">
        <v>101</v>
      </c>
      <c r="F25" s="41" t="n">
        <v>300.5</v>
      </c>
      <c r="G25" s="14" t="n">
        <f aca="false">D25*E25</f>
        <v>707</v>
      </c>
      <c r="H25" s="42" t="n">
        <f aca="false">D25*F25</f>
        <v>2103.5</v>
      </c>
      <c r="I25" s="2"/>
      <c r="J25" s="2"/>
      <c r="K25" s="2"/>
      <c r="L25" s="1"/>
      <c r="M25" s="1"/>
      <c r="N25" s="1"/>
    </row>
    <row r="26" customFormat="false" ht="24" hidden="false" customHeight="true" outlineLevel="0" collapsed="false">
      <c r="A26" s="1"/>
      <c r="B26" s="1"/>
      <c r="C26" s="1" t="s">
        <v>248</v>
      </c>
      <c r="D26" s="40" t="n">
        <f aca="false">E55</f>
        <v>4</v>
      </c>
      <c r="E26" s="2" t="n">
        <v>1001</v>
      </c>
      <c r="F26" s="41" t="n">
        <v>2000</v>
      </c>
      <c r="G26" s="14" t="n">
        <f aca="false">D26*E26</f>
        <v>4004</v>
      </c>
      <c r="H26" s="42" t="n">
        <f aca="false">D26*F26</f>
        <v>8000</v>
      </c>
      <c r="I26" s="2"/>
      <c r="J26" s="2"/>
      <c r="K26" s="2"/>
      <c r="L26" s="1"/>
      <c r="M26" s="1"/>
      <c r="N26" s="1"/>
    </row>
    <row r="27" customFormat="false" ht="24" hidden="false" customHeight="true" outlineLevel="0" collapsed="false">
      <c r="A27" s="1"/>
      <c r="B27" s="1"/>
      <c r="C27" s="1" t="s">
        <v>249</v>
      </c>
      <c r="D27" s="40" t="n">
        <f aca="false">E56</f>
        <v>1</v>
      </c>
      <c r="E27" s="2"/>
      <c r="F27" s="2"/>
      <c r="G27" s="2"/>
      <c r="H27" s="43"/>
      <c r="I27" s="2"/>
      <c r="J27" s="2"/>
      <c r="K27" s="2"/>
      <c r="L27" s="1"/>
      <c r="M27" s="1"/>
      <c r="N27" s="1"/>
    </row>
    <row r="28" customFormat="false" ht="24" hidden="false" customHeight="true" outlineLevel="0" collapsed="false">
      <c r="A28" s="1"/>
      <c r="B28" s="1"/>
      <c r="C28" s="1" t="s">
        <v>250</v>
      </c>
      <c r="D28" s="1"/>
      <c r="E28" s="2"/>
      <c r="F28" s="2"/>
      <c r="G28" s="14" t="n">
        <f aca="false">SUM(G23:G26)</f>
        <v>4921</v>
      </c>
      <c r="H28" s="42" t="n">
        <f aca="false">SUM(H23:H26)</f>
        <v>10558.5</v>
      </c>
      <c r="I28" s="2"/>
      <c r="J28" s="2"/>
      <c r="K28" s="2"/>
      <c r="L28" s="1"/>
      <c r="M28" s="1"/>
      <c r="N28" s="1"/>
    </row>
    <row r="29" customFormat="false" ht="24" hidden="false" customHeight="true" outlineLevel="0" collapsed="false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1"/>
      <c r="M29" s="1"/>
      <c r="N29" s="1"/>
    </row>
    <row r="30" customFormat="false" ht="24" hidden="false" customHeight="true" outlineLevel="0" collapsed="false">
      <c r="A30" s="1"/>
      <c r="B30" s="1"/>
      <c r="C30" s="7" t="s">
        <v>251</v>
      </c>
      <c r="D30" s="1"/>
      <c r="E30" s="2"/>
      <c r="F30" s="2"/>
      <c r="G30" s="2"/>
      <c r="H30" s="2"/>
      <c r="I30" s="2"/>
      <c r="J30" s="2"/>
      <c r="K30" s="2"/>
      <c r="L30" s="1"/>
      <c r="M30" s="1"/>
      <c r="N30" s="1"/>
    </row>
    <row r="31" customFormat="false" ht="24" hidden="false" customHeight="true" outlineLevel="0" collapsed="false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1"/>
      <c r="M31" s="1"/>
      <c r="N31" s="1"/>
    </row>
    <row r="32" customFormat="false" ht="24" hidden="false" customHeight="true" outlineLevel="0" collapsed="false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1"/>
      <c r="M32" s="1"/>
      <c r="N32" s="1"/>
    </row>
    <row r="33" customFormat="false" ht="25" hidden="false" customHeight="true" outlineLevel="0" collapsed="false">
      <c r="A33" s="1"/>
      <c r="B33" s="1"/>
      <c r="C33" s="23" t="s">
        <v>252</v>
      </c>
      <c r="D33" s="23"/>
      <c r="E33" s="24"/>
      <c r="F33" s="24"/>
      <c r="G33" s="24"/>
      <c r="H33" s="24"/>
      <c r="I33" s="24"/>
      <c r="J33" s="24"/>
      <c r="K33" s="24"/>
      <c r="L33" s="1"/>
      <c r="M33" s="1"/>
      <c r="N33" s="1"/>
    </row>
    <row r="34" customFormat="false" ht="30" hidden="false" customHeight="true" outlineLevel="0" collapsed="false">
      <c r="A34" s="1"/>
      <c r="B34" s="1"/>
      <c r="C34" s="8" t="s">
        <v>253</v>
      </c>
      <c r="D34" s="8" t="s">
        <v>254</v>
      </c>
      <c r="E34" s="9" t="s">
        <v>226</v>
      </c>
      <c r="F34" s="9" t="s">
        <v>255</v>
      </c>
      <c r="G34" s="2"/>
      <c r="H34" s="2"/>
      <c r="I34" s="2"/>
      <c r="J34" s="2"/>
      <c r="K34" s="2"/>
      <c r="L34" s="1"/>
      <c r="M34" s="1" t="s">
        <v>256</v>
      </c>
      <c r="N34" s="1"/>
    </row>
    <row r="35" customFormat="false" ht="55" hidden="false" customHeight="true" outlineLevel="0" collapsed="false">
      <c r="A35" s="1"/>
      <c r="B35" s="1"/>
      <c r="C35" s="44" t="s">
        <v>257</v>
      </c>
      <c r="D35" s="44" t="s">
        <v>258</v>
      </c>
      <c r="E35" s="2" t="n">
        <v>21</v>
      </c>
      <c r="F35" s="45" t="n">
        <v>0.5526</v>
      </c>
      <c r="G35" s="2"/>
      <c r="H35" s="2"/>
      <c r="I35" s="2"/>
      <c r="J35" s="2"/>
      <c r="K35" s="2"/>
      <c r="L35" s="1"/>
      <c r="M35" s="1" t="s">
        <v>259</v>
      </c>
      <c r="N35" s="1"/>
    </row>
    <row r="36" customFormat="false" ht="55" hidden="false" customHeight="true" outlineLevel="0" collapsed="false">
      <c r="A36" s="1"/>
      <c r="B36" s="1"/>
      <c r="C36" s="44" t="s">
        <v>257</v>
      </c>
      <c r="D36" s="44" t="s">
        <v>260</v>
      </c>
      <c r="E36" s="2" t="n">
        <v>10</v>
      </c>
      <c r="F36" s="45" t="n">
        <v>0.2632</v>
      </c>
      <c r="G36" s="2"/>
      <c r="H36" s="2"/>
      <c r="I36" s="2"/>
      <c r="J36" s="2"/>
      <c r="K36" s="2"/>
      <c r="L36" s="1"/>
      <c r="M36" s="1" t="s">
        <v>261</v>
      </c>
      <c r="N36" s="1"/>
    </row>
    <row r="37" customFormat="false" ht="55" hidden="false" customHeight="true" outlineLevel="0" collapsed="false">
      <c r="A37" s="1"/>
      <c r="B37" s="1"/>
      <c r="C37" s="44" t="s">
        <v>257</v>
      </c>
      <c r="D37" s="44" t="s">
        <v>262</v>
      </c>
      <c r="E37" s="2" t="n">
        <v>6</v>
      </c>
      <c r="F37" s="45" t="n">
        <v>0.1579</v>
      </c>
      <c r="G37" s="2"/>
      <c r="H37" s="2"/>
      <c r="I37" s="2"/>
      <c r="J37" s="2"/>
      <c r="K37" s="2"/>
      <c r="L37" s="1"/>
      <c r="M37" s="1" t="s">
        <v>263</v>
      </c>
      <c r="N37" s="1"/>
    </row>
    <row r="38" customFormat="false" ht="55" hidden="false" customHeight="true" outlineLevel="0" collapsed="false">
      <c r="A38" s="1"/>
      <c r="B38" s="1"/>
      <c r="C38" s="44" t="s">
        <v>257</v>
      </c>
      <c r="D38" s="44" t="s">
        <v>264</v>
      </c>
      <c r="E38" s="2" t="n">
        <v>1</v>
      </c>
      <c r="F38" s="45" t="n">
        <v>0.0263</v>
      </c>
      <c r="G38" s="2"/>
      <c r="H38" s="2"/>
      <c r="I38" s="2"/>
      <c r="J38" s="2"/>
      <c r="K38" s="2"/>
      <c r="L38" s="1"/>
      <c r="M38" s="1" t="s">
        <v>265</v>
      </c>
      <c r="N38" s="1"/>
    </row>
    <row r="39" customFormat="false" ht="55" hidden="false" customHeight="true" outlineLevel="0" collapsed="false">
      <c r="A39" s="1"/>
      <c r="B39" s="1"/>
      <c r="C39" s="44" t="s">
        <v>257</v>
      </c>
      <c r="D39" s="44" t="s">
        <v>266</v>
      </c>
      <c r="E39" s="2" t="n">
        <v>38</v>
      </c>
      <c r="F39" s="45" t="n">
        <v>1</v>
      </c>
      <c r="G39" s="2"/>
      <c r="H39" s="2"/>
      <c r="I39" s="2"/>
      <c r="J39" s="2"/>
      <c r="K39" s="2"/>
      <c r="L39" s="1"/>
      <c r="M39" s="1"/>
      <c r="N39" s="1"/>
    </row>
    <row r="40" customFormat="false" ht="55" hidden="false" customHeight="true" outlineLevel="0" collapsed="false">
      <c r="A40" s="1"/>
      <c r="B40" s="1"/>
      <c r="C40" s="44" t="s">
        <v>267</v>
      </c>
      <c r="D40" s="44" t="s">
        <v>268</v>
      </c>
      <c r="E40" s="2" t="n">
        <v>6</v>
      </c>
      <c r="F40" s="45" t="n">
        <v>0.2727</v>
      </c>
      <c r="G40" s="2"/>
      <c r="H40" s="2"/>
      <c r="I40" s="2"/>
      <c r="J40" s="2"/>
      <c r="K40" s="2"/>
      <c r="L40" s="1"/>
      <c r="M40" s="1"/>
      <c r="N40" s="1"/>
    </row>
    <row r="41" customFormat="false" ht="55" hidden="false" customHeight="true" outlineLevel="0" collapsed="false">
      <c r="A41" s="1"/>
      <c r="B41" s="1"/>
      <c r="C41" s="44" t="s">
        <v>267</v>
      </c>
      <c r="D41" s="44" t="s">
        <v>269</v>
      </c>
      <c r="E41" s="2" t="n">
        <v>5</v>
      </c>
      <c r="F41" s="45" t="n">
        <v>0.2273</v>
      </c>
      <c r="G41" s="2"/>
      <c r="H41" s="2"/>
      <c r="I41" s="2"/>
      <c r="J41" s="2"/>
      <c r="K41" s="2"/>
      <c r="L41" s="1"/>
      <c r="M41" s="1"/>
      <c r="N41" s="1"/>
    </row>
    <row r="42" customFormat="false" ht="55" hidden="false" customHeight="true" outlineLevel="0" collapsed="false">
      <c r="A42" s="1"/>
      <c r="B42" s="1"/>
      <c r="C42" s="44" t="s">
        <v>267</v>
      </c>
      <c r="D42" s="44" t="s">
        <v>270</v>
      </c>
      <c r="E42" s="2" t="n">
        <v>2</v>
      </c>
      <c r="F42" s="45" t="n">
        <v>0.0909</v>
      </c>
      <c r="G42" s="2"/>
      <c r="H42" s="2"/>
      <c r="I42" s="2"/>
      <c r="J42" s="2"/>
      <c r="K42" s="2"/>
      <c r="L42" s="1"/>
      <c r="M42" s="1"/>
      <c r="N42" s="1"/>
    </row>
    <row r="43" customFormat="false" ht="55" hidden="false" customHeight="true" outlineLevel="0" collapsed="false">
      <c r="A43" s="1"/>
      <c r="B43" s="1"/>
      <c r="C43" s="44" t="s">
        <v>267</v>
      </c>
      <c r="D43" s="44" t="s">
        <v>249</v>
      </c>
      <c r="E43" s="2" t="n">
        <v>9</v>
      </c>
      <c r="F43" s="45" t="n">
        <v>0.4091</v>
      </c>
      <c r="G43" s="2"/>
      <c r="H43" s="2"/>
      <c r="I43" s="2"/>
      <c r="J43" s="2"/>
      <c r="K43" s="2"/>
      <c r="L43" s="1"/>
      <c r="M43" s="1"/>
      <c r="N43" s="1"/>
    </row>
    <row r="44" customFormat="false" ht="55" hidden="false" customHeight="true" outlineLevel="0" collapsed="false">
      <c r="A44" s="1"/>
      <c r="B44" s="1"/>
      <c r="C44" s="44" t="s">
        <v>267</v>
      </c>
      <c r="D44" s="44" t="s">
        <v>266</v>
      </c>
      <c r="E44" s="2" t="n">
        <v>22</v>
      </c>
      <c r="F44" s="45" t="n">
        <v>1</v>
      </c>
      <c r="G44" s="2"/>
      <c r="H44" s="2"/>
      <c r="I44" s="2"/>
      <c r="J44" s="2"/>
      <c r="K44" s="2"/>
      <c r="L44" s="1"/>
      <c r="M44" s="1"/>
      <c r="N44" s="1"/>
    </row>
    <row r="45" customFormat="false" ht="55" hidden="false" customHeight="true" outlineLevel="0" collapsed="false">
      <c r="A45" s="1"/>
      <c r="B45" s="1"/>
      <c r="C45" s="44" t="s">
        <v>271</v>
      </c>
      <c r="D45" s="44" t="s">
        <v>272</v>
      </c>
      <c r="E45" s="2" t="n">
        <v>2</v>
      </c>
      <c r="F45" s="45"/>
      <c r="G45" s="2"/>
      <c r="H45" s="2"/>
      <c r="I45" s="2"/>
      <c r="J45" s="2"/>
      <c r="K45" s="2"/>
      <c r="L45" s="1"/>
      <c r="M45" s="1"/>
      <c r="N45" s="1"/>
    </row>
    <row r="46" customFormat="false" ht="55" hidden="false" customHeight="true" outlineLevel="0" collapsed="false">
      <c r="A46" s="1"/>
      <c r="B46" s="1"/>
      <c r="C46" s="44" t="s">
        <v>271</v>
      </c>
      <c r="D46" s="44" t="s">
        <v>273</v>
      </c>
      <c r="E46" s="2" t="n">
        <v>2</v>
      </c>
      <c r="F46" s="45"/>
      <c r="G46" s="2"/>
      <c r="H46" s="2"/>
      <c r="I46" s="2"/>
      <c r="J46" s="2"/>
      <c r="K46" s="2"/>
      <c r="L46" s="1"/>
      <c r="M46" s="1"/>
      <c r="N46" s="1"/>
    </row>
    <row r="47" customFormat="false" ht="55" hidden="false" customHeight="true" outlineLevel="0" collapsed="false">
      <c r="A47" s="1"/>
      <c r="B47" s="1"/>
      <c r="C47" s="44" t="s">
        <v>271</v>
      </c>
      <c r="D47" s="44" t="s">
        <v>274</v>
      </c>
      <c r="E47" s="2" t="n">
        <v>1</v>
      </c>
      <c r="F47" s="45"/>
      <c r="G47" s="2"/>
      <c r="H47" s="2"/>
      <c r="I47" s="2"/>
      <c r="J47" s="2"/>
      <c r="K47" s="2"/>
      <c r="L47" s="1"/>
      <c r="M47" s="1"/>
      <c r="N47" s="1"/>
    </row>
    <row r="48" customFormat="false" ht="55" hidden="false" customHeight="true" outlineLevel="0" collapsed="false">
      <c r="A48" s="1"/>
      <c r="B48" s="1"/>
      <c r="C48" s="44" t="s">
        <v>271</v>
      </c>
      <c r="D48" s="44" t="s">
        <v>275</v>
      </c>
      <c r="E48" s="2" t="n">
        <v>1</v>
      </c>
      <c r="F48" s="45"/>
      <c r="G48" s="2"/>
      <c r="H48" s="2"/>
      <c r="I48" s="2"/>
      <c r="J48" s="2"/>
      <c r="K48" s="2"/>
      <c r="L48" s="1"/>
      <c r="M48" s="1"/>
      <c r="N48" s="1"/>
    </row>
    <row r="49" customFormat="false" ht="55" hidden="false" customHeight="true" outlineLevel="0" collapsed="false">
      <c r="A49" s="1"/>
      <c r="B49" s="1"/>
      <c r="C49" s="44" t="s">
        <v>271</v>
      </c>
      <c r="D49" s="44" t="s">
        <v>276</v>
      </c>
      <c r="E49" s="2" t="n">
        <v>1</v>
      </c>
      <c r="F49" s="45"/>
      <c r="G49" s="2"/>
      <c r="H49" s="2"/>
      <c r="I49" s="2"/>
      <c r="J49" s="2"/>
      <c r="K49" s="2"/>
      <c r="L49" s="1"/>
      <c r="M49" s="1"/>
      <c r="N49" s="1"/>
    </row>
    <row r="50" customFormat="false" ht="55" hidden="false" customHeight="true" outlineLevel="0" collapsed="false">
      <c r="A50" s="1"/>
      <c r="B50" s="1"/>
      <c r="C50" s="44" t="s">
        <v>271</v>
      </c>
      <c r="D50" s="44" t="s">
        <v>277</v>
      </c>
      <c r="E50" s="2" t="n">
        <v>1</v>
      </c>
      <c r="F50" s="45"/>
      <c r="G50" s="2"/>
      <c r="H50" s="2"/>
      <c r="I50" s="2"/>
      <c r="J50" s="2"/>
      <c r="K50" s="2"/>
      <c r="L50" s="1"/>
      <c r="M50" s="1"/>
      <c r="N50" s="1"/>
    </row>
    <row r="51" customFormat="false" ht="55" hidden="false" customHeight="true" outlineLevel="0" collapsed="false">
      <c r="A51" s="1"/>
      <c r="B51" s="1"/>
      <c r="C51" s="44" t="s">
        <v>271</v>
      </c>
      <c r="D51" s="44" t="s">
        <v>278</v>
      </c>
      <c r="E51" s="2" t="n">
        <v>1</v>
      </c>
      <c r="F51" s="45"/>
      <c r="G51" s="2"/>
      <c r="H51" s="2"/>
      <c r="I51" s="2"/>
      <c r="J51" s="2"/>
      <c r="K51" s="2"/>
      <c r="L51" s="1"/>
      <c r="M51" s="1"/>
      <c r="N51" s="1"/>
    </row>
    <row r="52" customFormat="false" ht="55" hidden="false" customHeight="true" outlineLevel="0" collapsed="false">
      <c r="A52" s="1"/>
      <c r="B52" s="1"/>
      <c r="C52" s="44" t="s">
        <v>279</v>
      </c>
      <c r="D52" s="44" t="s">
        <v>280</v>
      </c>
      <c r="E52" s="2" t="n">
        <v>6</v>
      </c>
      <c r="F52" s="45" t="n">
        <v>0.2727</v>
      </c>
      <c r="G52" s="2"/>
      <c r="H52" s="2"/>
      <c r="I52" s="2"/>
      <c r="J52" s="2"/>
      <c r="K52" s="2"/>
      <c r="L52" s="1"/>
      <c r="M52" s="1"/>
      <c r="N52" s="1"/>
    </row>
    <row r="53" customFormat="false" ht="55" hidden="false" customHeight="true" outlineLevel="0" collapsed="false">
      <c r="A53" s="1"/>
      <c r="B53" s="1"/>
      <c r="C53" s="44" t="s">
        <v>279</v>
      </c>
      <c r="D53" s="44" t="s">
        <v>281</v>
      </c>
      <c r="E53" s="2" t="n">
        <v>4</v>
      </c>
      <c r="F53" s="45" t="n">
        <v>0.1818</v>
      </c>
      <c r="G53" s="2"/>
      <c r="H53" s="2"/>
      <c r="I53" s="2"/>
      <c r="J53" s="2"/>
      <c r="K53" s="2"/>
      <c r="L53" s="1"/>
      <c r="M53" s="1"/>
      <c r="N53" s="1"/>
    </row>
    <row r="54" customFormat="false" ht="55" hidden="false" customHeight="true" outlineLevel="0" collapsed="false">
      <c r="A54" s="1"/>
      <c r="B54" s="1"/>
      <c r="C54" s="44" t="s">
        <v>279</v>
      </c>
      <c r="D54" s="44" t="s">
        <v>282</v>
      </c>
      <c r="E54" s="2" t="n">
        <v>7</v>
      </c>
      <c r="F54" s="45" t="n">
        <v>0.3182</v>
      </c>
      <c r="G54" s="2"/>
      <c r="H54" s="2"/>
      <c r="I54" s="2"/>
      <c r="J54" s="2"/>
      <c r="K54" s="2"/>
      <c r="L54" s="1"/>
      <c r="M54" s="1"/>
      <c r="N54" s="1"/>
    </row>
    <row r="55" customFormat="false" ht="55" hidden="false" customHeight="true" outlineLevel="0" collapsed="false">
      <c r="A55" s="1"/>
      <c r="B55" s="1"/>
      <c r="C55" s="44" t="s">
        <v>279</v>
      </c>
      <c r="D55" s="44" t="s">
        <v>283</v>
      </c>
      <c r="E55" s="2" t="n">
        <v>4</v>
      </c>
      <c r="F55" s="45" t="n">
        <v>0.1818</v>
      </c>
      <c r="G55" s="2"/>
      <c r="H55" s="2"/>
      <c r="I55" s="2"/>
      <c r="J55" s="2"/>
      <c r="K55" s="2"/>
      <c r="L55" s="1"/>
      <c r="M55" s="1"/>
      <c r="N55" s="1"/>
    </row>
    <row r="56" customFormat="false" ht="55" hidden="false" customHeight="true" outlineLevel="0" collapsed="false">
      <c r="A56" s="1"/>
      <c r="B56" s="1"/>
      <c r="C56" s="44" t="s">
        <v>279</v>
      </c>
      <c r="D56" s="44" t="s">
        <v>249</v>
      </c>
      <c r="E56" s="2" t="n">
        <v>1</v>
      </c>
      <c r="F56" s="45" t="n">
        <v>0.0455</v>
      </c>
      <c r="G56" s="2"/>
      <c r="H56" s="2"/>
      <c r="I56" s="2"/>
      <c r="J56" s="2"/>
      <c r="K56" s="2"/>
      <c r="L56" s="1"/>
      <c r="M56" s="1"/>
      <c r="N56" s="1"/>
    </row>
    <row r="57" customFormat="false" ht="55" hidden="false" customHeight="true" outlineLevel="0" collapsed="false">
      <c r="A57" s="1"/>
      <c r="B57" s="1"/>
      <c r="C57" s="44" t="s">
        <v>279</v>
      </c>
      <c r="D57" s="44" t="s">
        <v>266</v>
      </c>
      <c r="E57" s="2" t="n">
        <v>22</v>
      </c>
      <c r="F57" s="45" t="n">
        <v>1</v>
      </c>
      <c r="G57" s="2"/>
      <c r="H57" s="2"/>
      <c r="I57" s="2"/>
      <c r="J57" s="2"/>
      <c r="K57" s="2"/>
      <c r="L57" s="1"/>
      <c r="M57" s="1"/>
      <c r="N57" s="1"/>
    </row>
    <row r="58" customFormat="false" ht="55" hidden="false" customHeight="true" outlineLevel="0" collapsed="false">
      <c r="A58" s="1"/>
      <c r="B58" s="1"/>
      <c r="C58" s="44" t="s">
        <v>284</v>
      </c>
      <c r="D58" s="44" t="s">
        <v>285</v>
      </c>
      <c r="E58" s="2" t="n">
        <v>7</v>
      </c>
      <c r="F58" s="45" t="n">
        <v>0.3182</v>
      </c>
      <c r="G58" s="2"/>
      <c r="H58" s="2"/>
      <c r="I58" s="2"/>
      <c r="J58" s="2"/>
      <c r="K58" s="2"/>
      <c r="L58" s="1"/>
      <c r="M58" s="1"/>
      <c r="N58" s="1"/>
    </row>
    <row r="59" customFormat="false" ht="55" hidden="false" customHeight="true" outlineLevel="0" collapsed="false">
      <c r="A59" s="1"/>
      <c r="B59" s="1"/>
      <c r="C59" s="44" t="s">
        <v>284</v>
      </c>
      <c r="D59" s="44" t="s">
        <v>286</v>
      </c>
      <c r="E59" s="2" t="n">
        <v>6</v>
      </c>
      <c r="F59" s="45" t="n">
        <v>0.2727</v>
      </c>
      <c r="G59" s="2"/>
      <c r="H59" s="2"/>
      <c r="I59" s="2"/>
      <c r="J59" s="2"/>
      <c r="K59" s="2"/>
      <c r="L59" s="1"/>
      <c r="M59" s="1"/>
      <c r="N59" s="1"/>
    </row>
    <row r="60" customFormat="false" ht="55" hidden="false" customHeight="true" outlineLevel="0" collapsed="false">
      <c r="A60" s="1"/>
      <c r="B60" s="1"/>
      <c r="C60" s="44" t="s">
        <v>284</v>
      </c>
      <c r="D60" s="44" t="s">
        <v>287</v>
      </c>
      <c r="E60" s="2" t="n">
        <v>6</v>
      </c>
      <c r="F60" s="45" t="n">
        <v>0.2727</v>
      </c>
      <c r="G60" s="2"/>
      <c r="H60" s="2"/>
      <c r="I60" s="2"/>
      <c r="J60" s="2"/>
      <c r="K60" s="2"/>
      <c r="L60" s="1"/>
      <c r="M60" s="1"/>
      <c r="N60" s="1"/>
    </row>
    <row r="61" customFormat="false" ht="55" hidden="false" customHeight="true" outlineLevel="0" collapsed="false">
      <c r="A61" s="1"/>
      <c r="B61" s="1"/>
      <c r="C61" s="44" t="s">
        <v>284</v>
      </c>
      <c r="D61" s="44" t="s">
        <v>288</v>
      </c>
      <c r="E61" s="2" t="n">
        <v>1</v>
      </c>
      <c r="F61" s="45" t="n">
        <v>0.0455</v>
      </c>
      <c r="G61" s="2"/>
      <c r="H61" s="2"/>
      <c r="I61" s="2"/>
      <c r="J61" s="2"/>
      <c r="K61" s="2"/>
      <c r="L61" s="1"/>
      <c r="M61" s="1"/>
      <c r="N61" s="1"/>
    </row>
    <row r="62" customFormat="false" ht="55" hidden="false" customHeight="true" outlineLevel="0" collapsed="false">
      <c r="A62" s="1"/>
      <c r="B62" s="1"/>
      <c r="C62" s="44" t="s">
        <v>284</v>
      </c>
      <c r="D62" s="44" t="s">
        <v>289</v>
      </c>
      <c r="E62" s="2" t="n">
        <v>1</v>
      </c>
      <c r="F62" s="45" t="n">
        <v>0.0455</v>
      </c>
      <c r="G62" s="2"/>
      <c r="H62" s="2"/>
      <c r="I62" s="2"/>
      <c r="J62" s="2"/>
      <c r="K62" s="2"/>
      <c r="L62" s="1"/>
      <c r="M62" s="1"/>
      <c r="N62" s="1"/>
    </row>
    <row r="63" customFormat="false" ht="55" hidden="false" customHeight="true" outlineLevel="0" collapsed="false">
      <c r="A63" s="1"/>
      <c r="B63" s="1"/>
      <c r="C63" s="44" t="s">
        <v>284</v>
      </c>
      <c r="D63" s="44" t="s">
        <v>290</v>
      </c>
      <c r="E63" s="2" t="n">
        <v>1</v>
      </c>
      <c r="F63" s="45" t="n">
        <v>0.0455</v>
      </c>
      <c r="G63" s="2"/>
      <c r="H63" s="2"/>
      <c r="I63" s="2"/>
      <c r="J63" s="2"/>
      <c r="K63" s="2"/>
      <c r="L63" s="1"/>
      <c r="M63" s="1"/>
      <c r="N63" s="1"/>
    </row>
    <row r="64" customFormat="false" ht="55" hidden="false" customHeight="true" outlineLevel="0" collapsed="false">
      <c r="A64" s="1"/>
      <c r="B64" s="1"/>
      <c r="C64" s="44" t="s">
        <v>284</v>
      </c>
      <c r="D64" s="44" t="s">
        <v>266</v>
      </c>
      <c r="E64" s="2" t="n">
        <v>22</v>
      </c>
      <c r="F64" s="45" t="n">
        <v>1</v>
      </c>
      <c r="G64" s="2"/>
      <c r="H64" s="2"/>
      <c r="I64" s="2"/>
      <c r="J64" s="2"/>
      <c r="K64" s="2"/>
      <c r="L64" s="1"/>
      <c r="M64" s="1"/>
      <c r="N64" s="1"/>
    </row>
    <row r="65" customFormat="false" ht="55" hidden="false" customHeight="true" outlineLevel="0" collapsed="false">
      <c r="A65" s="1"/>
      <c r="B65" s="1"/>
      <c r="C65" s="44" t="s">
        <v>291</v>
      </c>
      <c r="D65" s="44" t="s">
        <v>292</v>
      </c>
      <c r="E65" s="2" t="n">
        <v>11</v>
      </c>
      <c r="F65" s="45" t="n">
        <v>0.5</v>
      </c>
      <c r="G65" s="2"/>
      <c r="H65" s="2"/>
      <c r="I65" s="2"/>
      <c r="J65" s="2"/>
      <c r="K65" s="2"/>
      <c r="L65" s="1"/>
      <c r="M65" s="1"/>
      <c r="N65" s="1"/>
    </row>
    <row r="66" customFormat="false" ht="55" hidden="false" customHeight="true" outlineLevel="0" collapsed="false">
      <c r="A66" s="1"/>
      <c r="B66" s="1"/>
      <c r="C66" s="44" t="s">
        <v>291</v>
      </c>
      <c r="D66" s="44" t="s">
        <v>293</v>
      </c>
      <c r="E66" s="2" t="n">
        <v>6</v>
      </c>
      <c r="F66" s="45" t="n">
        <v>0.2727</v>
      </c>
      <c r="G66" s="2"/>
      <c r="H66" s="2"/>
      <c r="I66" s="2"/>
      <c r="J66" s="2"/>
      <c r="K66" s="2"/>
      <c r="L66" s="1"/>
      <c r="M66" s="1"/>
      <c r="N66" s="1"/>
    </row>
    <row r="67" customFormat="false" ht="55" hidden="false" customHeight="true" outlineLevel="0" collapsed="false">
      <c r="A67" s="1"/>
      <c r="B67" s="1"/>
      <c r="C67" s="44" t="s">
        <v>291</v>
      </c>
      <c r="D67" s="44" t="s">
        <v>294</v>
      </c>
      <c r="E67" s="2" t="n">
        <v>1</v>
      </c>
      <c r="F67" s="45" t="n">
        <v>0.0455</v>
      </c>
      <c r="G67" s="2"/>
      <c r="H67" s="2"/>
      <c r="I67" s="2"/>
      <c r="J67" s="2"/>
      <c r="K67" s="2"/>
      <c r="L67" s="1"/>
      <c r="M67" s="1"/>
      <c r="N67" s="1"/>
    </row>
    <row r="68" customFormat="false" ht="55" hidden="false" customHeight="true" outlineLevel="0" collapsed="false">
      <c r="A68" s="1"/>
      <c r="B68" s="1"/>
      <c r="C68" s="44" t="s">
        <v>291</v>
      </c>
      <c r="D68" s="44" t="s">
        <v>295</v>
      </c>
      <c r="E68" s="2" t="n">
        <v>4</v>
      </c>
      <c r="F68" s="45" t="n">
        <v>0.1818</v>
      </c>
      <c r="G68" s="2"/>
      <c r="H68" s="2"/>
      <c r="I68" s="2"/>
      <c r="J68" s="2"/>
      <c r="K68" s="2"/>
      <c r="L68" s="1"/>
      <c r="M68" s="1"/>
      <c r="N68" s="1"/>
    </row>
    <row r="69" customFormat="false" ht="55" hidden="false" customHeight="true" outlineLevel="0" collapsed="false">
      <c r="A69" s="1"/>
      <c r="B69" s="1"/>
      <c r="C69" s="44" t="s">
        <v>291</v>
      </c>
      <c r="D69" s="44" t="s">
        <v>266</v>
      </c>
      <c r="E69" s="2" t="n">
        <v>22</v>
      </c>
      <c r="F69" s="45" t="n">
        <v>1</v>
      </c>
      <c r="G69" s="2"/>
      <c r="H69" s="2"/>
      <c r="I69" s="2"/>
      <c r="J69" s="2"/>
      <c r="K69" s="2"/>
      <c r="L69" s="1"/>
      <c r="M69" s="1"/>
      <c r="N69" s="1"/>
    </row>
    <row r="70" customFormat="false" ht="55" hidden="false" customHeight="true" outlineLevel="0" collapsed="false">
      <c r="A70" s="1"/>
      <c r="B70" s="1"/>
      <c r="C70" s="44" t="s">
        <v>296</v>
      </c>
      <c r="D70" s="44" t="s">
        <v>297</v>
      </c>
      <c r="E70" s="2" t="n">
        <v>13</v>
      </c>
      <c r="F70" s="45" t="n">
        <v>0.7647</v>
      </c>
      <c r="G70" s="2"/>
      <c r="H70" s="2"/>
      <c r="I70" s="2"/>
      <c r="J70" s="2"/>
      <c r="K70" s="2"/>
      <c r="L70" s="1"/>
      <c r="M70" s="1"/>
      <c r="N70" s="1"/>
    </row>
    <row r="71" customFormat="false" ht="55" hidden="false" customHeight="true" outlineLevel="0" collapsed="false">
      <c r="A71" s="1"/>
      <c r="B71" s="1"/>
      <c r="C71" s="44" t="s">
        <v>296</v>
      </c>
      <c r="D71" s="44" t="s">
        <v>298</v>
      </c>
      <c r="E71" s="2" t="n">
        <v>10</v>
      </c>
      <c r="F71" s="45" t="n">
        <v>0.5882</v>
      </c>
      <c r="G71" s="2"/>
      <c r="H71" s="2"/>
      <c r="I71" s="2"/>
      <c r="J71" s="2"/>
      <c r="K71" s="2"/>
      <c r="L71" s="1"/>
      <c r="M71" s="1"/>
      <c r="N71" s="1"/>
    </row>
    <row r="72" customFormat="false" ht="55" hidden="false" customHeight="true" outlineLevel="0" collapsed="false">
      <c r="A72" s="1"/>
      <c r="B72" s="1"/>
      <c r="C72" s="44" t="s">
        <v>296</v>
      </c>
      <c r="D72" s="44" t="s">
        <v>299</v>
      </c>
      <c r="E72" s="2" t="n">
        <v>10</v>
      </c>
      <c r="F72" s="45" t="n">
        <v>0.5882</v>
      </c>
      <c r="G72" s="2"/>
      <c r="H72" s="2"/>
      <c r="I72" s="2"/>
      <c r="J72" s="2"/>
      <c r="K72" s="2"/>
      <c r="L72" s="1"/>
      <c r="M72" s="1"/>
      <c r="N72" s="1"/>
    </row>
    <row r="73" customFormat="false" ht="55" hidden="false" customHeight="true" outlineLevel="0" collapsed="false">
      <c r="A73" s="1"/>
      <c r="B73" s="1"/>
      <c r="C73" s="44" t="s">
        <v>296</v>
      </c>
      <c r="D73" s="44" t="s">
        <v>300</v>
      </c>
      <c r="E73" s="2" t="n">
        <v>9</v>
      </c>
      <c r="F73" s="45" t="n">
        <v>0.5294</v>
      </c>
      <c r="G73" s="2"/>
      <c r="H73" s="2"/>
      <c r="I73" s="2"/>
      <c r="J73" s="2"/>
      <c r="K73" s="2"/>
      <c r="L73" s="1"/>
      <c r="M73" s="1"/>
      <c r="N73" s="1"/>
    </row>
    <row r="74" customFormat="false" ht="55" hidden="false" customHeight="true" outlineLevel="0" collapsed="false">
      <c r="A74" s="1"/>
      <c r="B74" s="1"/>
      <c r="C74" s="44" t="s">
        <v>296</v>
      </c>
      <c r="D74" s="44" t="s">
        <v>249</v>
      </c>
      <c r="E74" s="2" t="n">
        <v>0</v>
      </c>
      <c r="F74" s="45" t="n">
        <v>0</v>
      </c>
      <c r="G74" s="2"/>
      <c r="H74" s="2"/>
      <c r="I74" s="2"/>
      <c r="J74" s="2"/>
      <c r="K74" s="2"/>
      <c r="L74" s="1"/>
      <c r="M74" s="1"/>
      <c r="N74" s="1"/>
    </row>
    <row r="75" customFormat="false" ht="55" hidden="false" customHeight="true" outlineLevel="0" collapsed="false">
      <c r="A75" s="1"/>
      <c r="B75" s="1"/>
      <c r="C75" s="44" t="s">
        <v>301</v>
      </c>
      <c r="D75" s="44" t="s">
        <v>302</v>
      </c>
      <c r="E75" s="2" t="n">
        <v>10</v>
      </c>
      <c r="F75" s="45" t="n">
        <v>0.625</v>
      </c>
      <c r="G75" s="2"/>
      <c r="H75" s="2"/>
      <c r="I75" s="2"/>
      <c r="J75" s="2"/>
      <c r="K75" s="2"/>
      <c r="L75" s="1"/>
      <c r="M75" s="1"/>
      <c r="N75" s="1"/>
    </row>
    <row r="76" customFormat="false" ht="55" hidden="false" customHeight="true" outlineLevel="0" collapsed="false">
      <c r="A76" s="1"/>
      <c r="B76" s="1"/>
      <c r="C76" s="44" t="s">
        <v>301</v>
      </c>
      <c r="D76" s="44" t="s">
        <v>303</v>
      </c>
      <c r="E76" s="2" t="n">
        <v>6</v>
      </c>
      <c r="F76" s="45" t="n">
        <v>0.375</v>
      </c>
      <c r="G76" s="2"/>
      <c r="H76" s="2"/>
      <c r="I76" s="2"/>
      <c r="J76" s="2"/>
      <c r="K76" s="2"/>
      <c r="L76" s="1"/>
      <c r="M76" s="1"/>
      <c r="N76" s="1"/>
    </row>
    <row r="77" customFormat="false" ht="55" hidden="false" customHeight="true" outlineLevel="0" collapsed="false">
      <c r="A77" s="1"/>
      <c r="B77" s="1"/>
      <c r="C77" s="44" t="s">
        <v>301</v>
      </c>
      <c r="D77" s="44" t="s">
        <v>304</v>
      </c>
      <c r="E77" s="2" t="n">
        <v>16</v>
      </c>
      <c r="F77" s="45" t="n">
        <v>1</v>
      </c>
      <c r="G77" s="2"/>
      <c r="H77" s="2"/>
      <c r="I77" s="2"/>
      <c r="J77" s="2"/>
      <c r="K77" s="2"/>
      <c r="L77" s="1"/>
      <c r="M77" s="1"/>
      <c r="N77" s="1"/>
    </row>
    <row r="78" customFormat="false" ht="55" hidden="false" customHeight="true" outlineLevel="0" collapsed="false">
      <c r="A78" s="1"/>
      <c r="B78" s="1"/>
      <c r="C78" s="44" t="s">
        <v>305</v>
      </c>
      <c r="D78" s="44" t="s">
        <v>306</v>
      </c>
      <c r="E78" s="2" t="n">
        <v>26</v>
      </c>
      <c r="F78" s="45" t="n">
        <v>0.6842</v>
      </c>
      <c r="G78" s="2"/>
      <c r="H78" s="2"/>
      <c r="I78" s="2"/>
      <c r="J78" s="2"/>
      <c r="K78" s="2"/>
      <c r="L78" s="1"/>
      <c r="M78" s="1"/>
      <c r="N78" s="1"/>
    </row>
    <row r="79" customFormat="false" ht="55" hidden="false" customHeight="true" outlineLevel="0" collapsed="false">
      <c r="A79" s="1"/>
      <c r="B79" s="1"/>
      <c r="C79" s="44" t="s">
        <v>305</v>
      </c>
      <c r="D79" s="44" t="s">
        <v>307</v>
      </c>
      <c r="E79" s="2" t="n">
        <v>10</v>
      </c>
      <c r="F79" s="45" t="n">
        <v>0.2632</v>
      </c>
      <c r="G79" s="2"/>
      <c r="H79" s="2"/>
      <c r="I79" s="2"/>
      <c r="J79" s="2"/>
      <c r="K79" s="2"/>
      <c r="L79" s="1"/>
      <c r="M79" s="1"/>
      <c r="N79" s="1"/>
    </row>
    <row r="80" customFormat="false" ht="55" hidden="false" customHeight="true" outlineLevel="0" collapsed="false">
      <c r="A80" s="1"/>
      <c r="B80" s="1"/>
      <c r="C80" s="44" t="s">
        <v>305</v>
      </c>
      <c r="D80" s="44" t="s">
        <v>308</v>
      </c>
      <c r="E80" s="2" t="n">
        <v>2</v>
      </c>
      <c r="F80" s="45" t="n">
        <v>0.0526</v>
      </c>
      <c r="G80" s="2"/>
      <c r="H80" s="2"/>
      <c r="I80" s="2"/>
      <c r="J80" s="2"/>
      <c r="K80" s="2"/>
      <c r="L80" s="1"/>
      <c r="M80" s="1"/>
      <c r="N80" s="1"/>
    </row>
    <row r="81" customFormat="false" ht="55" hidden="false" customHeight="true" outlineLevel="0" collapsed="false">
      <c r="A81" s="1"/>
      <c r="B81" s="1"/>
      <c r="C81" s="44" t="s">
        <v>305</v>
      </c>
      <c r="D81" s="44" t="s">
        <v>266</v>
      </c>
      <c r="E81" s="2" t="n">
        <v>38</v>
      </c>
      <c r="F81" s="45" t="n">
        <v>1</v>
      </c>
      <c r="G81" s="2"/>
      <c r="H81" s="2"/>
      <c r="I81" s="2"/>
      <c r="J81" s="2"/>
      <c r="K81" s="2"/>
      <c r="L81" s="1"/>
      <c r="M81" s="1"/>
      <c r="N81" s="1"/>
    </row>
    <row r="82" customFormat="false" ht="24" hidden="false" customHeight="true" outlineLevel="0" collapsed="false">
      <c r="A82" s="1"/>
      <c r="B82" s="1"/>
      <c r="C82" s="1"/>
      <c r="D82" s="1"/>
      <c r="E82" s="2"/>
      <c r="F82" s="10"/>
      <c r="G82" s="2"/>
      <c r="H82" s="2"/>
      <c r="I82" s="2"/>
      <c r="J82" s="2"/>
      <c r="K82" s="2"/>
      <c r="L82" s="1"/>
      <c r="M82" s="1"/>
      <c r="N82" s="1"/>
    </row>
    <row r="83" customFormat="false" ht="24" hidden="false" customHeight="true" outlineLevel="0" collapsed="false">
      <c r="A83" s="1"/>
      <c r="B83" s="1"/>
      <c r="C83" s="1"/>
      <c r="D83" s="1"/>
      <c r="E83" s="2"/>
      <c r="F83" s="10"/>
      <c r="G83" s="2"/>
      <c r="H83" s="2"/>
      <c r="I83" s="2"/>
      <c r="J83" s="2"/>
      <c r="K83" s="2"/>
      <c r="L83" s="1"/>
      <c r="M83" s="1"/>
      <c r="N83" s="1"/>
    </row>
    <row r="84" customFormat="false" ht="24" hidden="false" customHeight="true" outlineLevel="0" collapsed="false">
      <c r="A84" s="1"/>
      <c r="B84" s="1"/>
      <c r="C84" s="1"/>
      <c r="D84" s="1"/>
      <c r="E84" s="2"/>
      <c r="F84" s="10"/>
      <c r="G84" s="2"/>
      <c r="H84" s="2"/>
      <c r="I84" s="2"/>
      <c r="J84" s="2"/>
      <c r="K84" s="2"/>
      <c r="L84" s="1"/>
      <c r="M84" s="1"/>
      <c r="N84" s="1"/>
    </row>
    <row r="85" customFormat="false" ht="24" hidden="false" customHeight="true" outlineLevel="0" collapsed="false">
      <c r="A85" s="1"/>
      <c r="B85" s="1"/>
      <c r="C85" s="1"/>
      <c r="D85" s="1"/>
      <c r="E85" s="2"/>
      <c r="F85" s="10"/>
      <c r="G85" s="2"/>
      <c r="H85" s="2"/>
      <c r="I85" s="2"/>
      <c r="J85" s="2"/>
      <c r="K85" s="2"/>
      <c r="L85" s="1"/>
      <c r="M85" s="1"/>
      <c r="N85" s="1"/>
    </row>
    <row r="86" customFormat="false" ht="24" hidden="false" customHeight="true" outlineLevel="0" collapsed="false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1"/>
      <c r="M86" s="1"/>
      <c r="N86" s="1"/>
    </row>
    <row r="87" customFormat="false" ht="24" hidden="false" customHeight="true" outlineLevel="0" collapsed="false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1"/>
      <c r="M87" s="1"/>
      <c r="N87" s="1"/>
    </row>
    <row r="88" customFormat="false" ht="24" hidden="false" customHeight="true" outlineLevel="0" collapsed="false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1"/>
      <c r="M88" s="1"/>
      <c r="N88" s="1"/>
    </row>
    <row r="89" customFormat="false" ht="24" hidden="false" customHeight="true" outlineLevel="0" collapsed="false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1"/>
      <c r="M89" s="1"/>
      <c r="N89" s="1"/>
    </row>
    <row r="90" customFormat="false" ht="24" hidden="false" customHeight="true" outlineLevel="0" collapsed="false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1"/>
      <c r="M90" s="1"/>
      <c r="N90" s="1"/>
    </row>
    <row r="91" customFormat="false" ht="24" hidden="false" customHeight="true" outlineLevel="0" collapsed="false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1"/>
      <c r="M91" s="1"/>
      <c r="N91" s="1"/>
    </row>
    <row r="92" customFormat="false" ht="24" hidden="false" customHeight="true" outlineLevel="0" collapsed="false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1"/>
      <c r="M92" s="1"/>
      <c r="N92" s="1"/>
    </row>
    <row r="93" customFormat="false" ht="24" hidden="false" customHeight="true" outlineLevel="0" collapsed="false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1"/>
      <c r="M93" s="1"/>
      <c r="N93" s="1"/>
    </row>
    <row r="94" customFormat="false" ht="24" hidden="false" customHeight="true" outlineLevel="0" collapsed="false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1"/>
      <c r="M94" s="1"/>
      <c r="N94" s="1"/>
    </row>
    <row r="95" customFormat="false" ht="24" hidden="false" customHeight="true" outlineLevel="0" collapsed="false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1"/>
      <c r="M95" s="1"/>
      <c r="N95" s="1"/>
    </row>
    <row r="96" customFormat="false" ht="24" hidden="false" customHeight="true" outlineLevel="0" collapsed="false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1"/>
      <c r="M96" s="1"/>
      <c r="N96" s="1"/>
    </row>
    <row r="97" customFormat="false" ht="24" hidden="false" customHeight="true" outlineLevel="0" collapsed="false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1"/>
      <c r="M97" s="1"/>
      <c r="N97" s="1"/>
    </row>
    <row r="98" customFormat="false" ht="24" hidden="false" customHeight="true" outlineLevel="0" collapsed="false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1"/>
      <c r="M98" s="1"/>
      <c r="N98" s="1"/>
    </row>
    <row r="99" customFormat="false" ht="24" hidden="false" customHeight="true" outlineLevel="0" collapsed="false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1"/>
      <c r="M99" s="1"/>
      <c r="N99" s="1"/>
    </row>
    <row r="100" customFormat="false" ht="24" hidden="false" customHeight="true" outlineLevel="0" collapsed="false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1"/>
      <c r="M100" s="1"/>
      <c r="N100" s="1"/>
    </row>
    <row r="101" customFormat="false" ht="24" hidden="false" customHeight="true" outlineLevel="0" collapsed="false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1"/>
      <c r="M101" s="1"/>
      <c r="N101" s="1"/>
    </row>
    <row r="102" customFormat="false" ht="24" hidden="false" customHeight="true" outlineLevel="0" collapsed="false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1"/>
      <c r="M102" s="1"/>
      <c r="N102" s="1"/>
    </row>
    <row r="103" customFormat="false" ht="24" hidden="false" customHeight="true" outlineLevel="0" collapsed="false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1"/>
      <c r="M103" s="1"/>
      <c r="N103" s="1"/>
    </row>
    <row r="104" customFormat="false" ht="24" hidden="false" customHeight="true" outlineLevel="0" collapsed="false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1"/>
      <c r="M104" s="1"/>
      <c r="N104" s="1"/>
    </row>
    <row r="105" customFormat="false" ht="24" hidden="false" customHeight="true" outlineLevel="0" collapsed="false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1"/>
      <c r="M105" s="1"/>
      <c r="N105" s="1"/>
    </row>
    <row r="106" customFormat="false" ht="24" hidden="false" customHeight="true" outlineLevel="0" collapsed="false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1"/>
      <c r="M106" s="1"/>
      <c r="N106" s="1"/>
    </row>
    <row r="107" customFormat="false" ht="24" hidden="false" customHeight="true" outlineLevel="0" collapsed="false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1"/>
      <c r="M107" s="1"/>
      <c r="N107" s="1"/>
    </row>
    <row r="108" customFormat="false" ht="24" hidden="false" customHeight="true" outlineLevel="0" collapsed="false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1"/>
      <c r="M108" s="1"/>
      <c r="N108" s="1"/>
    </row>
    <row r="109" customFormat="false" ht="24" hidden="false" customHeight="true" outlineLevel="0" collapsed="false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1"/>
      <c r="M109" s="1"/>
      <c r="N109" s="1"/>
    </row>
    <row r="110" customFormat="false" ht="24" hidden="false" customHeight="true" outlineLevel="0" collapsed="false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1"/>
      <c r="M110" s="1"/>
      <c r="N11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4" min="3" style="0" width="10"/>
    <col collapsed="false" customWidth="true" hidden="false" outlineLevel="0" max="5" min="5" style="0" width="58"/>
    <col collapsed="false" customWidth="true" hidden="false" outlineLevel="0" max="6" min="6" style="0" width="47"/>
    <col collapsed="false" customWidth="true" hidden="false" outlineLevel="0" max="8" min="7" style="0" width="18"/>
    <col collapsed="false" customWidth="true" hidden="false" outlineLevel="0" max="9" min="9" style="0" width="74"/>
    <col collapsed="false" customWidth="true" hidden="false" outlineLevel="0" max="11" min="10" style="0" width="18"/>
    <col collapsed="false" customWidth="true" hidden="false" outlineLevel="0" max="12" min="12" style="0" width="3"/>
    <col collapsed="false" customWidth="true" hidden="false" outlineLevel="0" max="13" min="13" style="0" width="100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309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6" t="str">
        <f aca="false">Assumptions!E5</f>
        <v>Base</v>
      </c>
      <c r="F4" s="6"/>
      <c r="G4" s="2"/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7" t="s">
        <v>310</v>
      </c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30" hidden="false" customHeight="true" outlineLevel="0" collapsed="false">
      <c r="A7" s="1"/>
      <c r="B7" s="1"/>
      <c r="C7" s="8" t="s">
        <v>311</v>
      </c>
      <c r="D7" s="8" t="s">
        <v>187</v>
      </c>
      <c r="E7" s="9" t="s">
        <v>312</v>
      </c>
      <c r="F7" s="9" t="s">
        <v>313</v>
      </c>
      <c r="G7" s="9" t="s">
        <v>314</v>
      </c>
      <c r="H7" s="9" t="s">
        <v>315</v>
      </c>
      <c r="I7" s="9" t="s">
        <v>316</v>
      </c>
      <c r="J7" s="2"/>
      <c r="K7" s="2"/>
      <c r="L7" s="1"/>
      <c r="M7" s="1"/>
      <c r="N7" s="1"/>
    </row>
    <row r="8" customFormat="false" ht="50" hidden="false" customHeight="true" outlineLevel="0" collapsed="false">
      <c r="A8" s="1"/>
      <c r="B8" s="1"/>
      <c r="C8" s="1" t="n">
        <v>2</v>
      </c>
      <c r="D8" s="1" t="n">
        <v>1</v>
      </c>
      <c r="E8" s="46" t="s">
        <v>317</v>
      </c>
      <c r="F8" s="46" t="s">
        <v>318</v>
      </c>
      <c r="G8" s="2"/>
      <c r="H8" s="19"/>
      <c r="I8" s="46" t="s">
        <v>319</v>
      </c>
      <c r="J8" s="2"/>
      <c r="K8" s="2"/>
      <c r="L8" s="1"/>
      <c r="M8" s="1"/>
      <c r="N8" s="1"/>
    </row>
    <row r="9" customFormat="false" ht="50" hidden="false" customHeight="true" outlineLevel="0" collapsed="false">
      <c r="A9" s="1"/>
      <c r="B9" s="1"/>
      <c r="C9" s="1" t="n">
        <v>3</v>
      </c>
      <c r="D9" s="1" t="n">
        <v>2</v>
      </c>
      <c r="E9" s="46" t="s">
        <v>320</v>
      </c>
      <c r="F9" s="46" t="s">
        <v>318</v>
      </c>
      <c r="G9" s="2"/>
      <c r="H9" s="19"/>
      <c r="I9" s="46" t="s">
        <v>319</v>
      </c>
      <c r="J9" s="2"/>
      <c r="K9" s="2"/>
      <c r="L9" s="1"/>
      <c r="M9" s="1"/>
      <c r="N9" s="1"/>
    </row>
    <row r="10" customFormat="false" ht="50" hidden="false" customHeight="true" outlineLevel="0" collapsed="false">
      <c r="A10" s="1"/>
      <c r="B10" s="1"/>
      <c r="C10" s="1" t="n">
        <v>4</v>
      </c>
      <c r="D10" s="1" t="n">
        <v>3</v>
      </c>
      <c r="E10" s="46" t="s">
        <v>321</v>
      </c>
      <c r="F10" s="46" t="s">
        <v>322</v>
      </c>
      <c r="G10" s="2"/>
      <c r="H10" s="19"/>
      <c r="I10" s="46" t="s">
        <v>319</v>
      </c>
      <c r="J10" s="2"/>
      <c r="K10" s="2"/>
      <c r="L10" s="1"/>
      <c r="M10" s="1"/>
      <c r="N10" s="1"/>
    </row>
    <row r="11" customFormat="false" ht="50" hidden="false" customHeight="true" outlineLevel="0" collapsed="false">
      <c r="A11" s="1"/>
      <c r="B11" s="1"/>
      <c r="C11" s="1" t="n">
        <v>5</v>
      </c>
      <c r="D11" s="1" t="n">
        <v>4</v>
      </c>
      <c r="E11" s="46" t="s">
        <v>323</v>
      </c>
      <c r="F11" s="46" t="s">
        <v>318</v>
      </c>
      <c r="G11" s="2"/>
      <c r="H11" s="19"/>
      <c r="I11" s="46" t="s">
        <v>324</v>
      </c>
      <c r="J11" s="2"/>
      <c r="K11" s="2"/>
      <c r="L11" s="1"/>
      <c r="M11" s="1"/>
      <c r="N11" s="1"/>
    </row>
    <row r="12" customFormat="false" ht="50" hidden="false" customHeight="true" outlineLevel="0" collapsed="false">
      <c r="A12" s="1"/>
      <c r="B12" s="1"/>
      <c r="C12" s="1" t="n">
        <v>6</v>
      </c>
      <c r="D12" s="1" t="n">
        <v>5</v>
      </c>
      <c r="E12" s="46" t="s">
        <v>325</v>
      </c>
      <c r="F12" s="46" t="s">
        <v>318</v>
      </c>
      <c r="G12" s="2"/>
      <c r="H12" s="19"/>
      <c r="I12" s="46" t="s">
        <v>326</v>
      </c>
      <c r="J12" s="2"/>
      <c r="K12" s="2"/>
      <c r="L12" s="1"/>
      <c r="M12" s="1"/>
      <c r="N12" s="1"/>
    </row>
    <row r="13" customFormat="false" ht="50" hidden="false" customHeight="true" outlineLevel="0" collapsed="false">
      <c r="A13" s="1"/>
      <c r="B13" s="1"/>
      <c r="C13" s="1" t="n">
        <v>7</v>
      </c>
      <c r="D13" s="1" t="n">
        <v>6</v>
      </c>
      <c r="E13" s="46" t="s">
        <v>327</v>
      </c>
      <c r="F13" s="46" t="s">
        <v>318</v>
      </c>
      <c r="G13" s="2"/>
      <c r="H13" s="19"/>
      <c r="I13" s="46" t="s">
        <v>319</v>
      </c>
      <c r="J13" s="2"/>
      <c r="K13" s="2"/>
      <c r="L13" s="1"/>
      <c r="M13" s="1"/>
      <c r="N13" s="1"/>
    </row>
    <row r="14" customFormat="false" ht="50" hidden="false" customHeight="true" outlineLevel="0" collapsed="false">
      <c r="A14" s="1"/>
      <c r="B14" s="1"/>
      <c r="C14" s="1" t="n">
        <v>8</v>
      </c>
      <c r="D14" s="1" t="n">
        <v>7</v>
      </c>
      <c r="E14" s="46" t="s">
        <v>328</v>
      </c>
      <c r="F14" s="46" t="s">
        <v>318</v>
      </c>
      <c r="G14" s="2"/>
      <c r="H14" s="19"/>
      <c r="I14" s="46" t="s">
        <v>324</v>
      </c>
      <c r="J14" s="2"/>
      <c r="K14" s="2"/>
      <c r="L14" s="1"/>
      <c r="M14" s="1"/>
      <c r="N14" s="1"/>
    </row>
    <row r="15" customFormat="false" ht="50" hidden="false" customHeight="true" outlineLevel="0" collapsed="false">
      <c r="A15" s="1"/>
      <c r="B15" s="1"/>
      <c r="C15" s="1" t="n">
        <v>9</v>
      </c>
      <c r="D15" s="1" t="n">
        <v>8</v>
      </c>
      <c r="E15" s="46" t="s">
        <v>198</v>
      </c>
      <c r="F15" s="46" t="s">
        <v>318</v>
      </c>
      <c r="G15" s="2" t="n">
        <v>50</v>
      </c>
      <c r="H15" s="19"/>
      <c r="I15" s="46" t="s">
        <v>329</v>
      </c>
      <c r="J15" s="2"/>
      <c r="K15" s="2"/>
      <c r="L15" s="1"/>
      <c r="M15" s="1"/>
      <c r="N15" s="1"/>
    </row>
    <row r="16" customFormat="false" ht="50" hidden="false" customHeight="true" outlineLevel="0" collapsed="false">
      <c r="A16" s="1"/>
      <c r="B16" s="1"/>
      <c r="C16" s="1" t="n">
        <v>10</v>
      </c>
      <c r="D16" s="1"/>
      <c r="E16" s="46" t="s">
        <v>198</v>
      </c>
      <c r="F16" s="46" t="s">
        <v>318</v>
      </c>
      <c r="G16" s="2" t="n">
        <v>100</v>
      </c>
      <c r="H16" s="19"/>
      <c r="I16" s="46" t="s">
        <v>330</v>
      </c>
      <c r="J16" s="2"/>
      <c r="K16" s="2"/>
      <c r="L16" s="1"/>
      <c r="M16" s="1"/>
      <c r="N16" s="1"/>
    </row>
    <row r="17" customFormat="false" ht="50" hidden="false" customHeight="true" outlineLevel="0" collapsed="false">
      <c r="A17" s="1"/>
      <c r="B17" s="1"/>
      <c r="C17" s="1" t="n">
        <v>11</v>
      </c>
      <c r="D17" s="1" t="n">
        <v>9</v>
      </c>
      <c r="E17" s="46" t="s">
        <v>331</v>
      </c>
      <c r="F17" s="46" t="s">
        <v>318</v>
      </c>
      <c r="G17" s="2"/>
      <c r="H17" s="19"/>
      <c r="I17" s="46" t="s">
        <v>332</v>
      </c>
      <c r="J17" s="2"/>
      <c r="K17" s="2"/>
      <c r="L17" s="1"/>
      <c r="M17" s="1"/>
      <c r="N17" s="1"/>
    </row>
    <row r="18" customFormat="false" ht="50" hidden="false" customHeight="true" outlineLevel="0" collapsed="false">
      <c r="A18" s="1"/>
      <c r="B18" s="1"/>
      <c r="C18" s="1" t="n">
        <v>12</v>
      </c>
      <c r="D18" s="1" t="n">
        <v>10</v>
      </c>
      <c r="E18" s="46" t="s">
        <v>333</v>
      </c>
      <c r="F18" s="46" t="s">
        <v>334</v>
      </c>
      <c r="G18" s="2"/>
      <c r="H18" s="19"/>
      <c r="I18" s="46" t="s">
        <v>335</v>
      </c>
      <c r="J18" s="2"/>
      <c r="K18" s="2"/>
      <c r="L18" s="1"/>
      <c r="M18" s="1"/>
      <c r="N18" s="1"/>
    </row>
    <row r="19" customFormat="false" ht="50" hidden="false" customHeight="true" outlineLevel="0" collapsed="false">
      <c r="A19" s="1"/>
      <c r="B19" s="1"/>
      <c r="C19" s="1" t="n">
        <v>13</v>
      </c>
      <c r="D19" s="1" t="n">
        <v>11</v>
      </c>
      <c r="E19" s="46" t="s">
        <v>336</v>
      </c>
      <c r="F19" s="46" t="s">
        <v>318</v>
      </c>
      <c r="G19" s="2"/>
      <c r="H19" s="19"/>
      <c r="I19" s="46" t="s">
        <v>319</v>
      </c>
      <c r="J19" s="2"/>
      <c r="K19" s="2"/>
      <c r="L19" s="1"/>
      <c r="M19" s="1"/>
      <c r="N19" s="1"/>
    </row>
    <row r="20" customFormat="false" ht="50" hidden="false" customHeight="true" outlineLevel="0" collapsed="false">
      <c r="A20" s="1"/>
      <c r="B20" s="1"/>
      <c r="C20" s="1" t="n">
        <v>14</v>
      </c>
      <c r="D20" s="1" t="n">
        <v>12</v>
      </c>
      <c r="E20" s="46" t="s">
        <v>337</v>
      </c>
      <c r="F20" s="46" t="s">
        <v>318</v>
      </c>
      <c r="G20" s="2"/>
      <c r="H20" s="19"/>
      <c r="I20" s="46" t="s">
        <v>338</v>
      </c>
      <c r="J20" s="2"/>
      <c r="K20" s="2"/>
      <c r="L20" s="1"/>
      <c r="M20" s="1"/>
      <c r="N20" s="1"/>
    </row>
    <row r="21" customFormat="false" ht="50" hidden="false" customHeight="true" outlineLevel="0" collapsed="false">
      <c r="A21" s="1"/>
      <c r="B21" s="1"/>
      <c r="C21" s="1" t="n">
        <v>15</v>
      </c>
      <c r="D21" s="1" t="n">
        <v>13</v>
      </c>
      <c r="E21" s="46" t="s">
        <v>339</v>
      </c>
      <c r="F21" s="46" t="s">
        <v>318</v>
      </c>
      <c r="G21" s="2"/>
      <c r="H21" s="19"/>
      <c r="I21" s="46" t="s">
        <v>340</v>
      </c>
      <c r="J21" s="2"/>
      <c r="K21" s="2"/>
      <c r="L21" s="1"/>
      <c r="M21" s="1"/>
      <c r="N21" s="1"/>
    </row>
    <row r="22" customFormat="false" ht="50" hidden="false" customHeight="true" outlineLevel="0" collapsed="false">
      <c r="A22" s="1"/>
      <c r="B22" s="1"/>
      <c r="C22" s="1" t="n">
        <v>16</v>
      </c>
      <c r="D22" s="1" t="n">
        <v>14</v>
      </c>
      <c r="E22" s="46" t="s">
        <v>341</v>
      </c>
      <c r="F22" s="46" t="s">
        <v>318</v>
      </c>
      <c r="G22" s="2"/>
      <c r="H22" s="19"/>
      <c r="I22" s="46" t="s">
        <v>319</v>
      </c>
      <c r="J22" s="2"/>
      <c r="K22" s="2"/>
      <c r="L22" s="1"/>
      <c r="M22" s="1"/>
      <c r="N22" s="1"/>
    </row>
    <row r="23" customFormat="false" ht="50" hidden="false" customHeight="true" outlineLevel="0" collapsed="false">
      <c r="A23" s="1"/>
      <c r="B23" s="1"/>
      <c r="C23" s="1" t="n">
        <v>17</v>
      </c>
      <c r="D23" s="1" t="n">
        <v>15</v>
      </c>
      <c r="E23" s="46" t="s">
        <v>342</v>
      </c>
      <c r="F23" s="46" t="s">
        <v>318</v>
      </c>
      <c r="G23" s="2"/>
      <c r="H23" s="19"/>
      <c r="I23" s="46" t="s">
        <v>319</v>
      </c>
      <c r="J23" s="2"/>
      <c r="K23" s="2"/>
      <c r="L23" s="1"/>
      <c r="M23" s="1"/>
      <c r="N23" s="1"/>
    </row>
    <row r="24" customFormat="false" ht="50" hidden="false" customHeight="true" outlineLevel="0" collapsed="false">
      <c r="A24" s="1"/>
      <c r="B24" s="1"/>
      <c r="C24" s="1" t="n">
        <v>18</v>
      </c>
      <c r="D24" s="1" t="n">
        <v>16</v>
      </c>
      <c r="E24" s="46" t="s">
        <v>343</v>
      </c>
      <c r="F24" s="46" t="s">
        <v>318</v>
      </c>
      <c r="G24" s="2"/>
      <c r="H24" s="19"/>
      <c r="I24" s="46" t="s">
        <v>344</v>
      </c>
      <c r="J24" s="2"/>
      <c r="K24" s="2"/>
      <c r="L24" s="1"/>
      <c r="M24" s="1"/>
      <c r="N24" s="1"/>
    </row>
    <row r="25" customFormat="false" ht="50" hidden="false" customHeight="true" outlineLevel="0" collapsed="false">
      <c r="A25" s="1"/>
      <c r="B25" s="1"/>
      <c r="C25" s="1" t="n">
        <v>19</v>
      </c>
      <c r="D25" s="1" t="n">
        <v>17</v>
      </c>
      <c r="E25" s="46" t="s">
        <v>203</v>
      </c>
      <c r="F25" s="46" t="s">
        <v>345</v>
      </c>
      <c r="G25" s="2" t="n">
        <v>275</v>
      </c>
      <c r="H25" s="19"/>
      <c r="I25" s="46" t="s">
        <v>346</v>
      </c>
      <c r="J25" s="2"/>
      <c r="K25" s="2"/>
      <c r="L25" s="1"/>
      <c r="M25" s="1"/>
      <c r="N25" s="1"/>
    </row>
    <row r="26" customFormat="false" ht="50" hidden="false" customHeight="true" outlineLevel="0" collapsed="false">
      <c r="A26" s="1"/>
      <c r="B26" s="1"/>
      <c r="C26" s="1" t="n">
        <v>20</v>
      </c>
      <c r="D26" s="1" t="n">
        <v>18</v>
      </c>
      <c r="E26" s="46" t="s">
        <v>347</v>
      </c>
      <c r="F26" s="46" t="s">
        <v>318</v>
      </c>
      <c r="G26" s="2"/>
      <c r="H26" s="19"/>
      <c r="I26" s="46" t="s">
        <v>319</v>
      </c>
      <c r="J26" s="2"/>
      <c r="K26" s="2"/>
      <c r="L26" s="1"/>
      <c r="M26" s="1"/>
      <c r="N26" s="1"/>
    </row>
    <row r="27" customFormat="false" ht="50" hidden="false" customHeight="true" outlineLevel="0" collapsed="false">
      <c r="A27" s="1"/>
      <c r="B27" s="1"/>
      <c r="C27" s="1" t="n">
        <v>21</v>
      </c>
      <c r="D27" s="1" t="n">
        <v>19</v>
      </c>
      <c r="E27" s="46" t="s">
        <v>205</v>
      </c>
      <c r="F27" s="46" t="s">
        <v>318</v>
      </c>
      <c r="G27" s="2" t="n">
        <v>25</v>
      </c>
      <c r="H27" s="19"/>
      <c r="I27" s="46" t="s">
        <v>319</v>
      </c>
      <c r="J27" s="2"/>
      <c r="K27" s="2"/>
      <c r="L27" s="1"/>
      <c r="M27" s="1"/>
      <c r="N27" s="1"/>
    </row>
    <row r="28" customFormat="false" ht="50" hidden="false" customHeight="true" outlineLevel="0" collapsed="false">
      <c r="A28" s="1"/>
      <c r="B28" s="1"/>
      <c r="C28" s="1" t="n">
        <v>22</v>
      </c>
      <c r="D28" s="1" t="n">
        <v>20</v>
      </c>
      <c r="E28" s="46" t="s">
        <v>348</v>
      </c>
      <c r="F28" s="46" t="s">
        <v>349</v>
      </c>
      <c r="G28" s="2"/>
      <c r="H28" s="19"/>
      <c r="I28" s="46" t="s">
        <v>319</v>
      </c>
      <c r="J28" s="2"/>
      <c r="K28" s="2"/>
      <c r="L28" s="1"/>
      <c r="M28" s="1"/>
      <c r="N28" s="1"/>
    </row>
    <row r="29" customFormat="false" ht="50" hidden="false" customHeight="true" outlineLevel="0" collapsed="false">
      <c r="A29" s="1"/>
      <c r="B29" s="1"/>
      <c r="C29" s="1" t="n">
        <v>23</v>
      </c>
      <c r="D29" s="1" t="n">
        <v>21</v>
      </c>
      <c r="E29" s="46" t="s">
        <v>350</v>
      </c>
      <c r="F29" s="46" t="s">
        <v>351</v>
      </c>
      <c r="G29" s="2"/>
      <c r="H29" s="19"/>
      <c r="I29" s="46" t="s">
        <v>319</v>
      </c>
      <c r="J29" s="2"/>
      <c r="K29" s="2"/>
      <c r="L29" s="1"/>
      <c r="M29" s="1"/>
      <c r="N29" s="1"/>
    </row>
    <row r="30" customFormat="false" ht="50" hidden="false" customHeight="true" outlineLevel="0" collapsed="false">
      <c r="A30" s="1"/>
      <c r="B30" s="1"/>
      <c r="C30" s="1" t="n">
        <v>24</v>
      </c>
      <c r="D30" s="1" t="n">
        <v>22</v>
      </c>
      <c r="E30" s="46" t="s">
        <v>352</v>
      </c>
      <c r="F30" s="46" t="s">
        <v>318</v>
      </c>
      <c r="G30" s="2"/>
      <c r="H30" s="19"/>
      <c r="I30" s="46" t="s">
        <v>353</v>
      </c>
      <c r="J30" s="2"/>
      <c r="K30" s="2"/>
      <c r="L30" s="1"/>
      <c r="M30" s="1"/>
      <c r="N30" s="1"/>
    </row>
    <row r="31" customFormat="false" ht="50" hidden="false" customHeight="true" outlineLevel="0" collapsed="false">
      <c r="A31" s="1"/>
      <c r="B31" s="1"/>
      <c r="C31" s="1" t="n">
        <v>25</v>
      </c>
      <c r="D31" s="1" t="n">
        <v>23</v>
      </c>
      <c r="E31" s="46" t="s">
        <v>354</v>
      </c>
      <c r="F31" s="46" t="s">
        <v>355</v>
      </c>
      <c r="G31" s="2"/>
      <c r="H31" s="19"/>
      <c r="I31" s="46" t="s">
        <v>319</v>
      </c>
      <c r="J31" s="2"/>
      <c r="K31" s="2"/>
      <c r="L31" s="1"/>
      <c r="M31" s="1"/>
      <c r="N31" s="1"/>
    </row>
    <row r="32" customFormat="false" ht="50" hidden="false" customHeight="true" outlineLevel="0" collapsed="false">
      <c r="A32" s="1"/>
      <c r="B32" s="1"/>
      <c r="C32" s="1" t="n">
        <v>26</v>
      </c>
      <c r="D32" s="1" t="n">
        <v>24</v>
      </c>
      <c r="E32" s="46" t="s">
        <v>206</v>
      </c>
      <c r="F32" s="46" t="s">
        <v>318</v>
      </c>
      <c r="G32" s="2" t="n">
        <v>60</v>
      </c>
      <c r="H32" s="19"/>
      <c r="I32" s="46" t="s">
        <v>319</v>
      </c>
      <c r="J32" s="2"/>
      <c r="K32" s="2"/>
      <c r="L32" s="1"/>
      <c r="M32" s="1"/>
      <c r="N32" s="1"/>
    </row>
    <row r="33" customFormat="false" ht="50" hidden="false" customHeight="true" outlineLevel="0" collapsed="false">
      <c r="A33" s="1"/>
      <c r="B33" s="1"/>
      <c r="C33" s="1" t="n">
        <v>27</v>
      </c>
      <c r="D33" s="1" t="n">
        <v>25</v>
      </c>
      <c r="E33" s="46" t="s">
        <v>356</v>
      </c>
      <c r="F33" s="46" t="s">
        <v>318</v>
      </c>
      <c r="G33" s="2"/>
      <c r="H33" s="19"/>
      <c r="I33" s="46" t="s">
        <v>319</v>
      </c>
      <c r="J33" s="2"/>
      <c r="K33" s="2"/>
      <c r="L33" s="1"/>
      <c r="M33" s="1"/>
      <c r="N33" s="1"/>
    </row>
    <row r="34" customFormat="false" ht="50" hidden="false" customHeight="true" outlineLevel="0" collapsed="false">
      <c r="A34" s="1"/>
      <c r="B34" s="1"/>
      <c r="C34" s="1" t="n">
        <v>28</v>
      </c>
      <c r="D34" s="1" t="n">
        <v>26</v>
      </c>
      <c r="E34" s="46" t="s">
        <v>357</v>
      </c>
      <c r="F34" s="46" t="s">
        <v>318</v>
      </c>
      <c r="G34" s="2"/>
      <c r="H34" s="19"/>
      <c r="I34" s="46" t="s">
        <v>358</v>
      </c>
      <c r="J34" s="2"/>
      <c r="K34" s="2"/>
      <c r="L34" s="1"/>
      <c r="M34" s="1"/>
      <c r="N34" s="1"/>
    </row>
    <row r="35" customFormat="false" ht="50" hidden="false" customHeight="true" outlineLevel="0" collapsed="false">
      <c r="A35" s="1"/>
      <c r="B35" s="1"/>
      <c r="C35" s="1" t="n">
        <v>29</v>
      </c>
      <c r="D35" s="1" t="n">
        <v>27</v>
      </c>
      <c r="E35" s="46" t="s">
        <v>359</v>
      </c>
      <c r="F35" s="46" t="s">
        <v>318</v>
      </c>
      <c r="G35" s="2"/>
      <c r="H35" s="19"/>
      <c r="I35" s="46" t="s">
        <v>319</v>
      </c>
      <c r="J35" s="2"/>
      <c r="K35" s="2"/>
      <c r="L35" s="1"/>
      <c r="M35" s="1"/>
      <c r="N35" s="1"/>
    </row>
    <row r="36" customFormat="false" ht="50" hidden="false" customHeight="true" outlineLevel="0" collapsed="false">
      <c r="A36" s="1"/>
      <c r="B36" s="1"/>
      <c r="C36" s="1" t="n">
        <v>30</v>
      </c>
      <c r="D36" s="1" t="n">
        <v>28</v>
      </c>
      <c r="E36" s="46" t="s">
        <v>360</v>
      </c>
      <c r="F36" s="46" t="s">
        <v>318</v>
      </c>
      <c r="G36" s="2"/>
      <c r="H36" s="19"/>
      <c r="I36" s="46" t="s">
        <v>319</v>
      </c>
      <c r="J36" s="2"/>
      <c r="K36" s="2"/>
      <c r="L36" s="1"/>
      <c r="M36" s="1"/>
      <c r="N36" s="1"/>
    </row>
    <row r="37" customFormat="false" ht="50" hidden="false" customHeight="true" outlineLevel="0" collapsed="false">
      <c r="A37" s="1"/>
      <c r="B37" s="1"/>
      <c r="C37" s="1" t="n">
        <v>31</v>
      </c>
      <c r="D37" s="1" t="n">
        <v>29</v>
      </c>
      <c r="E37" s="46" t="s">
        <v>361</v>
      </c>
      <c r="F37" s="46" t="s">
        <v>318</v>
      </c>
      <c r="G37" s="2"/>
      <c r="H37" s="19"/>
      <c r="I37" s="46" t="s">
        <v>362</v>
      </c>
      <c r="J37" s="2"/>
      <c r="K37" s="2"/>
      <c r="L37" s="1"/>
      <c r="M37" s="1"/>
      <c r="N37" s="1"/>
    </row>
    <row r="38" customFormat="false" ht="50" hidden="false" customHeight="true" outlineLevel="0" collapsed="false">
      <c r="A38" s="1"/>
      <c r="B38" s="1"/>
      <c r="C38" s="1" t="n">
        <v>32</v>
      </c>
      <c r="D38" s="1" t="n">
        <v>30</v>
      </c>
      <c r="E38" s="46" t="s">
        <v>363</v>
      </c>
      <c r="F38" s="46" t="s">
        <v>318</v>
      </c>
      <c r="G38" s="2"/>
      <c r="H38" s="19"/>
      <c r="I38" s="46" t="s">
        <v>319</v>
      </c>
      <c r="J38" s="2"/>
      <c r="K38" s="2"/>
      <c r="L38" s="1"/>
      <c r="M38" s="1"/>
      <c r="N38" s="1"/>
    </row>
    <row r="39" customFormat="false" ht="50" hidden="false" customHeight="true" outlineLevel="0" collapsed="false">
      <c r="A39" s="1"/>
      <c r="B39" s="1"/>
      <c r="C39" s="1" t="n">
        <v>33</v>
      </c>
      <c r="D39" s="1" t="n">
        <v>31</v>
      </c>
      <c r="E39" s="46" t="s">
        <v>364</v>
      </c>
      <c r="F39" s="46" t="s">
        <v>365</v>
      </c>
      <c r="G39" s="2"/>
      <c r="H39" s="19"/>
      <c r="I39" s="46" t="s">
        <v>366</v>
      </c>
      <c r="J39" s="2"/>
      <c r="K39" s="2"/>
      <c r="L39" s="1"/>
      <c r="M39" s="1"/>
      <c r="N39" s="1"/>
    </row>
    <row r="40" customFormat="false" ht="50" hidden="false" customHeight="true" outlineLevel="0" collapsed="false">
      <c r="A40" s="1"/>
      <c r="B40" s="1"/>
      <c r="C40" s="1" t="n">
        <v>34</v>
      </c>
      <c r="D40" s="1" t="n">
        <v>32</v>
      </c>
      <c r="E40" s="46" t="s">
        <v>367</v>
      </c>
      <c r="F40" s="46" t="s">
        <v>318</v>
      </c>
      <c r="G40" s="2"/>
      <c r="H40" s="19"/>
      <c r="I40" s="46" t="s">
        <v>368</v>
      </c>
      <c r="J40" s="2"/>
      <c r="K40" s="2"/>
      <c r="L40" s="1"/>
      <c r="M40" s="1"/>
      <c r="N40" s="1"/>
    </row>
    <row r="41" customFormat="false" ht="50" hidden="false" customHeight="true" outlineLevel="0" collapsed="false">
      <c r="A41" s="1"/>
      <c r="B41" s="1"/>
      <c r="C41" s="1" t="n">
        <v>35</v>
      </c>
      <c r="D41" s="1" t="n">
        <v>33</v>
      </c>
      <c r="E41" s="46" t="s">
        <v>369</v>
      </c>
      <c r="F41" s="46" t="s">
        <v>318</v>
      </c>
      <c r="G41" s="2"/>
      <c r="H41" s="19"/>
      <c r="I41" s="46" t="s">
        <v>319</v>
      </c>
      <c r="J41" s="2"/>
      <c r="K41" s="2"/>
      <c r="L41" s="1"/>
      <c r="M41" s="1"/>
      <c r="N41" s="1"/>
    </row>
    <row r="42" customFormat="false" ht="50" hidden="false" customHeight="true" outlineLevel="0" collapsed="false">
      <c r="A42" s="1"/>
      <c r="B42" s="1"/>
      <c r="C42" s="1" t="n">
        <v>36</v>
      </c>
      <c r="D42" s="1" t="n">
        <v>34</v>
      </c>
      <c r="E42" s="46" t="s">
        <v>370</v>
      </c>
      <c r="F42" s="46" t="s">
        <v>318</v>
      </c>
      <c r="G42" s="2"/>
      <c r="H42" s="19"/>
      <c r="I42" s="46" t="s">
        <v>319</v>
      </c>
      <c r="J42" s="2"/>
      <c r="K42" s="2"/>
      <c r="L42" s="1"/>
      <c r="M42" s="1"/>
      <c r="N42" s="1"/>
    </row>
    <row r="43" customFormat="false" ht="50" hidden="false" customHeight="true" outlineLevel="0" collapsed="false">
      <c r="A43" s="1"/>
      <c r="B43" s="1"/>
      <c r="C43" s="1" t="n">
        <v>37</v>
      </c>
      <c r="D43" s="1" t="n">
        <v>35</v>
      </c>
      <c r="E43" s="46" t="s">
        <v>371</v>
      </c>
      <c r="F43" s="46" t="s">
        <v>318</v>
      </c>
      <c r="G43" s="2"/>
      <c r="H43" s="19"/>
      <c r="I43" s="46" t="s">
        <v>319</v>
      </c>
      <c r="J43" s="2"/>
      <c r="K43" s="2"/>
      <c r="L43" s="1"/>
      <c r="M43" s="1"/>
      <c r="N43" s="1"/>
    </row>
    <row r="44" customFormat="false" ht="50" hidden="false" customHeight="true" outlineLevel="0" collapsed="false">
      <c r="A44" s="1"/>
      <c r="B44" s="1"/>
      <c r="C44" s="1" t="n">
        <v>38</v>
      </c>
      <c r="D44" s="1" t="n">
        <v>36</v>
      </c>
      <c r="E44" s="46" t="s">
        <v>372</v>
      </c>
      <c r="F44" s="46" t="s">
        <v>318</v>
      </c>
      <c r="G44" s="2"/>
      <c r="H44" s="19"/>
      <c r="I44" s="46" t="s">
        <v>319</v>
      </c>
      <c r="J44" s="2"/>
      <c r="K44" s="2"/>
      <c r="L44" s="1"/>
      <c r="M44" s="1"/>
      <c r="N44" s="1"/>
    </row>
    <row r="45" customFormat="false" ht="50" hidden="false" customHeight="true" outlineLevel="0" collapsed="false">
      <c r="A45" s="1"/>
      <c r="B45" s="1"/>
      <c r="C45" s="1" t="n">
        <v>39</v>
      </c>
      <c r="D45" s="1" t="n">
        <v>37</v>
      </c>
      <c r="E45" s="46" t="s">
        <v>373</v>
      </c>
      <c r="F45" s="46" t="s">
        <v>318</v>
      </c>
      <c r="G45" s="2"/>
      <c r="H45" s="19"/>
      <c r="I45" s="46" t="s">
        <v>319</v>
      </c>
      <c r="J45" s="2"/>
      <c r="K45" s="2"/>
      <c r="L45" s="1"/>
      <c r="M45" s="1"/>
      <c r="N45" s="1"/>
    </row>
    <row r="46" customFormat="false" ht="50" hidden="false" customHeight="true" outlineLevel="0" collapsed="false">
      <c r="A46" s="1"/>
      <c r="B46" s="1"/>
      <c r="C46" s="1" t="n">
        <v>40</v>
      </c>
      <c r="D46" s="1" t="n">
        <v>38</v>
      </c>
      <c r="E46" s="46" t="s">
        <v>374</v>
      </c>
      <c r="F46" s="46" t="s">
        <v>318</v>
      </c>
      <c r="G46" s="2"/>
      <c r="H46" s="19"/>
      <c r="I46" s="46" t="s">
        <v>319</v>
      </c>
      <c r="J46" s="2"/>
      <c r="K46" s="2"/>
      <c r="L46" s="1"/>
      <c r="M46" s="1"/>
      <c r="N46" s="1"/>
    </row>
    <row r="47" customFormat="false" ht="50" hidden="false" customHeight="true" outlineLevel="0" collapsed="false">
      <c r="A47" s="1"/>
      <c r="B47" s="1"/>
      <c r="C47" s="1" t="n">
        <v>41</v>
      </c>
      <c r="D47" s="1" t="n">
        <v>39</v>
      </c>
      <c r="E47" s="46" t="s">
        <v>375</v>
      </c>
      <c r="F47" s="46" t="s">
        <v>318</v>
      </c>
      <c r="G47" s="2"/>
      <c r="H47" s="19"/>
      <c r="I47" s="46" t="s">
        <v>319</v>
      </c>
      <c r="J47" s="2"/>
      <c r="K47" s="2"/>
      <c r="L47" s="1"/>
      <c r="M47" s="1"/>
      <c r="N47" s="1"/>
    </row>
    <row r="48" customFormat="false" ht="50" hidden="false" customHeight="true" outlineLevel="0" collapsed="false">
      <c r="A48" s="1"/>
      <c r="B48" s="1"/>
      <c r="C48" s="1" t="n">
        <v>42</v>
      </c>
      <c r="D48" s="1" t="n">
        <v>40</v>
      </c>
      <c r="E48" s="46" t="s">
        <v>376</v>
      </c>
      <c r="F48" s="46" t="s">
        <v>377</v>
      </c>
      <c r="G48" s="2"/>
      <c r="H48" s="19"/>
      <c r="I48" s="46" t="s">
        <v>378</v>
      </c>
      <c r="J48" s="2"/>
      <c r="K48" s="2"/>
      <c r="L48" s="1"/>
      <c r="M48" s="1"/>
      <c r="N48" s="1"/>
    </row>
    <row r="49" customFormat="false" ht="50" hidden="false" customHeight="true" outlineLevel="0" collapsed="false">
      <c r="A49" s="1"/>
      <c r="B49" s="1"/>
      <c r="C49" s="1" t="n">
        <v>43</v>
      </c>
      <c r="D49" s="1" t="n">
        <v>41</v>
      </c>
      <c r="E49" s="46" t="s">
        <v>379</v>
      </c>
      <c r="F49" s="46" t="s">
        <v>318</v>
      </c>
      <c r="G49" s="2"/>
      <c r="H49" s="19"/>
      <c r="I49" s="46" t="s">
        <v>319</v>
      </c>
      <c r="J49" s="2"/>
      <c r="K49" s="2"/>
      <c r="L49" s="1"/>
      <c r="M49" s="1"/>
      <c r="N49" s="1"/>
    </row>
    <row r="50" customFormat="false" ht="50" hidden="false" customHeight="true" outlineLevel="0" collapsed="false">
      <c r="A50" s="1"/>
      <c r="B50" s="1"/>
      <c r="C50" s="1" t="n">
        <v>44</v>
      </c>
      <c r="D50" s="1" t="n">
        <v>42</v>
      </c>
      <c r="E50" s="46" t="s">
        <v>380</v>
      </c>
      <c r="F50" s="46" t="s">
        <v>318</v>
      </c>
      <c r="G50" s="2"/>
      <c r="H50" s="19"/>
      <c r="I50" s="46" t="s">
        <v>319</v>
      </c>
      <c r="J50" s="2"/>
      <c r="K50" s="2"/>
      <c r="L50" s="1"/>
      <c r="M50" s="1"/>
      <c r="N50" s="1"/>
    </row>
    <row r="51" customFormat="false" ht="50" hidden="false" customHeight="true" outlineLevel="0" collapsed="false">
      <c r="A51" s="1"/>
      <c r="B51" s="1"/>
      <c r="C51" s="1" t="n">
        <v>45</v>
      </c>
      <c r="D51" s="1" t="n">
        <v>43</v>
      </c>
      <c r="E51" s="46" t="s">
        <v>381</v>
      </c>
      <c r="F51" s="46" t="s">
        <v>318</v>
      </c>
      <c r="G51" s="2"/>
      <c r="H51" s="19"/>
      <c r="I51" s="46" t="s">
        <v>382</v>
      </c>
      <c r="J51" s="2"/>
      <c r="K51" s="2"/>
      <c r="L51" s="1"/>
      <c r="M51" s="1"/>
      <c r="N51" s="1"/>
    </row>
    <row r="52" customFormat="false" ht="50" hidden="false" customHeight="true" outlineLevel="0" collapsed="false">
      <c r="A52" s="1"/>
      <c r="B52" s="1"/>
      <c r="C52" s="1" t="n">
        <v>46</v>
      </c>
      <c r="D52" s="1" t="n">
        <v>44</v>
      </c>
      <c r="E52" s="46" t="s">
        <v>383</v>
      </c>
      <c r="F52" s="46" t="s">
        <v>318</v>
      </c>
      <c r="G52" s="2"/>
      <c r="H52" s="19"/>
      <c r="I52" s="46" t="s">
        <v>338</v>
      </c>
      <c r="J52" s="2"/>
      <c r="K52" s="2"/>
      <c r="L52" s="1"/>
      <c r="M52" s="1"/>
      <c r="N52" s="1"/>
    </row>
    <row r="53" customFormat="false" ht="50" hidden="false" customHeight="true" outlineLevel="0" collapsed="false">
      <c r="A53" s="1"/>
      <c r="B53" s="1"/>
      <c r="C53" s="1" t="n">
        <v>47</v>
      </c>
      <c r="D53" s="1" t="n">
        <v>45</v>
      </c>
      <c r="E53" s="46" t="s">
        <v>384</v>
      </c>
      <c r="F53" s="46" t="s">
        <v>318</v>
      </c>
      <c r="G53" s="2"/>
      <c r="H53" s="19"/>
      <c r="I53" s="46" t="s">
        <v>319</v>
      </c>
      <c r="J53" s="2"/>
      <c r="K53" s="2"/>
      <c r="L53" s="1"/>
      <c r="M53" s="1"/>
      <c r="N53" s="1"/>
    </row>
    <row r="54" customFormat="false" ht="50" hidden="false" customHeight="true" outlineLevel="0" collapsed="false">
      <c r="A54" s="1"/>
      <c r="B54" s="1"/>
      <c r="C54" s="1" t="n">
        <v>48</v>
      </c>
      <c r="D54" s="1" t="n">
        <v>46</v>
      </c>
      <c r="E54" s="46" t="s">
        <v>385</v>
      </c>
      <c r="F54" s="46" t="s">
        <v>318</v>
      </c>
      <c r="G54" s="2"/>
      <c r="H54" s="19"/>
      <c r="I54" s="46" t="s">
        <v>319</v>
      </c>
      <c r="J54" s="2"/>
      <c r="K54" s="2"/>
      <c r="L54" s="1"/>
      <c r="M54" s="1"/>
      <c r="N54" s="1"/>
    </row>
    <row r="55" customFormat="false" ht="50" hidden="false" customHeight="true" outlineLevel="0" collapsed="false">
      <c r="A55" s="1"/>
      <c r="B55" s="1"/>
      <c r="C55" s="1" t="n">
        <v>49</v>
      </c>
      <c r="D55" s="1" t="n">
        <v>47</v>
      </c>
      <c r="E55" s="46" t="s">
        <v>386</v>
      </c>
      <c r="F55" s="46" t="s">
        <v>318</v>
      </c>
      <c r="G55" s="2"/>
      <c r="H55" s="19"/>
      <c r="I55" s="46" t="s">
        <v>319</v>
      </c>
      <c r="J55" s="2"/>
      <c r="K55" s="2"/>
      <c r="L55" s="1"/>
      <c r="M55" s="1"/>
      <c r="N55" s="1"/>
    </row>
    <row r="56" customFormat="false" ht="50" hidden="false" customHeight="true" outlineLevel="0" collapsed="false">
      <c r="A56" s="1"/>
      <c r="B56" s="1"/>
      <c r="C56" s="1" t="n">
        <v>50</v>
      </c>
      <c r="D56" s="1" t="n">
        <v>40</v>
      </c>
      <c r="E56" s="46" t="s">
        <v>376</v>
      </c>
      <c r="F56" s="46" t="s">
        <v>387</v>
      </c>
      <c r="G56" s="2"/>
      <c r="H56" s="19"/>
      <c r="I56" s="46" t="s">
        <v>388</v>
      </c>
      <c r="J56" s="2"/>
      <c r="K56" s="2"/>
      <c r="L56" s="1"/>
      <c r="M56" s="1"/>
      <c r="N56" s="1"/>
    </row>
    <row r="57" customFormat="false" ht="50" hidden="false" customHeight="true" outlineLevel="0" collapsed="false">
      <c r="A57" s="1"/>
      <c r="B57" s="1"/>
      <c r="C57" s="1" t="n">
        <v>51</v>
      </c>
      <c r="D57" s="1" t="n">
        <v>49</v>
      </c>
      <c r="E57" s="46" t="s">
        <v>389</v>
      </c>
      <c r="F57" s="46" t="s">
        <v>318</v>
      </c>
      <c r="G57" s="2"/>
      <c r="H57" s="19"/>
      <c r="I57" s="46" t="s">
        <v>319</v>
      </c>
      <c r="J57" s="2"/>
      <c r="K57" s="2"/>
      <c r="L57" s="1"/>
      <c r="M57" s="1"/>
      <c r="N57" s="1"/>
    </row>
    <row r="58" customFormat="false" ht="50" hidden="false" customHeight="true" outlineLevel="0" collapsed="false">
      <c r="A58" s="1"/>
      <c r="B58" s="1"/>
      <c r="C58" s="1" t="n">
        <v>52</v>
      </c>
      <c r="D58" s="1" t="n">
        <v>50</v>
      </c>
      <c r="E58" s="46" t="s">
        <v>390</v>
      </c>
      <c r="F58" s="46" t="s">
        <v>318</v>
      </c>
      <c r="G58" s="2"/>
      <c r="H58" s="19"/>
      <c r="I58" s="46" t="s">
        <v>319</v>
      </c>
      <c r="J58" s="2"/>
      <c r="K58" s="2"/>
      <c r="L58" s="1"/>
      <c r="M58" s="1"/>
      <c r="N58" s="1"/>
    </row>
    <row r="59" customFormat="false" ht="50" hidden="false" customHeight="true" outlineLevel="0" collapsed="false">
      <c r="A59" s="1"/>
      <c r="B59" s="1"/>
      <c r="C59" s="1" t="n">
        <v>53</v>
      </c>
      <c r="D59" s="1" t="n">
        <v>51</v>
      </c>
      <c r="E59" s="46" t="s">
        <v>391</v>
      </c>
      <c r="F59" s="46" t="s">
        <v>318</v>
      </c>
      <c r="G59" s="2"/>
      <c r="H59" s="19"/>
      <c r="I59" s="46" t="s">
        <v>319</v>
      </c>
      <c r="J59" s="2"/>
      <c r="K59" s="2"/>
      <c r="L59" s="1"/>
      <c r="M59" s="1"/>
      <c r="N59" s="1"/>
    </row>
    <row r="60" customFormat="false" ht="50" hidden="false" customHeight="true" outlineLevel="0" collapsed="false">
      <c r="A60" s="1"/>
      <c r="B60" s="1"/>
      <c r="C60" s="1" t="n">
        <v>54</v>
      </c>
      <c r="D60" s="1" t="n">
        <v>52</v>
      </c>
      <c r="E60" s="46" t="s">
        <v>392</v>
      </c>
      <c r="F60" s="46" t="s">
        <v>318</v>
      </c>
      <c r="G60" s="2"/>
      <c r="H60" s="19"/>
      <c r="I60" s="46" t="s">
        <v>393</v>
      </c>
      <c r="J60" s="2"/>
      <c r="K60" s="2"/>
      <c r="L60" s="1"/>
      <c r="M60" s="1"/>
      <c r="N60" s="1"/>
    </row>
    <row r="61" customFormat="false" ht="50" hidden="false" customHeight="true" outlineLevel="0" collapsed="false">
      <c r="A61" s="1"/>
      <c r="B61" s="1"/>
      <c r="C61" s="1" t="n">
        <v>55</v>
      </c>
      <c r="D61" s="1" t="n">
        <v>53</v>
      </c>
      <c r="E61" s="46" t="s">
        <v>394</v>
      </c>
      <c r="F61" s="46" t="s">
        <v>318</v>
      </c>
      <c r="G61" s="2"/>
      <c r="H61" s="19"/>
      <c r="I61" s="46" t="s">
        <v>319</v>
      </c>
      <c r="J61" s="2"/>
      <c r="K61" s="2"/>
      <c r="L61" s="1"/>
      <c r="M61" s="1"/>
      <c r="N61" s="1"/>
    </row>
    <row r="62" customFormat="false" ht="50" hidden="false" customHeight="true" outlineLevel="0" collapsed="false">
      <c r="A62" s="1"/>
      <c r="B62" s="1"/>
      <c r="C62" s="1" t="n">
        <v>56</v>
      </c>
      <c r="D62" s="1" t="n">
        <v>54</v>
      </c>
      <c r="E62" s="46" t="s">
        <v>395</v>
      </c>
      <c r="F62" s="46" t="s">
        <v>318</v>
      </c>
      <c r="G62" s="2"/>
      <c r="H62" s="19"/>
      <c r="I62" s="46" t="s">
        <v>319</v>
      </c>
      <c r="J62" s="2"/>
      <c r="K62" s="2"/>
      <c r="L62" s="1"/>
      <c r="M62" s="1"/>
      <c r="N62" s="1"/>
    </row>
    <row r="63" customFormat="false" ht="50" hidden="false" customHeight="true" outlineLevel="0" collapsed="false">
      <c r="A63" s="1"/>
      <c r="B63" s="1"/>
      <c r="C63" s="1" t="n">
        <v>57</v>
      </c>
      <c r="D63" s="1" t="n">
        <v>55</v>
      </c>
      <c r="E63" s="46" t="s">
        <v>396</v>
      </c>
      <c r="F63" s="46" t="s">
        <v>318</v>
      </c>
      <c r="G63" s="2"/>
      <c r="H63" s="19"/>
      <c r="I63" s="46" t="s">
        <v>319</v>
      </c>
      <c r="J63" s="2"/>
      <c r="K63" s="2"/>
      <c r="L63" s="1"/>
      <c r="M63" s="1"/>
      <c r="N63" s="1"/>
    </row>
    <row r="64" customFormat="false" ht="50" hidden="false" customHeight="true" outlineLevel="0" collapsed="false">
      <c r="A64" s="1"/>
      <c r="B64" s="1"/>
      <c r="C64" s="1" t="n">
        <v>58</v>
      </c>
      <c r="D64" s="1" t="n">
        <v>56</v>
      </c>
      <c r="E64" s="46" t="s">
        <v>397</v>
      </c>
      <c r="F64" s="46" t="s">
        <v>318</v>
      </c>
      <c r="G64" s="2"/>
      <c r="H64" s="19"/>
      <c r="I64" s="46" t="s">
        <v>319</v>
      </c>
      <c r="J64" s="2"/>
      <c r="K64" s="2"/>
      <c r="L64" s="1"/>
      <c r="M64" s="1"/>
      <c r="N64" s="1"/>
    </row>
    <row r="65" customFormat="false" ht="50" hidden="false" customHeight="true" outlineLevel="0" collapsed="false">
      <c r="A65" s="1"/>
      <c r="B65" s="1"/>
      <c r="C65" s="1" t="n">
        <v>59</v>
      </c>
      <c r="D65" s="1" t="n">
        <v>57</v>
      </c>
      <c r="E65" s="46" t="s">
        <v>207</v>
      </c>
      <c r="F65" s="46" t="s">
        <v>318</v>
      </c>
      <c r="G65" s="2" t="n">
        <v>150</v>
      </c>
      <c r="H65" s="19"/>
      <c r="I65" s="46" t="s">
        <v>398</v>
      </c>
      <c r="J65" s="2"/>
      <c r="K65" s="2"/>
      <c r="L65" s="1"/>
      <c r="M65" s="1"/>
      <c r="N65" s="1"/>
    </row>
    <row r="66" customFormat="false" ht="50" hidden="false" customHeight="true" outlineLevel="0" collapsed="false">
      <c r="A66" s="1"/>
      <c r="B66" s="1"/>
      <c r="C66" s="1" t="n">
        <v>60</v>
      </c>
      <c r="D66" s="1" t="n">
        <v>58</v>
      </c>
      <c r="E66" s="46" t="s">
        <v>399</v>
      </c>
      <c r="F66" s="46" t="s">
        <v>318</v>
      </c>
      <c r="G66" s="2"/>
      <c r="H66" s="19"/>
      <c r="I66" s="46" t="s">
        <v>400</v>
      </c>
      <c r="J66" s="2"/>
      <c r="K66" s="2"/>
      <c r="L66" s="1"/>
      <c r="M66" s="1"/>
      <c r="N66" s="1"/>
    </row>
    <row r="67" customFormat="false" ht="50" hidden="false" customHeight="true" outlineLevel="0" collapsed="false">
      <c r="A67" s="1"/>
      <c r="B67" s="1"/>
      <c r="C67" s="1" t="n">
        <v>61</v>
      </c>
      <c r="D67" s="1" t="n">
        <v>59</v>
      </c>
      <c r="E67" s="46" t="s">
        <v>401</v>
      </c>
      <c r="F67" s="46" t="s">
        <v>318</v>
      </c>
      <c r="G67" s="2"/>
      <c r="H67" s="19"/>
      <c r="I67" s="46" t="s">
        <v>402</v>
      </c>
      <c r="J67" s="2"/>
      <c r="K67" s="2"/>
      <c r="L67" s="1"/>
      <c r="M67" s="1"/>
      <c r="N67" s="1"/>
    </row>
    <row r="68" customFormat="false" ht="50" hidden="false" customHeight="true" outlineLevel="0" collapsed="false">
      <c r="A68" s="1"/>
      <c r="B68" s="1"/>
      <c r="C68" s="1" t="n">
        <v>62</v>
      </c>
      <c r="D68" s="1" t="n">
        <v>60</v>
      </c>
      <c r="E68" s="46" t="s">
        <v>403</v>
      </c>
      <c r="F68" s="46" t="s">
        <v>318</v>
      </c>
      <c r="G68" s="2"/>
      <c r="H68" s="19"/>
      <c r="I68" s="46" t="s">
        <v>319</v>
      </c>
      <c r="J68" s="2"/>
      <c r="K68" s="2"/>
      <c r="L68" s="1"/>
      <c r="M68" s="1"/>
      <c r="N68" s="1"/>
    </row>
    <row r="69" customFormat="false" ht="50" hidden="false" customHeight="true" outlineLevel="0" collapsed="false">
      <c r="A69" s="1"/>
      <c r="B69" s="1"/>
      <c r="C69" s="1" t="n">
        <v>63</v>
      </c>
      <c r="D69" s="1" t="n">
        <v>61</v>
      </c>
      <c r="E69" s="46" t="s">
        <v>404</v>
      </c>
      <c r="F69" s="46" t="s">
        <v>318</v>
      </c>
      <c r="G69" s="2"/>
      <c r="H69" s="19"/>
      <c r="I69" s="46" t="s">
        <v>319</v>
      </c>
      <c r="J69" s="2"/>
      <c r="K69" s="2"/>
      <c r="L69" s="1"/>
      <c r="M69" s="1"/>
      <c r="N69" s="1"/>
    </row>
    <row r="70" customFormat="false" ht="50" hidden="false" customHeight="true" outlineLevel="0" collapsed="false">
      <c r="A70" s="1"/>
      <c r="B70" s="1"/>
      <c r="C70" s="1" t="n">
        <v>64</v>
      </c>
      <c r="D70" s="1" t="n">
        <v>62</v>
      </c>
      <c r="E70" s="46" t="s">
        <v>405</v>
      </c>
      <c r="F70" s="46" t="s">
        <v>318</v>
      </c>
      <c r="G70" s="2"/>
      <c r="H70" s="19"/>
      <c r="I70" s="46" t="s">
        <v>319</v>
      </c>
      <c r="J70" s="2"/>
      <c r="K70" s="2"/>
      <c r="L70" s="1"/>
      <c r="M70" s="1"/>
      <c r="N70" s="1"/>
    </row>
    <row r="71" customFormat="false" ht="50" hidden="false" customHeight="true" outlineLevel="0" collapsed="false">
      <c r="A71" s="1"/>
      <c r="B71" s="1"/>
      <c r="C71" s="1" t="n">
        <v>65</v>
      </c>
      <c r="D71" s="1" t="n">
        <v>63</v>
      </c>
      <c r="E71" s="46" t="s">
        <v>406</v>
      </c>
      <c r="F71" s="46" t="s">
        <v>318</v>
      </c>
      <c r="G71" s="2"/>
      <c r="H71" s="19"/>
      <c r="I71" s="46" t="s">
        <v>319</v>
      </c>
      <c r="J71" s="2"/>
      <c r="K71" s="2"/>
      <c r="L71" s="1"/>
      <c r="M71" s="1"/>
      <c r="N71" s="1"/>
    </row>
    <row r="72" customFormat="false" ht="50" hidden="false" customHeight="true" outlineLevel="0" collapsed="false">
      <c r="A72" s="1"/>
      <c r="B72" s="1"/>
      <c r="C72" s="1" t="n">
        <v>66</v>
      </c>
      <c r="D72" s="1" t="n">
        <v>64</v>
      </c>
      <c r="E72" s="46" t="s">
        <v>407</v>
      </c>
      <c r="F72" s="46" t="s">
        <v>318</v>
      </c>
      <c r="G72" s="2"/>
      <c r="H72" s="19"/>
      <c r="I72" s="46" t="s">
        <v>319</v>
      </c>
      <c r="J72" s="2"/>
      <c r="K72" s="2"/>
      <c r="L72" s="1"/>
      <c r="M72" s="1"/>
      <c r="N72" s="1"/>
    </row>
    <row r="73" customFormat="false" ht="50" hidden="false" customHeight="true" outlineLevel="0" collapsed="false">
      <c r="A73" s="1"/>
      <c r="B73" s="1"/>
      <c r="C73" s="1" t="n">
        <v>67</v>
      </c>
      <c r="D73" s="1" t="n">
        <v>65</v>
      </c>
      <c r="E73" s="46" t="s">
        <v>408</v>
      </c>
      <c r="F73" s="46" t="s">
        <v>318</v>
      </c>
      <c r="G73" s="2"/>
      <c r="H73" s="19"/>
      <c r="I73" s="46" t="s">
        <v>319</v>
      </c>
      <c r="J73" s="2"/>
      <c r="K73" s="2"/>
      <c r="L73" s="1"/>
      <c r="M73" s="1"/>
      <c r="N73" s="1"/>
    </row>
    <row r="74" customFormat="false" ht="50" hidden="false" customHeight="true" outlineLevel="0" collapsed="false">
      <c r="A74" s="1"/>
      <c r="B74" s="1"/>
      <c r="C74" s="1" t="n">
        <v>68</v>
      </c>
      <c r="D74" s="1" t="n">
        <v>66</v>
      </c>
      <c r="E74" s="46" t="s">
        <v>409</v>
      </c>
      <c r="F74" s="46" t="s">
        <v>318</v>
      </c>
      <c r="G74" s="2"/>
      <c r="H74" s="19"/>
      <c r="I74" s="46" t="s">
        <v>319</v>
      </c>
      <c r="J74" s="2"/>
      <c r="K74" s="2"/>
      <c r="L74" s="1"/>
      <c r="M74" s="1"/>
      <c r="N74" s="1"/>
    </row>
    <row r="75" customFormat="false" ht="50" hidden="false" customHeight="true" outlineLevel="0" collapsed="false">
      <c r="A75" s="1"/>
      <c r="B75" s="1"/>
      <c r="C75" s="1" t="n">
        <v>69</v>
      </c>
      <c r="D75" s="1" t="n">
        <v>67</v>
      </c>
      <c r="E75" s="46" t="s">
        <v>410</v>
      </c>
      <c r="F75" s="46" t="s">
        <v>318</v>
      </c>
      <c r="G75" s="2"/>
      <c r="H75" s="19"/>
      <c r="I75" s="46" t="s">
        <v>319</v>
      </c>
      <c r="J75" s="2"/>
      <c r="K75" s="2"/>
      <c r="L75" s="1"/>
      <c r="M75" s="1"/>
      <c r="N75" s="1"/>
    </row>
    <row r="76" customFormat="false" ht="50" hidden="false" customHeight="true" outlineLevel="0" collapsed="false">
      <c r="A76" s="1"/>
      <c r="B76" s="1"/>
      <c r="C76" s="1" t="n">
        <v>70</v>
      </c>
      <c r="D76" s="1" t="n">
        <v>68</v>
      </c>
      <c r="E76" s="46" t="s">
        <v>411</v>
      </c>
      <c r="F76" s="46" t="s">
        <v>318</v>
      </c>
      <c r="G76" s="2"/>
      <c r="H76" s="19"/>
      <c r="I76" s="46" t="s">
        <v>319</v>
      </c>
      <c r="J76" s="2"/>
      <c r="K76" s="2"/>
      <c r="L76" s="1"/>
      <c r="M76" s="1"/>
      <c r="N76" s="1"/>
    </row>
    <row r="77" customFormat="false" ht="50" hidden="false" customHeight="true" outlineLevel="0" collapsed="false">
      <c r="A77" s="1"/>
      <c r="B77" s="1"/>
      <c r="C77" s="1" t="n">
        <v>71</v>
      </c>
      <c r="D77" s="1" t="n">
        <v>69</v>
      </c>
      <c r="E77" s="46" t="s">
        <v>412</v>
      </c>
      <c r="F77" s="46" t="s">
        <v>318</v>
      </c>
      <c r="G77" s="2"/>
      <c r="H77" s="19"/>
      <c r="I77" s="46" t="s">
        <v>413</v>
      </c>
      <c r="J77" s="2"/>
      <c r="K77" s="2"/>
      <c r="L77" s="1"/>
      <c r="M77" s="1"/>
      <c r="N77" s="1"/>
    </row>
    <row r="78" customFormat="false" ht="50" hidden="false" customHeight="true" outlineLevel="0" collapsed="false">
      <c r="A78" s="1"/>
      <c r="B78" s="1"/>
      <c r="C78" s="1" t="n">
        <v>72</v>
      </c>
      <c r="D78" s="1" t="n">
        <v>70</v>
      </c>
      <c r="E78" s="46" t="s">
        <v>208</v>
      </c>
      <c r="F78" s="46" t="s">
        <v>318</v>
      </c>
      <c r="G78" s="2" t="n">
        <v>20</v>
      </c>
      <c r="H78" s="19"/>
      <c r="I78" s="46" t="s">
        <v>414</v>
      </c>
      <c r="J78" s="2"/>
      <c r="K78" s="2"/>
      <c r="L78" s="1"/>
      <c r="M78" s="1"/>
      <c r="N78" s="1"/>
    </row>
    <row r="79" customFormat="false" ht="50" hidden="false" customHeight="true" outlineLevel="0" collapsed="false">
      <c r="A79" s="1"/>
      <c r="B79" s="1"/>
      <c r="C79" s="1" t="n">
        <v>73</v>
      </c>
      <c r="D79" s="1" t="n">
        <v>71</v>
      </c>
      <c r="E79" s="46" t="s">
        <v>415</v>
      </c>
      <c r="F79" s="46" t="s">
        <v>318</v>
      </c>
      <c r="G79" s="2"/>
      <c r="H79" s="19"/>
      <c r="I79" s="46" t="s">
        <v>416</v>
      </c>
      <c r="J79" s="2"/>
      <c r="K79" s="2"/>
      <c r="L79" s="1"/>
      <c r="M79" s="1"/>
      <c r="N79" s="1"/>
    </row>
    <row r="80" customFormat="false" ht="50" hidden="false" customHeight="true" outlineLevel="0" collapsed="false">
      <c r="A80" s="1"/>
      <c r="B80" s="1"/>
      <c r="C80" s="1" t="n">
        <v>74</v>
      </c>
      <c r="D80" s="1" t="n">
        <v>72</v>
      </c>
      <c r="E80" s="46" t="s">
        <v>417</v>
      </c>
      <c r="F80" s="46" t="s">
        <v>318</v>
      </c>
      <c r="G80" s="2"/>
      <c r="H80" s="19"/>
      <c r="I80" s="46" t="s">
        <v>319</v>
      </c>
      <c r="J80" s="2"/>
      <c r="K80" s="2"/>
      <c r="L80" s="1"/>
      <c r="M80" s="1"/>
      <c r="N80" s="1"/>
    </row>
    <row r="81" customFormat="false" ht="50" hidden="false" customHeight="true" outlineLevel="0" collapsed="false">
      <c r="A81" s="1"/>
      <c r="B81" s="1"/>
      <c r="C81" s="1" t="n">
        <v>75</v>
      </c>
      <c r="D81" s="1" t="n">
        <v>73</v>
      </c>
      <c r="E81" s="46" t="s">
        <v>418</v>
      </c>
      <c r="F81" s="46" t="s">
        <v>318</v>
      </c>
      <c r="G81" s="2"/>
      <c r="H81" s="19"/>
      <c r="I81" s="46" t="s">
        <v>419</v>
      </c>
      <c r="J81" s="2"/>
      <c r="K81" s="2"/>
      <c r="L81" s="1"/>
      <c r="M81" s="1"/>
      <c r="N81" s="1"/>
    </row>
    <row r="82" customFormat="false" ht="50" hidden="false" customHeight="true" outlineLevel="0" collapsed="false">
      <c r="A82" s="1"/>
      <c r="B82" s="1"/>
      <c r="C82" s="1" t="n">
        <v>76</v>
      </c>
      <c r="D82" s="1" t="n">
        <v>74</v>
      </c>
      <c r="E82" s="46" t="s">
        <v>209</v>
      </c>
      <c r="F82" s="46" t="s">
        <v>420</v>
      </c>
      <c r="G82" s="2" t="n">
        <v>1000</v>
      </c>
      <c r="H82" s="19"/>
      <c r="I82" s="46" t="s">
        <v>421</v>
      </c>
      <c r="J82" s="2"/>
      <c r="K82" s="2"/>
      <c r="L82" s="1"/>
      <c r="M82" s="1"/>
      <c r="N82" s="1"/>
    </row>
    <row r="83" customFormat="false" ht="50" hidden="false" customHeight="true" outlineLevel="0" collapsed="false">
      <c r="A83" s="1"/>
      <c r="B83" s="1"/>
      <c r="C83" s="1" t="n">
        <v>77</v>
      </c>
      <c r="D83" s="1" t="n">
        <v>75</v>
      </c>
      <c r="E83" s="46" t="s">
        <v>422</v>
      </c>
      <c r="F83" s="46" t="s">
        <v>318</v>
      </c>
      <c r="G83" s="2"/>
      <c r="H83" s="19"/>
      <c r="I83" s="46" t="s">
        <v>319</v>
      </c>
      <c r="J83" s="2"/>
      <c r="K83" s="2"/>
      <c r="L83" s="1"/>
      <c r="M83" s="1"/>
      <c r="N83" s="1"/>
    </row>
    <row r="84" customFormat="false" ht="50" hidden="false" customHeight="true" outlineLevel="0" collapsed="false">
      <c r="A84" s="1"/>
      <c r="B84" s="1"/>
      <c r="C84" s="1" t="n">
        <v>78</v>
      </c>
      <c r="D84" s="1" t="n">
        <v>76</v>
      </c>
      <c r="E84" s="46" t="s">
        <v>423</v>
      </c>
      <c r="F84" s="46" t="s">
        <v>318</v>
      </c>
      <c r="G84" s="2"/>
      <c r="H84" s="19"/>
      <c r="I84" s="46" t="s">
        <v>319</v>
      </c>
      <c r="J84" s="2"/>
      <c r="K84" s="2"/>
      <c r="L84" s="1"/>
      <c r="M84" s="1"/>
      <c r="N84" s="1"/>
    </row>
    <row r="85" customFormat="false" ht="50" hidden="false" customHeight="true" outlineLevel="0" collapsed="false">
      <c r="A85" s="1"/>
      <c r="B85" s="1"/>
      <c r="C85" s="1" t="n">
        <v>79</v>
      </c>
      <c r="D85" s="1" t="n">
        <v>77</v>
      </c>
      <c r="E85" s="46" t="s">
        <v>424</v>
      </c>
      <c r="F85" s="46" t="s">
        <v>318</v>
      </c>
      <c r="G85" s="2"/>
      <c r="H85" s="19"/>
      <c r="I85" s="46" t="s">
        <v>319</v>
      </c>
      <c r="J85" s="2"/>
      <c r="K85" s="2"/>
      <c r="L85" s="1"/>
      <c r="M85" s="1"/>
      <c r="N85" s="1"/>
    </row>
    <row r="86" customFormat="false" ht="50" hidden="false" customHeight="true" outlineLevel="0" collapsed="false">
      <c r="A86" s="1"/>
      <c r="B86" s="1"/>
      <c r="C86" s="1" t="n">
        <v>80</v>
      </c>
      <c r="D86" s="1" t="n">
        <v>78</v>
      </c>
      <c r="E86" s="46" t="s">
        <v>425</v>
      </c>
      <c r="F86" s="46" t="s">
        <v>318</v>
      </c>
      <c r="G86" s="2"/>
      <c r="H86" s="19"/>
      <c r="I86" s="46" t="s">
        <v>426</v>
      </c>
      <c r="J86" s="2"/>
      <c r="K86" s="2"/>
      <c r="L86" s="1"/>
      <c r="M86" s="1"/>
      <c r="N86" s="1"/>
    </row>
    <row r="87" customFormat="false" ht="50" hidden="false" customHeight="true" outlineLevel="0" collapsed="false">
      <c r="A87" s="1"/>
      <c r="B87" s="1"/>
      <c r="C87" s="1" t="n">
        <v>81</v>
      </c>
      <c r="D87" s="1" t="n">
        <v>79</v>
      </c>
      <c r="E87" s="46" t="s">
        <v>427</v>
      </c>
      <c r="F87" s="46" t="s">
        <v>318</v>
      </c>
      <c r="G87" s="2"/>
      <c r="H87" s="19"/>
      <c r="I87" s="46" t="s">
        <v>319</v>
      </c>
      <c r="J87" s="2"/>
      <c r="K87" s="2"/>
      <c r="L87" s="1"/>
      <c r="M87" s="1"/>
      <c r="N87" s="1"/>
    </row>
    <row r="88" customFormat="false" ht="50" hidden="false" customHeight="true" outlineLevel="0" collapsed="false">
      <c r="A88" s="1"/>
      <c r="B88" s="1"/>
      <c r="C88" s="1" t="n">
        <v>82</v>
      </c>
      <c r="D88" s="1" t="n">
        <v>80</v>
      </c>
      <c r="E88" s="46" t="s">
        <v>428</v>
      </c>
      <c r="F88" s="46" t="s">
        <v>318</v>
      </c>
      <c r="G88" s="2"/>
      <c r="H88" s="19"/>
      <c r="I88" s="46" t="s">
        <v>429</v>
      </c>
      <c r="J88" s="2"/>
      <c r="K88" s="2"/>
      <c r="L88" s="1"/>
      <c r="M88" s="1"/>
      <c r="N88" s="1"/>
    </row>
    <row r="89" customFormat="false" ht="50" hidden="false" customHeight="true" outlineLevel="0" collapsed="false">
      <c r="A89" s="1"/>
      <c r="B89" s="1"/>
      <c r="C89" s="1" t="n">
        <v>83</v>
      </c>
      <c r="D89" s="1" t="n">
        <v>81</v>
      </c>
      <c r="E89" s="46" t="s">
        <v>430</v>
      </c>
      <c r="F89" s="46" t="s">
        <v>318</v>
      </c>
      <c r="G89" s="2"/>
      <c r="H89" s="19"/>
      <c r="I89" s="46" t="s">
        <v>319</v>
      </c>
      <c r="J89" s="2"/>
      <c r="K89" s="2"/>
      <c r="L89" s="1"/>
      <c r="M89" s="1"/>
      <c r="N89" s="1"/>
    </row>
    <row r="90" customFormat="false" ht="50" hidden="false" customHeight="true" outlineLevel="0" collapsed="false">
      <c r="A90" s="1"/>
      <c r="B90" s="1"/>
      <c r="C90" s="1" t="n">
        <v>84</v>
      </c>
      <c r="D90" s="1" t="n">
        <v>82</v>
      </c>
      <c r="E90" s="46" t="s">
        <v>431</v>
      </c>
      <c r="F90" s="46" t="s">
        <v>318</v>
      </c>
      <c r="G90" s="2"/>
      <c r="H90" s="19"/>
      <c r="I90" s="46" t="s">
        <v>319</v>
      </c>
      <c r="J90" s="2"/>
      <c r="K90" s="2"/>
      <c r="L90" s="1"/>
      <c r="M90" s="1"/>
      <c r="N90" s="1"/>
    </row>
    <row r="91" customFormat="false" ht="50" hidden="false" customHeight="true" outlineLevel="0" collapsed="false">
      <c r="A91" s="1"/>
      <c r="B91" s="1"/>
      <c r="C91" s="1" t="n">
        <v>85</v>
      </c>
      <c r="D91" s="1" t="n">
        <v>83</v>
      </c>
      <c r="E91" s="46" t="s">
        <v>432</v>
      </c>
      <c r="F91" s="46" t="s">
        <v>318</v>
      </c>
      <c r="G91" s="2"/>
      <c r="H91" s="19"/>
      <c r="I91" s="46" t="s">
        <v>433</v>
      </c>
      <c r="J91" s="2"/>
      <c r="K91" s="2"/>
      <c r="L91" s="1"/>
      <c r="M91" s="1"/>
      <c r="N91" s="1"/>
    </row>
    <row r="92" customFormat="false" ht="50" hidden="false" customHeight="true" outlineLevel="0" collapsed="false">
      <c r="A92" s="1"/>
      <c r="B92" s="1"/>
      <c r="C92" s="1" t="n">
        <v>86</v>
      </c>
      <c r="D92" s="1" t="n">
        <v>84</v>
      </c>
      <c r="E92" s="46" t="s">
        <v>434</v>
      </c>
      <c r="F92" s="46" t="s">
        <v>318</v>
      </c>
      <c r="G92" s="2"/>
      <c r="H92" s="19"/>
      <c r="I92" s="46" t="s">
        <v>435</v>
      </c>
      <c r="J92" s="2"/>
      <c r="K92" s="2"/>
      <c r="L92" s="1"/>
      <c r="M92" s="1"/>
      <c r="N92" s="1"/>
    </row>
    <row r="93" customFormat="false" ht="50" hidden="false" customHeight="true" outlineLevel="0" collapsed="false">
      <c r="A93" s="1"/>
      <c r="B93" s="1"/>
      <c r="C93" s="1" t="n">
        <v>87</v>
      </c>
      <c r="D93" s="1" t="n">
        <v>85</v>
      </c>
      <c r="E93" s="46" t="s">
        <v>436</v>
      </c>
      <c r="F93" s="46" t="s">
        <v>318</v>
      </c>
      <c r="G93" s="2"/>
      <c r="H93" s="19"/>
      <c r="I93" s="46" t="s">
        <v>437</v>
      </c>
      <c r="J93" s="2"/>
      <c r="K93" s="2"/>
      <c r="L93" s="1"/>
      <c r="M93" s="1"/>
      <c r="N93" s="1"/>
    </row>
    <row r="94" customFormat="false" ht="50" hidden="false" customHeight="true" outlineLevel="0" collapsed="false">
      <c r="A94" s="1"/>
      <c r="B94" s="1"/>
      <c r="C94" s="1" t="n">
        <v>88</v>
      </c>
      <c r="D94" s="1" t="n">
        <v>86</v>
      </c>
      <c r="E94" s="46" t="s">
        <v>438</v>
      </c>
      <c r="F94" s="46" t="s">
        <v>318</v>
      </c>
      <c r="G94" s="2"/>
      <c r="H94" s="19"/>
      <c r="I94" s="46" t="s">
        <v>439</v>
      </c>
      <c r="J94" s="2"/>
      <c r="K94" s="2"/>
      <c r="L94" s="1"/>
      <c r="M94" s="1"/>
      <c r="N94" s="1"/>
    </row>
    <row r="95" customFormat="false" ht="50" hidden="false" customHeight="true" outlineLevel="0" collapsed="false">
      <c r="A95" s="1"/>
      <c r="B95" s="1"/>
      <c r="C95" s="1" t="n">
        <v>89</v>
      </c>
      <c r="D95" s="1" t="n">
        <v>87</v>
      </c>
      <c r="E95" s="46" t="s">
        <v>440</v>
      </c>
      <c r="F95" s="46" t="s">
        <v>441</v>
      </c>
      <c r="G95" s="2"/>
      <c r="H95" s="19"/>
      <c r="I95" s="46" t="s">
        <v>442</v>
      </c>
      <c r="J95" s="2"/>
      <c r="K95" s="2"/>
      <c r="L95" s="1"/>
      <c r="M95" s="1"/>
      <c r="N95" s="1"/>
    </row>
    <row r="96" customFormat="false" ht="50" hidden="false" customHeight="true" outlineLevel="0" collapsed="false">
      <c r="A96" s="1"/>
      <c r="B96" s="1"/>
      <c r="C96" s="1" t="n">
        <v>90</v>
      </c>
      <c r="D96" s="1" t="n">
        <v>88</v>
      </c>
      <c r="E96" s="46" t="s">
        <v>443</v>
      </c>
      <c r="F96" s="46" t="s">
        <v>318</v>
      </c>
      <c r="G96" s="2"/>
      <c r="H96" s="19"/>
      <c r="I96" s="46" t="s">
        <v>319</v>
      </c>
      <c r="J96" s="2"/>
      <c r="K96" s="2"/>
      <c r="L96" s="1"/>
      <c r="M96" s="1"/>
      <c r="N96" s="1"/>
    </row>
    <row r="97" customFormat="false" ht="50" hidden="false" customHeight="true" outlineLevel="0" collapsed="false">
      <c r="A97" s="1"/>
      <c r="B97" s="1"/>
      <c r="C97" s="1" t="n">
        <v>91</v>
      </c>
      <c r="D97" s="1" t="n">
        <v>89</v>
      </c>
      <c r="E97" s="46" t="s">
        <v>444</v>
      </c>
      <c r="F97" s="46" t="s">
        <v>318</v>
      </c>
      <c r="G97" s="2"/>
      <c r="H97" s="19"/>
      <c r="I97" s="46" t="s">
        <v>319</v>
      </c>
      <c r="J97" s="2"/>
      <c r="K97" s="2"/>
      <c r="L97" s="1"/>
      <c r="M97" s="1"/>
      <c r="N97" s="1"/>
    </row>
    <row r="98" customFormat="false" ht="50" hidden="false" customHeight="true" outlineLevel="0" collapsed="false">
      <c r="A98" s="1"/>
      <c r="B98" s="1"/>
      <c r="C98" s="1" t="n">
        <v>92</v>
      </c>
      <c r="D98" s="1" t="n">
        <v>90</v>
      </c>
      <c r="E98" s="46" t="s">
        <v>445</v>
      </c>
      <c r="F98" s="46" t="s">
        <v>318</v>
      </c>
      <c r="G98" s="2"/>
      <c r="H98" s="19"/>
      <c r="I98" s="46" t="s">
        <v>446</v>
      </c>
      <c r="J98" s="2"/>
      <c r="K98" s="2"/>
      <c r="L98" s="1"/>
      <c r="M98" s="1"/>
      <c r="N98" s="1"/>
    </row>
    <row r="99" customFormat="false" ht="50" hidden="false" customHeight="true" outlineLevel="0" collapsed="false">
      <c r="A99" s="1"/>
      <c r="B99" s="1"/>
      <c r="C99" s="1" t="n">
        <v>93</v>
      </c>
      <c r="D99" s="1" t="n">
        <v>91</v>
      </c>
      <c r="E99" s="46" t="s">
        <v>211</v>
      </c>
      <c r="F99" s="46" t="s">
        <v>318</v>
      </c>
      <c r="G99" s="2" t="n">
        <v>150</v>
      </c>
      <c r="H99" s="19"/>
      <c r="I99" s="46" t="s">
        <v>447</v>
      </c>
      <c r="J99" s="2"/>
      <c r="K99" s="2"/>
      <c r="L99" s="1"/>
      <c r="M99" s="1"/>
      <c r="N99" s="1"/>
    </row>
    <row r="100" customFormat="false" ht="24" hidden="false" customHeight="true" outlineLevel="0" collapsed="false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1"/>
      <c r="M100" s="1"/>
      <c r="N100" s="1"/>
    </row>
    <row r="101" customFormat="false" ht="24" hidden="false" customHeight="true" outlineLevel="0" collapsed="false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1"/>
      <c r="M101" s="1"/>
      <c r="N101" s="1"/>
    </row>
    <row r="102" customFormat="false" ht="24" hidden="false" customHeight="true" outlineLevel="0" collapsed="false">
      <c r="A102" s="1"/>
      <c r="B102" s="1"/>
      <c r="C102" s="7" t="s">
        <v>448</v>
      </c>
      <c r="D102" s="1"/>
      <c r="E102" s="2"/>
      <c r="F102" s="2"/>
      <c r="G102" s="2"/>
      <c r="H102" s="2"/>
      <c r="I102" s="2"/>
      <c r="J102" s="2"/>
      <c r="K102" s="2"/>
      <c r="L102" s="1"/>
      <c r="M102" s="1"/>
      <c r="N102" s="1"/>
    </row>
    <row r="103" customFormat="false" ht="24" hidden="false" customHeight="true" outlineLevel="0" collapsed="false">
      <c r="A103" s="1"/>
      <c r="B103" s="1"/>
      <c r="C103" s="7" t="s">
        <v>449</v>
      </c>
      <c r="D103" s="1"/>
      <c r="E103" s="2"/>
      <c r="F103" s="2"/>
      <c r="G103" s="2"/>
      <c r="H103" s="2"/>
      <c r="I103" s="2"/>
      <c r="J103" s="2"/>
      <c r="K103" s="2"/>
      <c r="L103" s="1"/>
      <c r="M103" s="1"/>
      <c r="N103" s="1"/>
    </row>
    <row r="104" customFormat="false" ht="24" hidden="false" customHeight="true" outlineLevel="0" collapsed="false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1"/>
      <c r="M104" s="1"/>
      <c r="N104" s="1"/>
    </row>
    <row r="105" customFormat="false" ht="24" hidden="false" customHeight="true" outlineLevel="0" collapsed="false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1"/>
      <c r="M105" s="1"/>
      <c r="N105" s="1"/>
    </row>
    <row r="106" customFormat="false" ht="24" hidden="false" customHeight="true" outlineLevel="0" collapsed="false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1"/>
      <c r="M106" s="1"/>
      <c r="N106" s="1"/>
    </row>
    <row r="107" customFormat="false" ht="24" hidden="false" customHeight="true" outlineLevel="0" collapsed="false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1"/>
      <c r="M107" s="1"/>
      <c r="N107" s="1"/>
    </row>
    <row r="108" customFormat="false" ht="24" hidden="false" customHeight="true" outlineLevel="0" collapsed="false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1"/>
      <c r="M108" s="1"/>
      <c r="N108" s="1"/>
    </row>
    <row r="109" customFormat="false" ht="24" hidden="false" customHeight="true" outlineLevel="0" collapsed="false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1"/>
      <c r="M109" s="1"/>
      <c r="N109" s="1"/>
    </row>
    <row r="110" customFormat="false" ht="24" hidden="false" customHeight="true" outlineLevel="0" collapsed="false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1"/>
      <c r="M110" s="1"/>
      <c r="N110" s="1"/>
    </row>
  </sheetData>
  <dataValidations count="1">
    <dataValidation allowBlank="false" errorStyle="stop" operator="greaterThanOrEqual" showDropDown="false" showErrorMessage="false" showInputMessage="false" sqref="H8:H99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9"/>
    <col collapsed="false" customWidth="true" hidden="false" outlineLevel="0" max="4" min="4" style="0" width="58"/>
    <col collapsed="false" customWidth="true" hidden="false" outlineLevel="0" max="5" min="5" style="0" width="65"/>
    <col collapsed="false" customWidth="true" hidden="false" outlineLevel="0" max="6" min="6" style="0" width="80"/>
    <col collapsed="false" customWidth="true" hidden="false" outlineLevel="0" max="11" min="7" style="0" width="18"/>
    <col collapsed="false" customWidth="true" hidden="false" outlineLevel="0" max="12" min="12" style="0" width="3"/>
    <col collapsed="false" customWidth="true" hidden="false" outlineLevel="0" max="13" min="13" style="0" width="100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450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6" t="str">
        <f aca="false">Assumptions!E5</f>
        <v>Base</v>
      </c>
      <c r="F4" s="6"/>
      <c r="G4" s="2"/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7" t="s">
        <v>451</v>
      </c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30" hidden="false" customHeight="true" outlineLevel="0" collapsed="false">
      <c r="A7" s="1"/>
      <c r="B7" s="1"/>
      <c r="C7" s="8" t="s">
        <v>452</v>
      </c>
      <c r="D7" s="8" t="s">
        <v>453</v>
      </c>
      <c r="E7" s="9" t="s">
        <v>454</v>
      </c>
      <c r="F7" s="9" t="s">
        <v>455</v>
      </c>
      <c r="G7" s="2"/>
      <c r="H7" s="2"/>
      <c r="I7" s="2"/>
      <c r="J7" s="2"/>
      <c r="K7" s="2"/>
      <c r="L7" s="1"/>
      <c r="M7" s="1"/>
      <c r="N7" s="1"/>
    </row>
    <row r="8" customFormat="false" ht="96" hidden="false" customHeight="true" outlineLevel="0" collapsed="false">
      <c r="A8" s="1"/>
      <c r="B8" s="1"/>
      <c r="C8" s="1" t="s">
        <v>456</v>
      </c>
      <c r="D8" s="44" t="s">
        <v>457</v>
      </c>
      <c r="E8" s="46" t="s">
        <v>458</v>
      </c>
      <c r="F8" s="46" t="s">
        <v>459</v>
      </c>
      <c r="G8" s="2"/>
      <c r="H8" s="2"/>
      <c r="I8" s="2"/>
      <c r="J8" s="2"/>
      <c r="K8" s="2"/>
      <c r="L8" s="1"/>
      <c r="M8" s="1"/>
      <c r="N8" s="1"/>
    </row>
    <row r="9" customFormat="false" ht="96" hidden="false" customHeight="true" outlineLevel="0" collapsed="false">
      <c r="A9" s="1"/>
      <c r="B9" s="1"/>
      <c r="C9" s="1" t="s">
        <v>460</v>
      </c>
      <c r="D9" s="44" t="s">
        <v>461</v>
      </c>
      <c r="E9" s="46" t="s">
        <v>462</v>
      </c>
      <c r="F9" s="46" t="s">
        <v>463</v>
      </c>
      <c r="G9" s="2"/>
      <c r="H9" s="2"/>
      <c r="I9" s="2"/>
      <c r="J9" s="2"/>
      <c r="K9" s="2"/>
      <c r="L9" s="1"/>
      <c r="M9" s="1"/>
      <c r="N9" s="1"/>
    </row>
    <row r="10" customFormat="false" ht="96" hidden="false" customHeight="true" outlineLevel="0" collapsed="false">
      <c r="A10" s="1"/>
      <c r="B10" s="1"/>
      <c r="C10" s="1" t="s">
        <v>464</v>
      </c>
      <c r="D10" s="44" t="s">
        <v>465</v>
      </c>
      <c r="E10" s="46" t="s">
        <v>466</v>
      </c>
      <c r="F10" s="46" t="s">
        <v>467</v>
      </c>
      <c r="G10" s="2"/>
      <c r="H10" s="2"/>
      <c r="I10" s="2"/>
      <c r="J10" s="2"/>
      <c r="K10" s="2"/>
      <c r="L10" s="1"/>
      <c r="M10" s="1"/>
      <c r="N10" s="1"/>
    </row>
    <row r="11" customFormat="false" ht="96" hidden="false" customHeight="true" outlineLevel="0" collapsed="false">
      <c r="A11" s="1"/>
      <c r="B11" s="1"/>
      <c r="C11" s="1" t="s">
        <v>468</v>
      </c>
      <c r="D11" s="44" t="s">
        <v>469</v>
      </c>
      <c r="E11" s="46" t="s">
        <v>470</v>
      </c>
      <c r="F11" s="46" t="s">
        <v>471</v>
      </c>
      <c r="G11" s="2"/>
      <c r="H11" s="2"/>
      <c r="I11" s="2"/>
      <c r="J11" s="2"/>
      <c r="K11" s="2"/>
      <c r="L11" s="1"/>
      <c r="M11" s="1"/>
      <c r="N11" s="1"/>
    </row>
    <row r="12" customFormat="false" ht="96" hidden="false" customHeight="true" outlineLevel="0" collapsed="false">
      <c r="A12" s="1"/>
      <c r="B12" s="1"/>
      <c r="C12" s="1" t="s">
        <v>472</v>
      </c>
      <c r="D12" s="44" t="s">
        <v>473</v>
      </c>
      <c r="E12" s="46" t="s">
        <v>474</v>
      </c>
      <c r="F12" s="46" t="s">
        <v>475</v>
      </c>
      <c r="G12" s="2"/>
      <c r="H12" s="2"/>
      <c r="I12" s="2"/>
      <c r="J12" s="2"/>
      <c r="K12" s="2"/>
      <c r="L12" s="1"/>
      <c r="M12" s="1"/>
      <c r="N12" s="1"/>
    </row>
    <row r="13" customFormat="false" ht="96" hidden="false" customHeight="true" outlineLevel="0" collapsed="false">
      <c r="A13" s="1"/>
      <c r="B13" s="1"/>
      <c r="C13" s="1" t="s">
        <v>476</v>
      </c>
      <c r="D13" s="44" t="s">
        <v>477</v>
      </c>
      <c r="E13" s="46" t="s">
        <v>478</v>
      </c>
      <c r="F13" s="46" t="s">
        <v>479</v>
      </c>
      <c r="G13" s="2"/>
      <c r="H13" s="2"/>
      <c r="I13" s="2"/>
      <c r="J13" s="2"/>
      <c r="K13" s="2"/>
      <c r="L13" s="1"/>
      <c r="M13" s="1"/>
      <c r="N13" s="1"/>
    </row>
    <row r="14" customFormat="false" ht="96" hidden="false" customHeight="true" outlineLevel="0" collapsed="false">
      <c r="A14" s="1"/>
      <c r="B14" s="1"/>
      <c r="C14" s="1" t="s">
        <v>480</v>
      </c>
      <c r="D14" s="44" t="s">
        <v>481</v>
      </c>
      <c r="E14" s="46" t="s">
        <v>482</v>
      </c>
      <c r="F14" s="46" t="s">
        <v>483</v>
      </c>
      <c r="G14" s="2"/>
      <c r="H14" s="2"/>
      <c r="I14" s="2"/>
      <c r="J14" s="2"/>
      <c r="K14" s="2"/>
      <c r="L14" s="1"/>
      <c r="M14" s="1"/>
      <c r="N14" s="1"/>
    </row>
    <row r="15" customFormat="false" ht="96" hidden="false" customHeight="true" outlineLevel="0" collapsed="false">
      <c r="A15" s="1"/>
      <c r="B15" s="1"/>
      <c r="C15" s="1" t="s">
        <v>484</v>
      </c>
      <c r="D15" s="44" t="s">
        <v>485</v>
      </c>
      <c r="E15" s="46" t="s">
        <v>486</v>
      </c>
      <c r="F15" s="46" t="s">
        <v>487</v>
      </c>
      <c r="G15" s="2"/>
      <c r="H15" s="2"/>
      <c r="I15" s="2"/>
      <c r="J15" s="2"/>
      <c r="K15" s="2"/>
      <c r="L15" s="1"/>
      <c r="M15" s="1"/>
      <c r="N15" s="1"/>
    </row>
    <row r="16" customFormat="false" ht="96" hidden="false" customHeight="true" outlineLevel="0" collapsed="false">
      <c r="A16" s="1"/>
      <c r="B16" s="1"/>
      <c r="C16" s="1" t="s">
        <v>488</v>
      </c>
      <c r="D16" s="44" t="s">
        <v>489</v>
      </c>
      <c r="E16" s="46" t="s">
        <v>490</v>
      </c>
      <c r="F16" s="46" t="s">
        <v>491</v>
      </c>
      <c r="G16" s="2"/>
      <c r="H16" s="2"/>
      <c r="I16" s="2"/>
      <c r="J16" s="2"/>
      <c r="K16" s="2"/>
      <c r="L16" s="1"/>
      <c r="M16" s="1"/>
      <c r="N16" s="1"/>
    </row>
    <row r="17" customFormat="false" ht="96" hidden="false" customHeight="true" outlineLevel="0" collapsed="false">
      <c r="A17" s="1"/>
      <c r="B17" s="1"/>
      <c r="C17" s="1" t="s">
        <v>492</v>
      </c>
      <c r="D17" s="44" t="s">
        <v>493</v>
      </c>
      <c r="E17" s="46" t="s">
        <v>494</v>
      </c>
      <c r="F17" s="46" t="s">
        <v>495</v>
      </c>
      <c r="G17" s="2"/>
      <c r="H17" s="2"/>
      <c r="I17" s="2"/>
      <c r="J17" s="2"/>
      <c r="K17" s="2"/>
      <c r="L17" s="1"/>
      <c r="M17" s="1"/>
      <c r="N17" s="1"/>
    </row>
    <row r="18" customFormat="false" ht="96" hidden="false" customHeight="true" outlineLevel="0" collapsed="false">
      <c r="A18" s="1"/>
      <c r="B18" s="1"/>
      <c r="C18" s="1" t="s">
        <v>496</v>
      </c>
      <c r="D18" s="44" t="s">
        <v>497</v>
      </c>
      <c r="E18" s="46" t="s">
        <v>498</v>
      </c>
      <c r="F18" s="46" t="s">
        <v>499</v>
      </c>
      <c r="G18" s="2"/>
      <c r="H18" s="2"/>
      <c r="I18" s="2"/>
      <c r="J18" s="2"/>
      <c r="K18" s="2"/>
      <c r="L18" s="1"/>
      <c r="M18" s="1"/>
      <c r="N18" s="1"/>
    </row>
    <row r="19" customFormat="false" ht="96" hidden="false" customHeight="true" outlineLevel="0" collapsed="false">
      <c r="A19" s="1"/>
      <c r="B19" s="1"/>
      <c r="C19" s="1" t="s">
        <v>500</v>
      </c>
      <c r="D19" s="44" t="s">
        <v>501</v>
      </c>
      <c r="E19" s="46" t="s">
        <v>502</v>
      </c>
      <c r="F19" s="46" t="s">
        <v>503</v>
      </c>
      <c r="G19" s="2"/>
      <c r="H19" s="2"/>
      <c r="I19" s="2"/>
      <c r="J19" s="2"/>
      <c r="K19" s="2"/>
      <c r="L19" s="1"/>
      <c r="M19" s="1"/>
      <c r="N19" s="1"/>
    </row>
    <row r="20" customFormat="false" ht="96" hidden="false" customHeight="true" outlineLevel="0" collapsed="false">
      <c r="A20" s="1"/>
      <c r="B20" s="1"/>
      <c r="C20" s="1" t="s">
        <v>504</v>
      </c>
      <c r="D20" s="44" t="s">
        <v>505</v>
      </c>
      <c r="E20" s="46" t="s">
        <v>506</v>
      </c>
      <c r="F20" s="46" t="s">
        <v>507</v>
      </c>
      <c r="G20" s="2"/>
      <c r="H20" s="2"/>
      <c r="I20" s="2"/>
      <c r="J20" s="2"/>
      <c r="K20" s="2"/>
      <c r="L20" s="1"/>
      <c r="M20" s="1"/>
      <c r="N20" s="1"/>
    </row>
    <row r="21" customFormat="false" ht="96" hidden="false" customHeight="true" outlineLevel="0" collapsed="false">
      <c r="A21" s="1"/>
      <c r="B21" s="1"/>
      <c r="C21" s="1" t="s">
        <v>508</v>
      </c>
      <c r="D21" s="44" t="s">
        <v>509</v>
      </c>
      <c r="E21" s="46" t="s">
        <v>510</v>
      </c>
      <c r="F21" s="46" t="s">
        <v>511</v>
      </c>
      <c r="G21" s="2"/>
      <c r="H21" s="2"/>
      <c r="I21" s="2"/>
      <c r="J21" s="2"/>
      <c r="K21" s="2"/>
      <c r="L21" s="1"/>
      <c r="M21" s="1"/>
      <c r="N21" s="1"/>
    </row>
    <row r="22" customFormat="false" ht="96" hidden="false" customHeight="true" outlineLevel="0" collapsed="false">
      <c r="A22" s="1"/>
      <c r="B22" s="1"/>
      <c r="C22" s="1" t="s">
        <v>512</v>
      </c>
      <c r="D22" s="44" t="s">
        <v>513</v>
      </c>
      <c r="E22" s="46" t="s">
        <v>514</v>
      </c>
      <c r="F22" s="46" t="s">
        <v>515</v>
      </c>
      <c r="G22" s="2"/>
      <c r="H22" s="2"/>
      <c r="I22" s="2"/>
      <c r="J22" s="2"/>
      <c r="K22" s="2"/>
      <c r="L22" s="1"/>
      <c r="M22" s="1"/>
      <c r="N22" s="1"/>
    </row>
    <row r="23" customFormat="false" ht="96" hidden="false" customHeight="true" outlineLevel="0" collapsed="false">
      <c r="A23" s="1"/>
      <c r="B23" s="1"/>
      <c r="C23" s="1" t="s">
        <v>516</v>
      </c>
      <c r="D23" s="44" t="s">
        <v>517</v>
      </c>
      <c r="E23" s="46" t="s">
        <v>518</v>
      </c>
      <c r="F23" s="46" t="s">
        <v>519</v>
      </c>
      <c r="G23" s="2"/>
      <c r="H23" s="2"/>
      <c r="I23" s="2"/>
      <c r="J23" s="2"/>
      <c r="K23" s="2"/>
      <c r="L23" s="1"/>
      <c r="M23" s="1"/>
      <c r="N23" s="1"/>
    </row>
    <row r="24" customFormat="false" ht="96" hidden="false" customHeight="true" outlineLevel="0" collapsed="false">
      <c r="A24" s="1"/>
      <c r="B24" s="1"/>
      <c r="C24" s="1" t="s">
        <v>520</v>
      </c>
      <c r="D24" s="44" t="s">
        <v>521</v>
      </c>
      <c r="E24" s="46" t="s">
        <v>522</v>
      </c>
      <c r="F24" s="46" t="s">
        <v>523</v>
      </c>
      <c r="G24" s="2"/>
      <c r="H24" s="2"/>
      <c r="I24" s="2"/>
      <c r="J24" s="2"/>
      <c r="K24" s="2"/>
      <c r="L24" s="1"/>
      <c r="M24" s="1"/>
      <c r="N24" s="1"/>
    </row>
    <row r="25" customFormat="false" ht="96" hidden="false" customHeight="true" outlineLevel="0" collapsed="false">
      <c r="A25" s="1"/>
      <c r="B25" s="1"/>
      <c r="C25" s="1" t="s">
        <v>524</v>
      </c>
      <c r="D25" s="44" t="s">
        <v>525</v>
      </c>
      <c r="E25" s="46" t="s">
        <v>526</v>
      </c>
      <c r="F25" s="46" t="s">
        <v>527</v>
      </c>
      <c r="G25" s="2"/>
      <c r="H25" s="2"/>
      <c r="I25" s="2"/>
      <c r="J25" s="2"/>
      <c r="K25" s="2"/>
      <c r="L25" s="1"/>
      <c r="M25" s="1"/>
      <c r="N25" s="1"/>
    </row>
    <row r="26" customFormat="false" ht="24" hidden="false" customHeight="true" outlineLevel="0" collapsed="false">
      <c r="A26" s="1"/>
      <c r="B26" s="1"/>
      <c r="C26" s="1"/>
      <c r="D26" s="1"/>
      <c r="E26" s="2"/>
      <c r="F26" s="2"/>
      <c r="G26" s="2"/>
      <c r="H26" s="2"/>
      <c r="I26" s="2"/>
      <c r="J26" s="2"/>
      <c r="K26" s="2"/>
      <c r="L26" s="1"/>
      <c r="M26" s="1"/>
      <c r="N26" s="1"/>
    </row>
    <row r="27" customFormat="false" ht="24" hidden="false" customHeight="true" outlineLevel="0" collapsed="false">
      <c r="A27" s="1"/>
      <c r="B27" s="1"/>
      <c r="C27" s="1"/>
      <c r="D27" s="1"/>
      <c r="E27" s="2"/>
      <c r="F27" s="2"/>
      <c r="G27" s="2"/>
      <c r="H27" s="2"/>
      <c r="I27" s="2"/>
      <c r="J27" s="2"/>
      <c r="K27" s="2"/>
      <c r="L27" s="1"/>
      <c r="M27" s="1"/>
      <c r="N27" s="1"/>
    </row>
    <row r="28" customFormat="false" ht="24" hidden="false" customHeight="true" outlineLevel="0" collapsed="false">
      <c r="A28" s="1"/>
      <c r="B28" s="1"/>
      <c r="C28" s="7" t="s">
        <v>528</v>
      </c>
      <c r="D28" s="1"/>
      <c r="E28" s="2"/>
      <c r="F28" s="2"/>
      <c r="G28" s="2"/>
      <c r="H28" s="2"/>
      <c r="I28" s="2"/>
      <c r="J28" s="2"/>
      <c r="K28" s="2"/>
      <c r="L28" s="1"/>
      <c r="M28" s="1"/>
      <c r="N28" s="1"/>
    </row>
    <row r="29" customFormat="false" ht="24" hidden="false" customHeight="true" outlineLevel="0" collapsed="false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1"/>
      <c r="M29" s="1"/>
      <c r="N29" s="1"/>
    </row>
    <row r="30" customFormat="false" ht="24" hidden="false" customHeight="true" outlineLevel="0" collapsed="false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1"/>
      <c r="M30" s="1"/>
      <c r="N30" s="1"/>
    </row>
    <row r="31" customFormat="false" ht="24" hidden="false" customHeight="true" outlineLevel="0" collapsed="false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1"/>
      <c r="M31" s="1"/>
      <c r="N31" s="1"/>
    </row>
    <row r="32" customFormat="false" ht="24" hidden="false" customHeight="true" outlineLevel="0" collapsed="false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1"/>
      <c r="M32" s="1"/>
      <c r="N32" s="1"/>
    </row>
    <row r="33" customFormat="false" ht="24" hidden="false" customHeight="true" outlineLevel="0" collapsed="false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1"/>
      <c r="M33" s="1"/>
      <c r="N33" s="1"/>
    </row>
    <row r="34" customFormat="false" ht="24" hidden="false" customHeight="true" outlineLevel="0" collapsed="false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1"/>
      <c r="M34" s="1"/>
      <c r="N34" s="1"/>
    </row>
    <row r="35" customFormat="false" ht="24" hidden="false" customHeight="true" outlineLevel="0" collapsed="false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1"/>
      <c r="M35" s="1"/>
      <c r="N35" s="1"/>
    </row>
    <row r="36" customFormat="false" ht="24" hidden="false" customHeight="true" outlineLevel="0" collapsed="false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1"/>
      <c r="M36" s="1"/>
      <c r="N36" s="1"/>
    </row>
    <row r="37" customFormat="false" ht="24" hidden="false" customHeight="true" outlineLevel="0" collapsed="false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1"/>
      <c r="M37" s="1"/>
      <c r="N37" s="1"/>
    </row>
    <row r="38" customFormat="false" ht="24" hidden="false" customHeight="true" outlineLevel="0" collapsed="false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1"/>
      <c r="M38" s="1"/>
      <c r="N38" s="1"/>
    </row>
    <row r="39" customFormat="false" ht="24" hidden="false" customHeight="true" outlineLevel="0" collapsed="false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1"/>
      <c r="M39" s="1"/>
      <c r="N39" s="1"/>
    </row>
    <row r="40" customFormat="false" ht="24" hidden="false" customHeight="true" outlineLevel="0" collapsed="false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1"/>
      <c r="M40" s="1"/>
      <c r="N40" s="1"/>
    </row>
    <row r="41" customFormat="false" ht="24" hidden="false" customHeight="true" outlineLevel="0" collapsed="false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1"/>
      <c r="M41" s="1"/>
      <c r="N41" s="1"/>
    </row>
    <row r="42" customFormat="false" ht="24" hidden="false" customHeight="true" outlineLevel="0" collapsed="false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1"/>
      <c r="M42" s="1"/>
      <c r="N42" s="1"/>
    </row>
    <row r="43" customFormat="false" ht="24" hidden="false" customHeight="true" outlineLevel="0" collapsed="false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1"/>
      <c r="M43" s="1"/>
      <c r="N43" s="1"/>
    </row>
    <row r="44" customFormat="false" ht="24" hidden="false" customHeight="true" outlineLevel="0" collapsed="false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1"/>
      <c r="M44" s="1"/>
      <c r="N44" s="1"/>
    </row>
    <row r="45" customFormat="false" ht="24" hidden="false" customHeight="true" outlineLevel="0" collapsed="false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1"/>
      <c r="M45" s="1"/>
      <c r="N45" s="1"/>
    </row>
    <row r="46" customFormat="false" ht="24" hidden="false" customHeight="true" outlineLevel="0" collapsed="false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1"/>
      <c r="M46" s="1"/>
      <c r="N46" s="1"/>
    </row>
    <row r="47" customFormat="false" ht="24" hidden="false" customHeight="true" outlineLevel="0" collapsed="false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1"/>
      <c r="M47" s="1"/>
      <c r="N47" s="1"/>
    </row>
    <row r="48" customFormat="false" ht="24" hidden="false" customHeight="true" outlineLevel="0" collapsed="false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1"/>
      <c r="M48" s="1"/>
      <c r="N48" s="1"/>
    </row>
    <row r="49" customFormat="false" ht="24" hidden="false" customHeight="true" outlineLevel="0" collapsed="false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1"/>
      <c r="M49" s="1"/>
      <c r="N49" s="1"/>
    </row>
    <row r="50" customFormat="false" ht="24" hidden="false" customHeight="true" outlineLevel="0" collapsed="false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1"/>
      <c r="M50" s="1"/>
      <c r="N50" s="1"/>
    </row>
    <row r="51" customFormat="false" ht="24" hidden="false" customHeight="true" outlineLevel="0" collapsed="false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1"/>
      <c r="M51" s="1"/>
      <c r="N51" s="1"/>
    </row>
    <row r="52" customFormat="false" ht="24" hidden="false" customHeight="true" outlineLevel="0" collapsed="false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1"/>
      <c r="M52" s="1"/>
      <c r="N52" s="1"/>
    </row>
    <row r="53" customFormat="false" ht="24" hidden="false" customHeight="true" outlineLevel="0" collapsed="false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1"/>
      <c r="M53" s="1"/>
      <c r="N53" s="1"/>
    </row>
    <row r="54" customFormat="false" ht="24" hidden="false" customHeight="true" outlineLevel="0" collapsed="false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1"/>
      <c r="M54" s="1"/>
      <c r="N54" s="1"/>
    </row>
    <row r="55" customFormat="false" ht="24" hidden="false" customHeight="true" outlineLevel="0" collapsed="false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1"/>
      <c r="M55" s="1"/>
      <c r="N55" s="1"/>
    </row>
    <row r="56" customFormat="false" ht="24" hidden="false" customHeight="true" outlineLevel="0" collapsed="false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1"/>
      <c r="M56" s="1"/>
      <c r="N56" s="1"/>
    </row>
    <row r="57" customFormat="false" ht="24" hidden="false" customHeight="true" outlineLevel="0" collapsed="false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1"/>
      <c r="M57" s="1"/>
      <c r="N57" s="1"/>
    </row>
    <row r="58" customFormat="false" ht="24" hidden="false" customHeight="true" outlineLevel="0" collapsed="false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1"/>
      <c r="M58" s="1"/>
      <c r="N58" s="1"/>
    </row>
    <row r="59" customFormat="false" ht="24" hidden="false" customHeight="true" outlineLevel="0" collapsed="false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1"/>
      <c r="M59" s="1"/>
      <c r="N59" s="1"/>
    </row>
    <row r="60" customFormat="false" ht="24" hidden="false" customHeight="true" outlineLevel="0" collapsed="false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1"/>
      <c r="M60" s="1"/>
      <c r="N60" s="1"/>
    </row>
    <row r="61" customFormat="false" ht="24" hidden="false" customHeight="true" outlineLevel="0" collapsed="false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1"/>
      <c r="M61" s="1"/>
      <c r="N61" s="1"/>
    </row>
    <row r="62" customFormat="false" ht="24" hidden="false" customHeight="true" outlineLevel="0" collapsed="false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1"/>
      <c r="M62" s="1"/>
      <c r="N62" s="1"/>
    </row>
    <row r="63" customFormat="false" ht="24" hidden="false" customHeight="true" outlineLevel="0" collapsed="false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1"/>
      <c r="M63" s="1"/>
      <c r="N63" s="1"/>
    </row>
    <row r="64" customFormat="false" ht="24" hidden="false" customHeight="true" outlineLevel="0" collapsed="false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1"/>
      <c r="M64" s="1"/>
      <c r="N64" s="1"/>
    </row>
    <row r="65" customFormat="false" ht="24" hidden="false" customHeight="true" outlineLevel="0" collapsed="false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1"/>
      <c r="M65" s="1"/>
      <c r="N65" s="1"/>
    </row>
    <row r="66" customFormat="false" ht="24" hidden="false" customHeight="true" outlineLevel="0" collapsed="false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1"/>
      <c r="M66" s="1"/>
      <c r="N66" s="1"/>
    </row>
    <row r="67" customFormat="false" ht="24" hidden="false" customHeight="true" outlineLevel="0" collapsed="false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1"/>
      <c r="M67" s="1"/>
      <c r="N67" s="1"/>
    </row>
    <row r="68" customFormat="false" ht="24" hidden="false" customHeight="true" outlineLevel="0" collapsed="false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1"/>
      <c r="M68" s="1"/>
      <c r="N68" s="1"/>
    </row>
    <row r="69" customFormat="false" ht="24" hidden="false" customHeight="true" outlineLevel="0" collapsed="false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1"/>
      <c r="M69" s="1"/>
      <c r="N69" s="1"/>
    </row>
    <row r="70" customFormat="false" ht="24" hidden="false" customHeight="true" outlineLevel="0" collapsed="false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1"/>
      <c r="M70" s="1"/>
      <c r="N70" s="1"/>
    </row>
    <row r="71" customFormat="false" ht="24" hidden="false" customHeight="true" outlineLevel="0" collapsed="false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1"/>
      <c r="M71" s="1"/>
      <c r="N71" s="1"/>
    </row>
    <row r="72" customFormat="false" ht="24" hidden="false" customHeight="true" outlineLevel="0" collapsed="false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1"/>
      <c r="M72" s="1"/>
      <c r="N72" s="1"/>
    </row>
    <row r="73" customFormat="false" ht="24" hidden="false" customHeight="true" outlineLevel="0" collapsed="false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1"/>
      <c r="M73" s="1"/>
      <c r="N73" s="1"/>
    </row>
    <row r="74" customFormat="false" ht="24" hidden="false" customHeight="true" outlineLevel="0" collapsed="false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1"/>
      <c r="M74" s="1"/>
      <c r="N74" s="1"/>
    </row>
    <row r="75" customFormat="false" ht="24" hidden="false" customHeight="true" outlineLevel="0" collapsed="false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1"/>
      <c r="M75" s="1"/>
      <c r="N75" s="1"/>
    </row>
    <row r="76" customFormat="false" ht="24" hidden="false" customHeight="true" outlineLevel="0" collapsed="false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1"/>
      <c r="M76" s="1"/>
      <c r="N76" s="1"/>
    </row>
    <row r="77" customFormat="false" ht="24" hidden="false" customHeight="true" outlineLevel="0" collapsed="false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1"/>
      <c r="M77" s="1"/>
      <c r="N77" s="1"/>
    </row>
    <row r="78" customFormat="false" ht="24" hidden="false" customHeight="true" outlineLevel="0" collapsed="false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1"/>
      <c r="M78" s="1"/>
      <c r="N78" s="1"/>
    </row>
    <row r="79" customFormat="false" ht="24" hidden="false" customHeight="true" outlineLevel="0" collapsed="false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1"/>
      <c r="M79" s="1"/>
      <c r="N79" s="1"/>
    </row>
    <row r="80" customFormat="false" ht="24" hidden="false" customHeight="true" outlineLevel="0" collapsed="false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1"/>
      <c r="M80" s="1"/>
      <c r="N80" s="1"/>
    </row>
    <row r="81" customFormat="false" ht="24" hidden="false" customHeight="true" outlineLevel="0" collapsed="false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1"/>
      <c r="M81" s="1"/>
      <c r="N81" s="1"/>
    </row>
    <row r="82" customFormat="false" ht="24" hidden="false" customHeight="true" outlineLevel="0" collapsed="false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1"/>
      <c r="M82" s="1"/>
      <c r="N82" s="1"/>
    </row>
    <row r="83" customFormat="false" ht="24" hidden="false" customHeight="true" outlineLevel="0" collapsed="false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1"/>
      <c r="M83" s="1"/>
      <c r="N83" s="1"/>
    </row>
    <row r="84" customFormat="false" ht="24" hidden="false" customHeight="true" outlineLevel="0" collapsed="false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1"/>
      <c r="M84" s="1"/>
      <c r="N84" s="1"/>
    </row>
    <row r="85" customFormat="false" ht="24" hidden="false" customHeight="true" outlineLevel="0" collapsed="false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1"/>
      <c r="M85" s="1"/>
      <c r="N85" s="1"/>
    </row>
    <row r="86" customFormat="false" ht="24" hidden="false" customHeight="true" outlineLevel="0" collapsed="false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1"/>
      <c r="M86" s="1"/>
      <c r="N86" s="1"/>
    </row>
    <row r="87" customFormat="false" ht="24" hidden="false" customHeight="true" outlineLevel="0" collapsed="false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1"/>
      <c r="M87" s="1"/>
      <c r="N87" s="1"/>
    </row>
    <row r="88" customFormat="false" ht="24" hidden="false" customHeight="true" outlineLevel="0" collapsed="false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1"/>
      <c r="M88" s="1"/>
      <c r="N88" s="1"/>
    </row>
    <row r="89" customFormat="false" ht="24" hidden="false" customHeight="true" outlineLevel="0" collapsed="false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1"/>
      <c r="M89" s="1"/>
      <c r="N89" s="1"/>
    </row>
    <row r="90" customFormat="false" ht="24" hidden="false" customHeight="true" outlineLevel="0" collapsed="false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1"/>
      <c r="M90" s="1"/>
      <c r="N9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11" min="5" style="0" width="18"/>
    <col collapsed="false" customWidth="true" hidden="false" outlineLevel="0" max="12" min="12" style="0" width="3"/>
    <col collapsed="false" customWidth="true" hidden="false" outlineLevel="0" max="13" min="13" style="0" width="100"/>
  </cols>
  <sheetData>
    <row r="1" customFormat="false" ht="24" hidden="false" customHeight="true" outlineLevel="0" collapsed="false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1"/>
      <c r="C2" s="3" t="s">
        <v>529</v>
      </c>
      <c r="D2" s="1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24" hidden="false" customHeight="true" outlineLevel="0" collapsed="false">
      <c r="A3" s="1"/>
      <c r="B3" s="1"/>
      <c r="C3" s="4"/>
      <c r="D3" s="4"/>
      <c r="E3" s="5"/>
      <c r="F3" s="5"/>
      <c r="G3" s="5"/>
      <c r="H3" s="5"/>
      <c r="I3" s="5"/>
      <c r="J3" s="5"/>
      <c r="K3" s="5"/>
      <c r="L3" s="1"/>
      <c r="M3" s="1"/>
      <c r="N3" s="1"/>
    </row>
    <row r="4" customFormat="false" ht="24" hidden="false" customHeight="true" outlineLevel="0" collapsed="false">
      <c r="A4" s="1"/>
      <c r="B4" s="1"/>
      <c r="C4" s="1" t="s">
        <v>1</v>
      </c>
      <c r="D4" s="1"/>
      <c r="E4" s="6" t="str">
        <f aca="false">Assumptions!E5</f>
        <v>Base</v>
      </c>
      <c r="F4" s="6"/>
      <c r="G4" s="2"/>
      <c r="H4" s="2"/>
      <c r="I4" s="2"/>
      <c r="J4" s="2"/>
      <c r="K4" s="2"/>
      <c r="L4" s="1"/>
      <c r="M4" s="1"/>
      <c r="N4" s="1"/>
    </row>
    <row r="5" customFormat="false" ht="24" hidden="false" customHeight="true" outlineLevel="0" collapsed="false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1"/>
      <c r="M5" s="1"/>
      <c r="N5" s="1"/>
    </row>
    <row r="6" customFormat="false" ht="24" hidden="false" customHeight="true" outlineLevel="0" collapsed="false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1"/>
      <c r="M6" s="1"/>
      <c r="N6" s="1"/>
    </row>
    <row r="7" customFormat="false" ht="30" hidden="false" customHeight="true" outlineLevel="0" collapsed="false">
      <c r="A7" s="1"/>
      <c r="B7" s="1"/>
      <c r="C7" s="8" t="s">
        <v>530</v>
      </c>
      <c r="D7" s="8" t="s">
        <v>47</v>
      </c>
      <c r="E7" s="9" t="s">
        <v>531</v>
      </c>
      <c r="F7" s="2"/>
      <c r="G7" s="2"/>
      <c r="H7" s="2"/>
      <c r="I7" s="2"/>
      <c r="J7" s="2"/>
      <c r="K7" s="2"/>
      <c r="L7" s="1"/>
      <c r="M7" s="1"/>
      <c r="N7" s="1"/>
    </row>
    <row r="8" customFormat="false" ht="24" hidden="false" customHeight="true" outlineLevel="0" collapsed="false">
      <c r="A8" s="1"/>
      <c r="B8" s="1"/>
      <c r="C8" s="1" t="s">
        <v>532</v>
      </c>
      <c r="D8" s="1" t="s">
        <v>236</v>
      </c>
      <c r="E8" s="18" t="n">
        <f aca="false">COUNTA('Entity scope'!E8:E99)</f>
        <v>92</v>
      </c>
      <c r="F8" s="2"/>
      <c r="G8" s="2"/>
      <c r="H8" s="2"/>
      <c r="I8" s="2"/>
      <c r="J8" s="2"/>
      <c r="K8" s="2"/>
      <c r="L8" s="1"/>
      <c r="M8" s="1" t="s">
        <v>533</v>
      </c>
      <c r="N8" s="1"/>
    </row>
    <row r="9" customFormat="false" ht="24" hidden="false" customHeight="true" outlineLevel="0" collapsed="false">
      <c r="A9" s="1"/>
      <c r="B9" s="1"/>
      <c r="C9" s="1" t="s">
        <v>534</v>
      </c>
      <c r="D9" s="1" t="s">
        <v>63</v>
      </c>
      <c r="E9" s="18" t="n">
        <f aca="false">SUM(Customers!F8:F16)</f>
        <v>1830</v>
      </c>
      <c r="F9" s="2"/>
      <c r="G9" s="2"/>
      <c r="H9" s="2"/>
      <c r="I9" s="2"/>
      <c r="J9" s="2"/>
      <c r="K9" s="2"/>
      <c r="L9" s="1"/>
      <c r="M9" s="1" t="s">
        <v>535</v>
      </c>
      <c r="N9" s="1"/>
    </row>
    <row r="10" customFormat="false" ht="24" hidden="false" customHeight="true" outlineLevel="0" collapsed="false">
      <c r="A10" s="1"/>
      <c r="B10" s="1"/>
      <c r="C10" s="1" t="s">
        <v>75</v>
      </c>
      <c r="D10" s="1" t="s">
        <v>63</v>
      </c>
      <c r="E10" s="18" t="n">
        <f aca="false">Assumptions!E19</f>
        <v>1260</v>
      </c>
      <c r="F10" s="2"/>
      <c r="G10" s="2"/>
      <c r="H10" s="2"/>
      <c r="I10" s="2"/>
      <c r="J10" s="2"/>
      <c r="K10" s="2"/>
      <c r="L10" s="1"/>
      <c r="M10" s="1" t="s">
        <v>536</v>
      </c>
      <c r="N10" s="1"/>
    </row>
    <row r="11" customFormat="false" ht="24" hidden="false" customHeight="true" outlineLevel="0" collapsed="false">
      <c r="A11" s="1"/>
      <c r="B11" s="1"/>
      <c r="C11" s="1" t="s">
        <v>537</v>
      </c>
      <c r="D11" s="1" t="s">
        <v>236</v>
      </c>
      <c r="E11" s="18" t="n">
        <f aca="false">COUNTBLANK('Entity scope'!H8:H99)</f>
        <v>92</v>
      </c>
      <c r="F11" s="2"/>
      <c r="G11" s="2"/>
      <c r="H11" s="2"/>
      <c r="I11" s="2"/>
      <c r="J11" s="2"/>
      <c r="K11" s="2"/>
      <c r="L11" s="1"/>
      <c r="M11" s="1"/>
      <c r="N11" s="1"/>
    </row>
    <row r="12" customFormat="false" ht="24" hidden="false" customHeight="true" outlineLevel="0" collapsed="false">
      <c r="A12" s="1"/>
      <c r="B12" s="1"/>
      <c r="C12" s="1" t="s">
        <v>538</v>
      </c>
      <c r="D12" s="1" t="s">
        <v>63</v>
      </c>
      <c r="E12" s="18" t="n">
        <f aca="false">Assumptions!E14-SUM('Entity scope'!G8:H99)</f>
        <v>8170</v>
      </c>
      <c r="F12" s="2"/>
      <c r="G12" s="2"/>
      <c r="H12" s="2"/>
      <c r="I12" s="2"/>
      <c r="J12" s="2"/>
      <c r="K12" s="2"/>
      <c r="L12" s="1"/>
      <c r="M12" s="1" t="s">
        <v>539</v>
      </c>
      <c r="N12" s="1"/>
    </row>
    <row r="13" customFormat="false" ht="24" hidden="false" customHeight="true" outlineLevel="0" collapsed="false">
      <c r="A13" s="1"/>
      <c r="B13" s="1"/>
      <c r="C13" s="1" t="s">
        <v>540</v>
      </c>
      <c r="D13" s="1" t="s">
        <v>236</v>
      </c>
      <c r="E13" s="18" t="n">
        <f aca="false">COUNTBLANK(Customers!I8:I16)</f>
        <v>6</v>
      </c>
      <c r="F13" s="2"/>
      <c r="G13" s="2"/>
      <c r="H13" s="2"/>
      <c r="I13" s="2"/>
      <c r="J13" s="2"/>
      <c r="K13" s="2"/>
      <c r="L13" s="1"/>
      <c r="M13" s="1" t="s">
        <v>541</v>
      </c>
      <c r="N13" s="1"/>
    </row>
    <row r="14" customFormat="false" ht="24" hidden="false" customHeight="true" outlineLevel="0" collapsed="false">
      <c r="A14" s="1"/>
      <c r="B14" s="1"/>
      <c r="C14" s="1" t="s">
        <v>542</v>
      </c>
      <c r="D14" s="1" t="s">
        <v>102</v>
      </c>
      <c r="E14" s="18" t="n">
        <f aca="false">'Cost model'!K28-SUM('Cost model'!E25:I27)</f>
        <v>0</v>
      </c>
      <c r="F14" s="2"/>
      <c r="G14" s="2"/>
      <c r="H14" s="2"/>
      <c r="I14" s="2"/>
      <c r="J14" s="2"/>
      <c r="K14" s="2"/>
      <c r="L14" s="1"/>
      <c r="M14" s="1"/>
      <c r="N14" s="1"/>
    </row>
    <row r="15" customFormat="false" ht="24" hidden="false" customHeight="true" outlineLevel="0" collapsed="false">
      <c r="A15" s="1"/>
      <c r="B15" s="1"/>
      <c r="C15" s="1" t="s">
        <v>543</v>
      </c>
      <c r="D15" s="1" t="s">
        <v>102</v>
      </c>
      <c r="E15" s="18" t="n">
        <f aca="false">'Cost model'!K34-('Cost model'!K23-'Cost model'!K32)</f>
        <v>0</v>
      </c>
      <c r="F15" s="2"/>
      <c r="G15" s="2"/>
      <c r="H15" s="2"/>
      <c r="I15" s="2"/>
      <c r="J15" s="2"/>
      <c r="K15" s="2"/>
      <c r="L15" s="1"/>
      <c r="M15" s="1"/>
      <c r="N15" s="1"/>
    </row>
    <row r="16" customFormat="false" ht="24" hidden="false" customHeight="true" outlineLevel="0" collapsed="false">
      <c r="A16" s="1"/>
      <c r="B16" s="1"/>
      <c r="C16" s="1" t="s">
        <v>544</v>
      </c>
      <c r="D16" s="1" t="s">
        <v>545</v>
      </c>
      <c r="E16" s="18" t="n">
        <f aca="false">COUNTIF('Cost model'!E12:I12,"&lt;0")</f>
        <v>0</v>
      </c>
      <c r="F16" s="2"/>
      <c r="G16" s="2"/>
      <c r="H16" s="2"/>
      <c r="I16" s="2"/>
      <c r="J16" s="2"/>
      <c r="K16" s="2"/>
      <c r="L16" s="1"/>
      <c r="M16" s="1"/>
      <c r="N16" s="1"/>
    </row>
    <row r="17" customFormat="false" ht="24" hidden="false" customHeight="true" outlineLevel="0" collapsed="false">
      <c r="A17" s="1"/>
      <c r="B17" s="1"/>
      <c r="C17" s="1" t="s">
        <v>546</v>
      </c>
      <c r="D17" s="1" t="s">
        <v>96</v>
      </c>
      <c r="E17" s="18" t="n">
        <f aca="false">SUM('Cost model'!E13:I13)</f>
        <v>40</v>
      </c>
      <c r="F17" s="2"/>
      <c r="G17" s="2"/>
      <c r="H17" s="2"/>
      <c r="I17" s="2"/>
      <c r="J17" s="2"/>
      <c r="K17" s="2"/>
      <c r="L17" s="1"/>
      <c r="M17" s="1"/>
      <c r="N17" s="1"/>
    </row>
    <row r="18" customFormat="false" ht="24" hidden="false" customHeight="true" outlineLevel="0" collapsed="false">
      <c r="A18" s="1"/>
      <c r="B18" s="1"/>
      <c r="C18" s="1" t="s">
        <v>547</v>
      </c>
      <c r="D18" s="1" t="s">
        <v>548</v>
      </c>
      <c r="E18" s="18" t="n">
        <f aca="false">SUMPRODUCT(--ISERROR(Assumptions!E26:I26))+SUMPRODUCT(--ISERROR(Assumptions!E32:I32))+SUMPRODUCT(--ISERROR(Assumptions!E38:I38))</f>
        <v>0</v>
      </c>
      <c r="F18" s="2"/>
      <c r="G18" s="2"/>
      <c r="H18" s="2"/>
      <c r="I18" s="2"/>
      <c r="J18" s="2"/>
      <c r="K18" s="2"/>
      <c r="L18" s="1"/>
      <c r="M18" s="1"/>
      <c r="N18" s="1"/>
    </row>
    <row r="19" customFormat="false" ht="24" hidden="false" customHeight="true" outlineLevel="0" collapsed="false">
      <c r="A19" s="1"/>
      <c r="B19" s="1"/>
      <c r="C19" s="1"/>
      <c r="D19" s="1"/>
      <c r="E19" s="2"/>
      <c r="F19" s="2"/>
      <c r="G19" s="2"/>
      <c r="H19" s="2"/>
      <c r="I19" s="2"/>
      <c r="J19" s="2"/>
      <c r="K19" s="2"/>
      <c r="L19" s="1"/>
      <c r="M19" s="1"/>
      <c r="N19" s="1"/>
    </row>
    <row r="20" customFormat="false" ht="24" hidden="false" customHeight="true" outlineLevel="0" collapsed="false">
      <c r="A20" s="1"/>
      <c r="B20" s="1"/>
      <c r="C20" s="1"/>
      <c r="D20" s="1"/>
      <c r="E20" s="2"/>
      <c r="F20" s="2"/>
      <c r="G20" s="2"/>
      <c r="H20" s="2"/>
      <c r="I20" s="2"/>
      <c r="J20" s="2"/>
      <c r="K20" s="2"/>
      <c r="L20" s="1"/>
      <c r="M20" s="1"/>
      <c r="N20" s="1"/>
    </row>
    <row r="21" customFormat="false" ht="24" hidden="false" customHeight="true" outlineLevel="0" collapsed="false">
      <c r="A21" s="1"/>
      <c r="B21" s="1"/>
      <c r="C21" s="1"/>
      <c r="D21" s="1"/>
      <c r="E21" s="2"/>
      <c r="F21" s="2"/>
      <c r="G21" s="2"/>
      <c r="H21" s="2"/>
      <c r="I21" s="2"/>
      <c r="J21" s="2"/>
      <c r="K21" s="2"/>
      <c r="L21" s="1"/>
      <c r="M21" s="1"/>
      <c r="N21" s="1"/>
    </row>
    <row r="22" customFormat="false" ht="24" hidden="false" customHeight="true" outlineLevel="0" collapsed="false">
      <c r="A22" s="1"/>
      <c r="B22" s="1"/>
      <c r="C22" s="1"/>
      <c r="D22" s="1"/>
      <c r="E22" s="2"/>
      <c r="F22" s="2"/>
      <c r="G22" s="2"/>
      <c r="H22" s="2"/>
      <c r="I22" s="2"/>
      <c r="J22" s="2"/>
      <c r="K22" s="2"/>
      <c r="L22" s="1"/>
      <c r="M22" s="1"/>
      <c r="N22" s="1"/>
    </row>
    <row r="23" customFormat="false" ht="25" hidden="false" customHeight="true" outlineLevel="0" collapsed="false">
      <c r="A23" s="1"/>
      <c r="B23" s="1"/>
      <c r="C23" s="23" t="s">
        <v>549</v>
      </c>
      <c r="D23" s="23"/>
      <c r="E23" s="24"/>
      <c r="F23" s="24"/>
      <c r="G23" s="24"/>
      <c r="H23" s="24"/>
      <c r="I23" s="24"/>
      <c r="J23" s="24"/>
      <c r="K23" s="24"/>
      <c r="L23" s="1"/>
      <c r="M23" s="1"/>
      <c r="N23" s="1"/>
    </row>
    <row r="24" customFormat="false" ht="24" hidden="false" customHeight="true" outlineLevel="0" collapsed="false">
      <c r="A24" s="1"/>
      <c r="B24" s="1"/>
      <c r="C24" s="1"/>
      <c r="D24" s="1"/>
      <c r="E24" s="2"/>
      <c r="F24" s="2"/>
      <c r="G24" s="2"/>
      <c r="H24" s="2"/>
      <c r="I24" s="2"/>
      <c r="J24" s="2"/>
      <c r="K24" s="2"/>
      <c r="L24" s="1"/>
      <c r="M24" s="1"/>
      <c r="N24" s="1"/>
    </row>
    <row r="25" customFormat="false" ht="24" hidden="false" customHeight="true" outlineLevel="0" collapsed="false">
      <c r="A25" s="1"/>
      <c r="B25" s="1"/>
      <c r="C25" s="7" t="s">
        <v>550</v>
      </c>
      <c r="D25" s="1"/>
      <c r="E25" s="2"/>
      <c r="F25" s="2"/>
      <c r="G25" s="2"/>
      <c r="H25" s="2"/>
      <c r="I25" s="2"/>
      <c r="J25" s="2"/>
      <c r="K25" s="2"/>
      <c r="L25" s="1"/>
      <c r="M25" s="1"/>
      <c r="N25" s="1"/>
    </row>
    <row r="26" customFormat="false" ht="24" hidden="false" customHeight="true" outlineLevel="0" collapsed="false">
      <c r="A26" s="1"/>
      <c r="B26" s="1"/>
      <c r="C26" s="1"/>
      <c r="D26" s="1"/>
      <c r="E26" s="2"/>
      <c r="F26" s="2"/>
      <c r="G26" s="2"/>
      <c r="H26" s="2"/>
      <c r="I26" s="2"/>
      <c r="J26" s="2"/>
      <c r="K26" s="2"/>
      <c r="L26" s="1"/>
      <c r="M26" s="1"/>
      <c r="N26" s="1"/>
    </row>
    <row r="27" customFormat="false" ht="24" hidden="false" customHeight="true" outlineLevel="0" collapsed="false">
      <c r="A27" s="1"/>
      <c r="B27" s="1"/>
      <c r="C27" s="7" t="s">
        <v>551</v>
      </c>
      <c r="D27" s="1"/>
      <c r="E27" s="2"/>
      <c r="F27" s="2"/>
      <c r="G27" s="2"/>
      <c r="H27" s="2"/>
      <c r="I27" s="2"/>
      <c r="J27" s="2"/>
      <c r="K27" s="2"/>
      <c r="L27" s="1"/>
      <c r="M27" s="1"/>
      <c r="N27" s="1"/>
    </row>
    <row r="28" customFormat="false" ht="24" hidden="false" customHeight="true" outlineLevel="0" collapsed="false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1"/>
      <c r="M28" s="1"/>
      <c r="N28" s="1"/>
    </row>
    <row r="29" customFormat="false" ht="24" hidden="false" customHeight="true" outlineLevel="0" collapsed="false">
      <c r="A29" s="1"/>
      <c r="B29" s="1"/>
      <c r="C29" s="7" t="s">
        <v>552</v>
      </c>
      <c r="D29" s="1"/>
      <c r="E29" s="2"/>
      <c r="F29" s="2"/>
      <c r="G29" s="2"/>
      <c r="H29" s="2"/>
      <c r="I29" s="2"/>
      <c r="J29" s="2"/>
      <c r="K29" s="2"/>
      <c r="L29" s="1"/>
      <c r="M29" s="1"/>
      <c r="N29" s="1"/>
    </row>
    <row r="30" customFormat="false" ht="24" hidden="false" customHeight="true" outlineLevel="0" collapsed="false">
      <c r="A30" s="1"/>
      <c r="B30" s="1"/>
      <c r="C30" s="1"/>
      <c r="D30" s="1"/>
      <c r="E30" s="2"/>
      <c r="F30" s="2"/>
      <c r="G30" s="2"/>
      <c r="H30" s="2"/>
      <c r="I30" s="2"/>
      <c r="J30" s="2"/>
      <c r="K30" s="2"/>
      <c r="L30" s="1"/>
      <c r="M30" s="1"/>
      <c r="N30" s="1"/>
    </row>
    <row r="31" customFormat="false" ht="24" hidden="false" customHeight="true" outlineLevel="0" collapsed="false">
      <c r="A31" s="1"/>
      <c r="B31" s="1"/>
      <c r="C31" s="7" t="s">
        <v>553</v>
      </c>
      <c r="D31" s="1"/>
      <c r="E31" s="2"/>
      <c r="F31" s="2"/>
      <c r="G31" s="2"/>
      <c r="H31" s="2"/>
      <c r="I31" s="2"/>
      <c r="J31" s="2"/>
      <c r="K31" s="2"/>
      <c r="L31" s="1"/>
      <c r="M31" s="1"/>
      <c r="N31" s="1"/>
    </row>
    <row r="32" customFormat="false" ht="24" hidden="false" customHeight="true" outlineLevel="0" collapsed="false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1"/>
      <c r="M32" s="1"/>
      <c r="N32" s="1"/>
    </row>
    <row r="33" customFormat="false" ht="24" hidden="false" customHeight="true" outlineLevel="0" collapsed="false">
      <c r="A33" s="1"/>
      <c r="B33" s="1"/>
      <c r="C33" s="7" t="s">
        <v>554</v>
      </c>
      <c r="D33" s="1"/>
      <c r="E33" s="2"/>
      <c r="F33" s="2"/>
      <c r="G33" s="2"/>
      <c r="H33" s="2"/>
      <c r="I33" s="2"/>
      <c r="J33" s="2"/>
      <c r="K33" s="2"/>
      <c r="L33" s="1"/>
      <c r="M33" s="1"/>
      <c r="N33" s="1"/>
    </row>
    <row r="34" customFormat="false" ht="24" hidden="false" customHeight="true" outlineLevel="0" collapsed="false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1"/>
      <c r="M34" s="1"/>
      <c r="N34" s="1"/>
    </row>
    <row r="35" customFormat="false" ht="24" hidden="false" customHeight="true" outlineLevel="0" collapsed="false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1"/>
      <c r="M35" s="1"/>
      <c r="N35" s="1"/>
    </row>
    <row r="36" customFormat="false" ht="24" hidden="false" customHeight="true" outlineLevel="0" collapsed="false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1"/>
      <c r="M36" s="1"/>
      <c r="N36" s="1"/>
    </row>
    <row r="37" customFormat="false" ht="24" hidden="false" customHeight="true" outlineLevel="0" collapsed="false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1"/>
      <c r="M37" s="1"/>
      <c r="N37" s="1"/>
    </row>
    <row r="38" customFormat="false" ht="24" hidden="false" customHeight="true" outlineLevel="0" collapsed="false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1"/>
      <c r="M38" s="1"/>
      <c r="N38" s="1"/>
    </row>
    <row r="39" customFormat="false" ht="24" hidden="false" customHeight="true" outlineLevel="0" collapsed="false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1"/>
      <c r="M39" s="1"/>
      <c r="N39" s="1"/>
    </row>
    <row r="40" customFormat="false" ht="24" hidden="false" customHeight="true" outlineLevel="0" collapsed="false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1"/>
      <c r="M40" s="1"/>
      <c r="N40" s="1"/>
    </row>
    <row r="41" customFormat="false" ht="24" hidden="false" customHeight="true" outlineLevel="0" collapsed="false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1"/>
      <c r="M41" s="1"/>
      <c r="N41" s="1"/>
    </row>
    <row r="42" customFormat="false" ht="24" hidden="false" customHeight="true" outlineLevel="0" collapsed="false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1"/>
      <c r="M42" s="1"/>
      <c r="N42" s="1"/>
    </row>
    <row r="43" customFormat="false" ht="24" hidden="false" customHeight="true" outlineLevel="0" collapsed="false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1"/>
      <c r="M43" s="1"/>
      <c r="N43" s="1"/>
    </row>
    <row r="44" customFormat="false" ht="24" hidden="false" customHeight="true" outlineLevel="0" collapsed="false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1"/>
      <c r="M44" s="1"/>
      <c r="N44" s="1"/>
    </row>
    <row r="45" customFormat="false" ht="24" hidden="false" customHeight="true" outlineLevel="0" collapsed="false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1"/>
      <c r="M45" s="1"/>
      <c r="N45" s="1"/>
    </row>
    <row r="46" customFormat="false" ht="24" hidden="false" customHeight="true" outlineLevel="0" collapsed="false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1"/>
      <c r="M46" s="1"/>
      <c r="N46" s="1"/>
    </row>
    <row r="47" customFormat="false" ht="24" hidden="false" customHeight="true" outlineLevel="0" collapsed="false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1"/>
      <c r="M47" s="1"/>
      <c r="N47" s="1"/>
    </row>
    <row r="48" customFormat="false" ht="24" hidden="false" customHeight="true" outlineLevel="0" collapsed="false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1"/>
      <c r="M48" s="1"/>
      <c r="N48" s="1"/>
    </row>
    <row r="49" customFormat="false" ht="24" hidden="false" customHeight="true" outlineLevel="0" collapsed="false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1"/>
      <c r="M49" s="1"/>
      <c r="N49" s="1"/>
    </row>
    <row r="50" customFormat="false" ht="24" hidden="false" customHeight="true" outlineLevel="0" collapsed="false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1"/>
      <c r="M50" s="1"/>
      <c r="N50" s="1"/>
    </row>
    <row r="51" customFormat="false" ht="24" hidden="false" customHeight="true" outlineLevel="0" collapsed="false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1"/>
      <c r="M51" s="1"/>
      <c r="N51" s="1"/>
    </row>
    <row r="52" customFormat="false" ht="24" hidden="false" customHeight="true" outlineLevel="0" collapsed="false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1"/>
      <c r="M52" s="1"/>
      <c r="N52" s="1"/>
    </row>
    <row r="53" customFormat="false" ht="24" hidden="false" customHeight="true" outlineLevel="0" collapsed="false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1"/>
      <c r="M53" s="1"/>
      <c r="N53" s="1"/>
    </row>
    <row r="54" customFormat="false" ht="24" hidden="false" customHeight="true" outlineLevel="0" collapsed="false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1"/>
      <c r="M54" s="1"/>
      <c r="N54" s="1"/>
    </row>
    <row r="55" customFormat="false" ht="24" hidden="false" customHeight="true" outlineLevel="0" collapsed="false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1"/>
      <c r="M55" s="1"/>
      <c r="N55" s="1"/>
    </row>
    <row r="56" customFormat="false" ht="24" hidden="false" customHeight="true" outlineLevel="0" collapsed="false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1"/>
      <c r="M56" s="1"/>
      <c r="N56" s="1"/>
    </row>
    <row r="57" customFormat="false" ht="24" hidden="false" customHeight="true" outlineLevel="0" collapsed="false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1"/>
      <c r="M57" s="1"/>
      <c r="N57" s="1"/>
    </row>
    <row r="58" customFormat="false" ht="24" hidden="false" customHeight="true" outlineLevel="0" collapsed="false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1"/>
      <c r="M58" s="1"/>
      <c r="N58" s="1"/>
    </row>
    <row r="59" customFormat="false" ht="24" hidden="false" customHeight="true" outlineLevel="0" collapsed="false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1"/>
      <c r="M59" s="1"/>
      <c r="N59" s="1"/>
    </row>
    <row r="60" customFormat="false" ht="24" hidden="false" customHeight="true" outlineLevel="0" collapsed="false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1"/>
      <c r="M60" s="1"/>
      <c r="N60" s="1"/>
    </row>
    <row r="61" customFormat="false" ht="24" hidden="false" customHeight="true" outlineLevel="0" collapsed="false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1"/>
      <c r="M61" s="1"/>
      <c r="N61" s="1"/>
    </row>
    <row r="62" customFormat="false" ht="24" hidden="false" customHeight="true" outlineLevel="0" collapsed="false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1"/>
      <c r="M62" s="1"/>
      <c r="N62" s="1"/>
    </row>
    <row r="63" customFormat="false" ht="24" hidden="false" customHeight="true" outlineLevel="0" collapsed="false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1"/>
      <c r="M63" s="1"/>
      <c r="N63" s="1"/>
    </row>
    <row r="64" customFormat="false" ht="24" hidden="false" customHeight="true" outlineLevel="0" collapsed="false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1"/>
      <c r="M64" s="1"/>
      <c r="N64" s="1"/>
    </row>
    <row r="65" customFormat="false" ht="24" hidden="false" customHeight="true" outlineLevel="0" collapsed="false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1"/>
      <c r="M65" s="1"/>
      <c r="N65" s="1"/>
    </row>
    <row r="66" customFormat="false" ht="24" hidden="false" customHeight="true" outlineLevel="0" collapsed="false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1"/>
      <c r="M66" s="1"/>
      <c r="N66" s="1"/>
    </row>
    <row r="67" customFormat="false" ht="24" hidden="false" customHeight="true" outlineLevel="0" collapsed="false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1"/>
      <c r="M67" s="1"/>
      <c r="N67" s="1"/>
    </row>
    <row r="68" customFormat="false" ht="24" hidden="false" customHeight="true" outlineLevel="0" collapsed="false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1"/>
      <c r="M68" s="1"/>
      <c r="N68" s="1"/>
    </row>
    <row r="69" customFormat="false" ht="24" hidden="false" customHeight="true" outlineLevel="0" collapsed="false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1"/>
      <c r="M69" s="1"/>
      <c r="N69" s="1"/>
    </row>
    <row r="70" customFormat="false" ht="24" hidden="false" customHeight="true" outlineLevel="0" collapsed="false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1"/>
      <c r="M70" s="1"/>
      <c r="N70" s="1"/>
    </row>
    <row r="71" customFormat="false" ht="24" hidden="false" customHeight="true" outlineLevel="0" collapsed="false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1"/>
      <c r="M71" s="1"/>
      <c r="N71" s="1"/>
    </row>
    <row r="72" customFormat="false" ht="24" hidden="false" customHeight="true" outlineLevel="0" collapsed="false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1"/>
      <c r="M72" s="1"/>
      <c r="N72" s="1"/>
    </row>
    <row r="73" customFormat="false" ht="24" hidden="false" customHeight="true" outlineLevel="0" collapsed="false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1"/>
      <c r="M73" s="1"/>
      <c r="N73" s="1"/>
    </row>
    <row r="74" customFormat="false" ht="24" hidden="false" customHeight="true" outlineLevel="0" collapsed="false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1"/>
      <c r="M74" s="1"/>
      <c r="N74" s="1"/>
    </row>
    <row r="75" customFormat="false" ht="24" hidden="false" customHeight="true" outlineLevel="0" collapsed="false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1"/>
      <c r="M75" s="1"/>
      <c r="N75" s="1"/>
    </row>
    <row r="76" customFormat="false" ht="24" hidden="false" customHeight="true" outlineLevel="0" collapsed="false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1"/>
      <c r="M76" s="1"/>
      <c r="N76" s="1"/>
    </row>
    <row r="77" customFormat="false" ht="24" hidden="false" customHeight="true" outlineLevel="0" collapsed="false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1"/>
      <c r="M77" s="1"/>
      <c r="N77" s="1"/>
    </row>
    <row r="78" customFormat="false" ht="24" hidden="false" customHeight="true" outlineLevel="0" collapsed="false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1"/>
      <c r="M78" s="1"/>
      <c r="N78" s="1"/>
    </row>
    <row r="79" customFormat="false" ht="24" hidden="false" customHeight="true" outlineLevel="0" collapsed="false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1"/>
      <c r="M79" s="1"/>
      <c r="N79" s="1"/>
    </row>
    <row r="80" customFormat="false" ht="24" hidden="false" customHeight="true" outlineLevel="0" collapsed="false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1"/>
      <c r="M80" s="1"/>
      <c r="N80" s="1"/>
    </row>
    <row r="81" customFormat="false" ht="24" hidden="false" customHeight="true" outlineLevel="0" collapsed="false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1"/>
      <c r="M81" s="1"/>
      <c r="N81" s="1"/>
    </row>
    <row r="82" customFormat="false" ht="24" hidden="false" customHeight="true" outlineLevel="0" collapsed="false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1"/>
      <c r="M82" s="1"/>
      <c r="N82" s="1"/>
    </row>
    <row r="83" customFormat="false" ht="24" hidden="false" customHeight="true" outlineLevel="0" collapsed="false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1"/>
      <c r="M83" s="1"/>
      <c r="N83" s="1"/>
    </row>
    <row r="84" customFormat="false" ht="24" hidden="false" customHeight="true" outlineLevel="0" collapsed="false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1"/>
      <c r="M84" s="1"/>
      <c r="N84" s="1"/>
    </row>
    <row r="85" customFormat="false" ht="24" hidden="false" customHeight="true" outlineLevel="0" collapsed="false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1"/>
      <c r="M85" s="1"/>
      <c r="N85" s="1"/>
    </row>
    <row r="86" customFormat="false" ht="24" hidden="false" customHeight="true" outlineLevel="0" collapsed="false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1"/>
      <c r="M86" s="1"/>
      <c r="N86" s="1"/>
    </row>
    <row r="87" customFormat="false" ht="24" hidden="false" customHeight="true" outlineLevel="0" collapsed="false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1"/>
      <c r="M87" s="1"/>
      <c r="N87" s="1"/>
    </row>
    <row r="88" customFormat="false" ht="24" hidden="false" customHeight="true" outlineLevel="0" collapsed="false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1"/>
      <c r="M88" s="1"/>
      <c r="N88" s="1"/>
    </row>
    <row r="89" customFormat="false" ht="24" hidden="false" customHeight="true" outlineLevel="0" collapsed="false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1"/>
      <c r="M89" s="1"/>
      <c r="N89" s="1"/>
    </row>
    <row r="90" customFormat="false" ht="24" hidden="false" customHeight="true" outlineLevel="0" collapsed="false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1"/>
      <c r="M90" s="1"/>
      <c r="N90" s="1"/>
    </row>
  </sheetData>
  <conditionalFormatting sqref="E14:E16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