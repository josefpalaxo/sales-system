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a departments" sheetId="1" r:id="rId5"/>
    <sheet state="visible" name="pricing" sheetId="2" r:id="rId6"/>
    <sheet state="visible" name="Sheet4" sheetId="3" r:id="rId7"/>
    <sheet state="visible" name="survey 2026" sheetId="4" r:id="rId8"/>
    <sheet state="visible" name="Executive Summary" sheetId="5" r:id="rId9"/>
    <sheet state="visible" name="Investor Deal Potential" sheetId="6" r:id="rId10"/>
    <sheet state="visible" name="91 Entities Model" sheetId="7" r:id="rId11"/>
    <sheet state="visible" name="Pricing &amp; Assumptions" sheetId="8" r:id="rId12"/>
  </sheets>
  <definedNames>
    <definedName hidden="1" localSheetId="6" name="_xlnm._FilterDatabase">'91 Entities Model'!$A$1:$P$93</definedName>
  </definedNames>
  <calcPr/>
</workbook>
</file>

<file path=xl/sharedStrings.xml><?xml version="1.0" encoding="utf-8"?>
<sst xmlns="http://schemas.openxmlformats.org/spreadsheetml/2006/main" count="700" uniqueCount="368">
  <si>
    <t>#</t>
  </si>
  <si>
    <t>Company Name</t>
  </si>
  <si>
    <t>Status</t>
  </si>
  <si>
    <t>DDA Shared Service Special Discount</t>
  </si>
  <si>
    <t>License Volume as of 2026</t>
  </si>
  <si>
    <t>Recurring</t>
  </si>
  <si>
    <t>DDA Shared Service Discount Tier Discount</t>
  </si>
  <si>
    <t>Central Grievance Committee</t>
  </si>
  <si>
    <t>20,00%</t>
  </si>
  <si>
    <t>Community Development Authority</t>
  </si>
  <si>
    <t>In progress</t>
  </si>
  <si>
    <t>5,00%</t>
  </si>
  <si>
    <t>10,00%</t>
  </si>
  <si>
    <t>Dubai Courts</t>
  </si>
  <si>
    <t>15,00%</t>
  </si>
  <si>
    <t>Total Discount</t>
  </si>
  <si>
    <t>Department of Economic Development</t>
  </si>
  <si>
    <t>25,00%</t>
  </si>
  <si>
    <t>30,00%</t>
  </si>
  <si>
    <t>40,00%</t>
  </si>
  <si>
    <t>50,00%</t>
  </si>
  <si>
    <t>60,00%</t>
  </si>
  <si>
    <t>Department of Economy and Tourism</t>
  </si>
  <si>
    <t>Tier 1</t>
  </si>
  <si>
    <t>Tier 2</t>
  </si>
  <si>
    <t>Tier 3</t>
  </si>
  <si>
    <t>Tier 4</t>
  </si>
  <si>
    <t>Tier 5</t>
  </si>
  <si>
    <t>Department of Finance</t>
  </si>
  <si>
    <t>End Discounted User Price (Annual Subscription)</t>
  </si>
  <si>
    <t>Enteprise DDA Shared Service Price</t>
  </si>
  <si>
    <t>Min 100 users up to 499 users</t>
  </si>
  <si>
    <t>Min 500 users up to 999 users</t>
  </si>
  <si>
    <t>Min 1000 users up to 1999 users</t>
  </si>
  <si>
    <t>Min 2000 users up to 2999 users</t>
  </si>
  <si>
    <t>Min 3000 users</t>
  </si>
  <si>
    <t xml:space="preserve">Department of Tourism and Commerce Marketing </t>
  </si>
  <si>
    <t>Regular Users (unlimited transactions) 
 price per user per year in AED</t>
  </si>
  <si>
    <t>AED 2 950</t>
  </si>
  <si>
    <t>AED 2 360</t>
  </si>
  <si>
    <t>Digital Dubai Authority</t>
  </si>
  <si>
    <t>Customer</t>
  </si>
  <si>
    <t>VIP Project (50 users)</t>
  </si>
  <si>
    <t>AED 2 213</t>
  </si>
  <si>
    <t xml:space="preserve">VIP Project - 163,201.60 (Subscription) + 63,397.00 AED (Support Services) </t>
  </si>
  <si>
    <t>AED 2 065</t>
  </si>
  <si>
    <t>AED 1 770</t>
  </si>
  <si>
    <t>AED 1 475</t>
  </si>
  <si>
    <t>Shared Sign (100 users)</t>
  </si>
  <si>
    <t>Shared Sign - 293,444.33 (Subscription) + 75,000.00 (Support Services)</t>
  </si>
  <si>
    <t>Directorate General of Dubai Civil Defense</t>
  </si>
  <si>
    <t>Dubai Academic Health Corporation</t>
  </si>
  <si>
    <t>Dubai Air Navigation Services</t>
  </si>
  <si>
    <t>Dubai Airport Freezone</t>
  </si>
  <si>
    <t>Dubai Airports</t>
  </si>
  <si>
    <t>Dubai Chambers</t>
  </si>
  <si>
    <t>Dubai Civil Aviaition Authority</t>
  </si>
  <si>
    <t>Digital Dubai – Central Digital Signature Licensing Model</t>
  </si>
  <si>
    <t>Min 10 000 transactions up to 39 999 transactions</t>
  </si>
  <si>
    <t>Min 40 000 transactions up to 99 999 transactions</t>
  </si>
  <si>
    <t>Min 100 000 transactions up to 299 999 transactions</t>
  </si>
  <si>
    <t>Min 300 000 transactions up to 799 999 transactions</t>
  </si>
  <si>
    <t>Min 800 000 transactions</t>
  </si>
  <si>
    <t>Dubai Civil Defence</t>
  </si>
  <si>
    <t>API Transaction price in AED</t>
  </si>
  <si>
    <t>AED 10,50</t>
  </si>
  <si>
    <t>Dubai Corporation for Ambulances Services</t>
  </si>
  <si>
    <t>Business, 10k transactions (while having 275 registered users)</t>
  </si>
  <si>
    <t>147,268.13 AED (end user)</t>
  </si>
  <si>
    <t>Dubai Corporation for Aviation Engineering Projects</t>
  </si>
  <si>
    <t>Survey Question</t>
  </si>
  <si>
    <t>AED 8,40</t>
  </si>
  <si>
    <t>Response</t>
  </si>
  <si>
    <t>AED 7,88</t>
  </si>
  <si>
    <t>Dubai Culture &amp; Arts Authority</t>
  </si>
  <si>
    <t>DigiSign, 25 users</t>
  </si>
  <si>
    <t>Responses</t>
  </si>
  <si>
    <t>110,988.75 AED</t>
  </si>
  <si>
    <t>AED 7,35</t>
  </si>
  <si>
    <t>AED 6,30</t>
  </si>
  <si>
    <t>AED 5,25</t>
  </si>
  <si>
    <t>AED 3,68</t>
  </si>
  <si>
    <t>%</t>
  </si>
  <si>
    <t>Dubai Customs</t>
  </si>
  <si>
    <t>Entities in master list</t>
  </si>
  <si>
    <t>Does your organization currently use a digital/electronic signature system?</t>
  </si>
  <si>
    <t>Dubai Duty Free</t>
  </si>
  <si>
    <t>Yes</t>
  </si>
  <si>
    <t>Supporting Hours</t>
  </si>
  <si>
    <t>Estimated employees</t>
  </si>
  <si>
    <t>No</t>
  </si>
  <si>
    <t>Under planning</t>
  </si>
  <si>
    <t>Under implementation</t>
  </si>
  <si>
    <t>Dubai Economy and Tourism</t>
  </si>
  <si>
    <t>Total</t>
  </si>
  <si>
    <t xml:space="preserve">Lost </t>
  </si>
  <si>
    <t>Estimated potential digital-sign users</t>
  </si>
  <si>
    <t>Which digital signature system is currently used / being implemented?</t>
  </si>
  <si>
    <t>Circularo Digital Sign</t>
  </si>
  <si>
    <t>Dubai Electricity &amp; Water Authority (DEWA)</t>
  </si>
  <si>
    <t>Adobe Sign</t>
  </si>
  <si>
    <t>DocuSign</t>
  </si>
  <si>
    <t>Other</t>
  </si>
  <si>
    <t>Central Tier 5 price / user</t>
  </si>
  <si>
    <t>Dubai Electronic Security Center</t>
  </si>
  <si>
    <t>Ultimate, 60 users</t>
  </si>
  <si>
    <t>234,635.43 AED</t>
  </si>
  <si>
    <t>Annual fragmented license cost</t>
  </si>
  <si>
    <t>2a</t>
  </si>
  <si>
    <t>Other systems specified</t>
  </si>
  <si>
    <t>d2tick</t>
  </si>
  <si>
    <t>Dubai Export Development Coroporation</t>
  </si>
  <si>
    <t>—</t>
  </si>
  <si>
    <t>signeasy</t>
  </si>
  <si>
    <t>Annual central Tier 5 cost</t>
  </si>
  <si>
    <t>Ascertia SigningHub</t>
  </si>
  <si>
    <t>Dubai Financial Market (DFM)</t>
  </si>
  <si>
    <t>DocuSign &amp; Adobe Sign</t>
  </si>
  <si>
    <t>emSigner</t>
  </si>
  <si>
    <t>Annual saving</t>
  </si>
  <si>
    <t>Dubai Foundation for Women and Children</t>
  </si>
  <si>
    <t>Kofax SignDoc</t>
  </si>
  <si>
    <t>Min. annual support costs</t>
  </si>
  <si>
    <t>Tungsten (Kofax) SignDoc</t>
  </si>
  <si>
    <t>Dubai Future Foundation</t>
  </si>
  <si>
    <t>5-year saving vs fragmented tiers</t>
  </si>
  <si>
    <t>Current / expected number of digital signature users when implementation is complete</t>
  </si>
  <si>
    <t>1–50 users</t>
  </si>
  <si>
    <t>51–100 users</t>
  </si>
  <si>
    <t>Plus Support Plan 8x5: 8 hours (8:30 am to 4:30 pm Central European Time) 5 days (Monday to Friday, excluding Non-Support Days)</t>
  </si>
  <si>
    <t>Dubai Government Human Resource Department</t>
  </si>
  <si>
    <t>101–500 users</t>
  </si>
  <si>
    <t>5-year saving vs AED 2,950 regular price</t>
  </si>
  <si>
    <t>AED 55 000</t>
  </si>
  <si>
    <t>More than 1,000 users</t>
  </si>
  <si>
    <t>AED 144 550</t>
  </si>
  <si>
    <t>AED 247 800</t>
  </si>
  <si>
    <t>AED 413 000</t>
  </si>
  <si>
    <t>AED 433 650</t>
  </si>
  <si>
    <t>Dubai Government Workshop</t>
  </si>
  <si>
    <t>Plus Support Plan 24x7: 24 hours excluding Non-Support Days</t>
  </si>
  <si>
    <t>AED 75 000</t>
  </si>
  <si>
    <t>AED 206 500</t>
  </si>
  <si>
    <t>AED 354 000</t>
  </si>
  <si>
    <t>AED 590 000</t>
  </si>
  <si>
    <t>AED 619 500</t>
  </si>
  <si>
    <t>Approximate annual cost of the current / expected digital signature system</t>
  </si>
  <si>
    <t>Dubai Health</t>
  </si>
  <si>
    <t>Less than AED 50,000</t>
  </si>
  <si>
    <t>AED 50,001–100,000</t>
  </si>
  <si>
    <t>One time onboarding fees per organisation</t>
  </si>
  <si>
    <t>AED 100,001–250,000</t>
  </si>
  <si>
    <t>Dubai Health Authority (DHA)</t>
  </si>
  <si>
    <t>AED 25 000</t>
  </si>
  <si>
    <t>AED 250,001–500,000</t>
  </si>
  <si>
    <t>Investor revenue opportunity (eSign + adjacent products)</t>
  </si>
  <si>
    <t>Dubai International Financial Centre (DIFC)</t>
  </si>
  <si>
    <t>Docusign</t>
  </si>
  <si>
    <t>More than AED 2,000,000</t>
  </si>
  <si>
    <t>Potential Value</t>
  </si>
  <si>
    <t>Potential annual eSign revenue</t>
  </si>
  <si>
    <t>Not available / unknown</t>
  </si>
  <si>
    <t>Dubai Islamic Economy Development Centre</t>
  </si>
  <si>
    <t>Do you expect digital signature usage to increase in the future?</t>
  </si>
  <si>
    <t>Other modules available :</t>
  </si>
  <si>
    <t>Yes – moderate increase expected</t>
  </si>
  <si>
    <t>DMS, eCorrespondence</t>
  </si>
  <si>
    <t>Yes – significant increase expected</t>
  </si>
  <si>
    <t>Dubai Judicial Institute</t>
  </si>
  <si>
    <t>Unsure / to be determined</t>
  </si>
  <si>
    <t>No – expected to remain approximately the same</t>
  </si>
  <si>
    <t>Dubai Land Department (DLD)</t>
  </si>
  <si>
    <t>important</t>
  </si>
  <si>
    <t>Additional storage + collaboration + AI revenue (~50%)</t>
  </si>
  <si>
    <t>Sample Calculation</t>
  </si>
  <si>
    <t>What factors are expected to drive this increase?</t>
  </si>
  <si>
    <t>Increase in number of users</t>
  </si>
  <si>
    <t>Purchased Users</t>
  </si>
  <si>
    <t>Dubai Maritime City Authority</t>
  </si>
  <si>
    <t>Expansion to additional departments</t>
  </si>
  <si>
    <t>Purchase Price</t>
  </si>
  <si>
    <t>Increased external signing with suppliers, partners, customers/public</t>
  </si>
  <si>
    <t>1st Purchase Order - 150 Users</t>
  </si>
  <si>
    <t>Potential annual total revenue</t>
  </si>
  <si>
    <t>Dubai Media Council</t>
  </si>
  <si>
    <t>New document types / new use cases</t>
  </si>
  <si>
    <t>AED 331 875</t>
  </si>
  <si>
    <t>2nd Purchase Order 550 User</t>
  </si>
  <si>
    <t>Dubai Media Inc</t>
  </si>
  <si>
    <t>AED 1 135 750</t>
  </si>
  <si>
    <t>Total Subscription Value</t>
  </si>
  <si>
    <t>Would your organization be interested in using a digital signature system?</t>
  </si>
  <si>
    <t>Dubai Municipality</t>
  </si>
  <si>
    <t>AED 1 467 625</t>
  </si>
  <si>
    <t>Yes – we have a current requirement</t>
  </si>
  <si>
    <t>Potential 5-year total deal value</t>
  </si>
  <si>
    <t>Yes – may need it in the future</t>
  </si>
  <si>
    <t>Dubai Petroleum</t>
  </si>
  <si>
    <t>Total interested organizations</t>
  </si>
  <si>
    <t>What is the primary use of digital/electronic signature in your organization, or expected use if implemented?</t>
  </si>
  <si>
    <t>Both internal and external</t>
  </si>
  <si>
    <t>Note: Renewals are calculated based on total subscription value at the time of initial purchase as shown above</t>
  </si>
  <si>
    <t>Dubai Police</t>
  </si>
  <si>
    <t>Internal – document approval/signing between departments or employees</t>
  </si>
  <si>
    <t>Product opportunity: eSign is the core subscription. Secure document storage, collaboration and AI can add approximately 50% revenue on top of eSign, creating a broader sovereign digital-workspace opportunity. The 50% uplift is an illustrative commercial assumption for investor sizing, not committed revenue.</t>
  </si>
  <si>
    <t>External – signing documents with suppliers, partners, customers/public</t>
  </si>
  <si>
    <t>Dubai Public Prosecution</t>
  </si>
  <si>
    <t>Dubai Silicon Oasis Authority</t>
  </si>
  <si>
    <t>Strong management-level takeaways</t>
  </si>
  <si>
    <t>Dubai South</t>
  </si>
  <si>
    <t>Dubai Sports Council</t>
  </si>
  <si>
    <t>For your Digital Dubai management presentation, I would reduce this further to five headline figures:</t>
  </si>
  <si>
    <t>Dubai Statistics Center</t>
  </si>
  <si>
    <t>38 Dubai Government entities surveyed → 21 already use digital signature → 16 additional entities expressed demand → 77% of existing users expect usage to grow → 76% say growth will be driven by more users.</t>
  </si>
  <si>
    <t>Important: employee counts marked as planning estimates should be validated before external/client use. The model is designed for management sizing and can be updated as official figures are confirmed.</t>
  </si>
  <si>
    <t>The particularly useful commercial point is that the survey shows demand beyond the current installed base: 10 entities say they have a requirement now, with another 6 indicating future need. Also, among the 22 organizations already using or implementing digital signature, 7 are in the 101–500 user range and 4 report more than 1,000 users. This supports the case that centralized licensing needs to accommodate several thousand additional users rather than only today's installed base.</t>
  </si>
  <si>
    <t>Dubai Women Establishment</t>
  </si>
  <si>
    <t>User range</t>
  </si>
  <si>
    <t>Entities</t>
  </si>
  <si>
    <t>Minimum users</t>
  </si>
  <si>
    <t>Maximum users*</t>
  </si>
  <si>
    <t>1–50</t>
  </si>
  <si>
    <t>Economic Security Center of Dubai</t>
  </si>
  <si>
    <t>51–100</t>
  </si>
  <si>
    <t>101–500</t>
  </si>
  <si>
    <t>More than 1,000</t>
  </si>
  <si>
    <t>Emirates International Accreditation Centre (eiac)</t>
  </si>
  <si>
    <t>No stated maximum</t>
  </si>
  <si>
    <t>Unknown</t>
  </si>
  <si>
    <t>Endowment And Minor Trust Foundation</t>
  </si>
  <si>
    <t>at least 4,921</t>
  </si>
  <si>
    <t>Not bounded by survey</t>
  </si>
  <si>
    <t>Financial Audit Authority</t>
  </si>
  <si>
    <t>AdobeSign</t>
  </si>
  <si>
    <t>General Directorate of Residency and Forigners Affairs - Dubai</t>
  </si>
  <si>
    <t>Hamdan Bin Mohammed Smart University</t>
  </si>
  <si>
    <t>International City for Humanitarian Services</t>
  </si>
  <si>
    <t>Investment Corporation of Dubai</t>
  </si>
  <si>
    <t>Ultimate, 150 users</t>
  </si>
  <si>
    <t>177,108.00 AED</t>
  </si>
  <si>
    <t>Islamic Affairs &amp; Charitable Activities Department (Awqaf Dubai)</t>
  </si>
  <si>
    <t>Jabel Ali Free Zone</t>
  </si>
  <si>
    <t>Khbrati</t>
  </si>
  <si>
    <t>Knowledge and Human Development Authority</t>
  </si>
  <si>
    <t>Knowledge Fund Foundation</t>
  </si>
  <si>
    <t>Mohamed Bin Rashid Space Centre</t>
  </si>
  <si>
    <t>Mohammed Bin Rashid Al Maktoum Knowledge Foundation</t>
  </si>
  <si>
    <t>Mohammed Bin Rashid Al Maktoum Library Foundation</t>
  </si>
  <si>
    <t>Mohammed Bin Rashid Housing Establishment</t>
  </si>
  <si>
    <t>Mohammed Bin Rashid School of Government</t>
  </si>
  <si>
    <t>National Bonds</t>
  </si>
  <si>
    <t>Nedaa - Professional Communication Corporation</t>
  </si>
  <si>
    <t>Ports, Customs and Free Zone Corporation (PCFC)</t>
  </si>
  <si>
    <t>Business, 20 users (renewal will be for approx. 30 users)</t>
  </si>
  <si>
    <t>116,564.92 AED (end user)</t>
  </si>
  <si>
    <t>Professional Communication Corporation 'Nedaa'</t>
  </si>
  <si>
    <t>Protocol Department</t>
  </si>
  <si>
    <t>Public Prosecution</t>
  </si>
  <si>
    <t>Roads and Transport Authority (RTA)</t>
  </si>
  <si>
    <t>AMC, 1k users (+discussion about Sovereign Workspace extension)</t>
  </si>
  <si>
    <t>608,000.00 AED (end user)</t>
  </si>
  <si>
    <t>Security Industry Regulatory Authority</t>
  </si>
  <si>
    <t>State Security - Dubai</t>
  </si>
  <si>
    <t>Supreme Council of Energy Dubai</t>
  </si>
  <si>
    <t>Supreme Legislation Committee</t>
  </si>
  <si>
    <t>The Executive Council - Dubai</t>
  </si>
  <si>
    <t>The Governement of Dubai Human Resources Department</t>
  </si>
  <si>
    <t>The Government of Dubai Legal Affairs Department</t>
  </si>
  <si>
    <t>The Government of Dubai Media Office</t>
  </si>
  <si>
    <t>The Supreme Legislation Committee</t>
  </si>
  <si>
    <t>Trakhees Corporation</t>
  </si>
  <si>
    <t>UAE Food Bank</t>
  </si>
  <si>
    <t>Visit Dubai</t>
  </si>
  <si>
    <t>Emirates Integrated Telecommunications Company (du)</t>
  </si>
  <si>
    <t>Mohammed Bin Rashid Al Maktoum Global Initiatives</t>
  </si>
  <si>
    <t>Mohammed Bin Rashid Centre for Government Innovation - Dubai</t>
  </si>
  <si>
    <t>Sheikh Zayed Housing Programme</t>
  </si>
  <si>
    <t>Dubai Healthcare City Authority</t>
  </si>
  <si>
    <t>Enterprise, 5k transactions (while having 150 registered users)</t>
  </si>
  <si>
    <t>57,627.5 AED (end user)</t>
  </si>
  <si>
    <t>Digital Dubai – Investor Deal Potential</t>
  </si>
  <si>
    <t>Potential 5-year revenue opportunity across the 91-entity Dubai Government portfolio</t>
  </si>
  <si>
    <t>Entity</t>
  </si>
  <si>
    <t>Estimated Employees</t>
  </si>
  <si>
    <t>Employee Figure Basis</t>
  </si>
  <si>
    <t>Potential Sign Users %</t>
  </si>
  <si>
    <t>Potential Digital Sign Users</t>
  </si>
  <si>
    <t>Known Current Users</t>
  </si>
  <si>
    <t>Current Fragmented Price / User (AED)</t>
  </si>
  <si>
    <t>Portfolio sizing</t>
  </si>
  <si>
    <t>Central Tier 5 Price / User (AED)</t>
  </si>
  <si>
    <t>Annual Cost - Fragmented (AED)</t>
  </si>
  <si>
    <t>Annual Cost - Central Tier 5 (AED)</t>
  </si>
  <si>
    <t>Value</t>
  </si>
  <si>
    <t>Notes</t>
  </si>
  <si>
    <t>Annual Saving (AED)</t>
  </si>
  <si>
    <t>Entities in addressable portfolio</t>
  </si>
  <si>
    <t>5-Year Saving (AED)</t>
  </si>
  <si>
    <t>5-Year Saving vs Regular AED 2,950</t>
  </si>
  <si>
    <t>Source / Note</t>
  </si>
  <si>
    <t>Pricing / Model Assumption</t>
  </si>
  <si>
    <t>AED per user/year</t>
  </si>
  <si>
    <t>Planning estimate – validate with entity</t>
  </si>
  <si>
    <t>Regular Basic Price</t>
  </si>
  <si>
    <t>DDA Shared Service Price (20% off)</t>
  </si>
  <si>
    <t>Tier 1 - 100 to 499</t>
  </si>
  <si>
    <t>Tier 2 - 500 to 999</t>
  </si>
  <si>
    <t>Tier 3 - 1,000 to 1,999</t>
  </si>
  <si>
    <t>91 entities in current master list</t>
  </si>
  <si>
    <t>Tier 4 - 2,000 to 2,999</t>
  </si>
  <si>
    <t>Tier 5 - 3,000+</t>
  </si>
  <si>
    <t>Central Tier 5 Used in Model</t>
  </si>
  <si>
    <t>Methodology</t>
  </si>
  <si>
    <t>Potential digital-signature users are planning estimates, not survey-reported headcounts.</t>
  </si>
  <si>
    <t>Planning estimate / published figures where available</t>
  </si>
  <si>
    <t>Published employee counts are used where a credible public figure was found. All other employee counts are explicitly flagged as planning estimates requiring validation.</t>
  </si>
  <si>
    <t>Potential eSign users</t>
  </si>
  <si>
    <t>Potential users = estimated employees × addressable-user ratio. Knowledge/administrative entities use 70%; general entities 50%; field/operational entities 30%.</t>
  </si>
  <si>
    <t>Fragmented price assumes each entity purchases independently at the tier corresponding to its own potential user count. Central scenario applies Tier 5 AED 1,180 to all users through DDA shared service.</t>
  </si>
  <si>
    <t>The 5-year comparison excludes inflation, implementation/support, transaction-based products and VAT. It is a license-subscription comparison only.</t>
  </si>
  <si>
    <t>Addressable digital-signature users from current model</t>
  </si>
  <si>
    <t>A second 5-year saving column compares Tier 5 directly with the AED 2,950 regular/basic price, useful as the maximum list-price saving case.</t>
  </si>
  <si>
    <t>eSign price per user / year</t>
  </si>
  <si>
    <t>Investor Upsell Assumption</t>
  </si>
  <si>
    <t>Adjacent products revenue uplift vs eSign</t>
  </si>
  <si>
    <t>Adjacent products</t>
  </si>
  <si>
    <t>Secure document storage, collaboration and AI</t>
  </si>
  <si>
    <t>Treatment</t>
  </si>
  <si>
    <t>Illustrative potential revenue assumption; not committed revenue</t>
  </si>
  <si>
    <t>Tier 5 centralized DDA shared-service price</t>
  </si>
  <si>
    <t>Core eSign subscription</t>
  </si>
  <si>
    <t>Adjacent product revenue uplift</t>
  </si>
  <si>
    <t>Secure document storage + collaboration + AI</t>
  </si>
  <si>
    <t>Potential annual adjacent revenue</t>
  </si>
  <si>
    <t>Approx. 50% additional revenue opportunity</t>
  </si>
  <si>
    <t>eSign + adjacent products</t>
  </si>
  <si>
    <t>Potential 5-year eSign revenue</t>
  </si>
  <si>
    <t>Before inflation / expansion</t>
  </si>
  <si>
    <t>Potential 5-year adjacent revenue</t>
  </si>
  <si>
    <t>Storage + collaboration + AI</t>
  </si>
  <si>
    <t>Illustrative revenue opportunity</t>
  </si>
  <si>
    <t>Scale illustration</t>
  </si>
  <si>
    <t>Potential Users</t>
  </si>
  <si>
    <t>Indicative planning estimate; replace with official headcount when available</t>
  </si>
  <si>
    <t>Annual eSign Revenue</t>
  </si>
  <si>
    <t>Adjacent Products (+50%)</t>
  </si>
  <si>
    <t>Annual Total Revenue</t>
  </si>
  <si>
    <t>5-Year Total Revenue</t>
  </si>
  <si>
    <t>Current model potential</t>
  </si>
  <si>
    <t>Investor framing: eSign is the core product. Secure document storage, collaboration and AI represent an estimated additional revenue opportunity of approximately 50% on top of eSign revenue. This is an illustrative commercial sizing assumption, not committed revenue, and excludes implementation, support, VAT, inflation and future user growth.</t>
  </si>
  <si>
    <t>Department of Tourism and Commerce Marketing</t>
  </si>
  <si>
    <t>Published profile (older)</t>
  </si>
  <si>
    <t>https://summit-events.com/assets/files/PDS19_Programme_FINAL_UPDATE.pdf</t>
  </si>
  <si>
    <t>Published</t>
  </si>
  <si>
    <t>https://www.dubaicustoms.gov.ae/en/SocialResponsibility/Csr/OurEmployees/Pages/default.aspx</t>
  </si>
  <si>
    <t>Published 2025</t>
  </si>
  <si>
    <t>https://icd.gov.ae/wp-content/uploads/2025/11/ICD-AR2025-Full-Report-2.pdf</t>
  </si>
  <si>
    <t>Lost</t>
  </si>
  <si>
    <t>Published 2024</t>
  </si>
  <si>
    <t>https://www.dewa.gov.ae/-/media/Images/Investor-Relations/Integrated-reports/Integrated_report_for_the_year_2024.ashx</t>
  </si>
  <si>
    <t>Important</t>
  </si>
  <si>
    <t>Public company profile</t>
  </si>
  <si>
    <t>https://www.linkedin.com/company/dubai-municipality/</t>
  </si>
  <si>
    <t>Public profile / approximate</t>
  </si>
  <si>
    <t>https://ae.linkedin.com/company/dubaipolicehq</t>
  </si>
  <si>
    <t>Published 2023</t>
  </si>
  <si>
    <t>https://www.rta.ae/wps/portal/rta/ae/home/news-and-media/all-news/NewsDetails/women-committee-celebrates-emirati-women-day</t>
  </si>
  <si>
    <t>TOTAL /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</si>
</sst>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 &quot;AED&quot;"/>
  </numFmts>
  <fonts count="26">
    <font>
      <sz val="10.0"/>
      <color rgb="FF000000"/>
      <name val="Calibri"/>
      <scheme val="minor"/>
    </font>
    <font>
      <color rgb="FF000000"/>
      <name val="Arial"/>
    </font>
    <font>
      <b/>
      <color theme="1"/>
      <name val="Calibri"/>
    </font>
    <font>
      <b/>
      <color rgb="FF000000"/>
      <name val="Arial"/>
    </font>
    <font>
      <color theme="1"/>
      <name val="Calibri"/>
      <scheme val="minor"/>
    </font>
    <font>
      <color theme="1"/>
      <name val="Calibri"/>
    </font>
    <font>
      <color theme="1"/>
      <name val="Arial"/>
    </font>
    <font>
      <b/>
      <color rgb="FF38761D"/>
      <name val="Arial"/>
    </font>
    <font>
      <b/>
      <sz val="20.0"/>
      <color rgb="FFFFFFFF"/>
      <name val="Calibri"/>
      <scheme val="minor"/>
    </font>
    <font>
      <b/>
      <color theme="1"/>
      <name val="Calibri"/>
      <scheme val="minor"/>
    </font>
    <font/>
    <font>
      <color rgb="FF172B4D"/>
      <name val="Arial"/>
    </font>
    <font>
      <sz val="11.0"/>
      <color theme="1"/>
      <name val="Calibri"/>
    </font>
    <font>
      <b/>
      <color rgb="FF172B4D"/>
      <name val="Arial"/>
    </font>
    <font>
      <b/>
      <color rgb="FFFFFFFF"/>
      <name val="Calibri"/>
      <scheme val="minor"/>
    </font>
    <font>
      <sz val="14.0"/>
      <color theme="1"/>
      <name val="Calibri"/>
      <scheme val="minor"/>
    </font>
    <font>
      <i/>
      <color rgb="FF666666"/>
      <name val="Calibri"/>
      <scheme val="minor"/>
    </font>
    <font>
      <b/>
      <sz val="14.0"/>
      <color theme="1"/>
      <name val="Calibri"/>
      <scheme val="minor"/>
    </font>
    <font>
      <b/>
      <sz val="18.0"/>
      <color rgb="FFFFFFFF"/>
      <name val="Calibri"/>
      <scheme val="minor"/>
    </font>
    <font>
      <sz val="11.0"/>
      <color rgb="FF666666"/>
      <name val="Calibri"/>
      <scheme val="minor"/>
    </font>
    <font>
      <color rgb="FF008000"/>
      <name val="Calibri"/>
      <scheme val="minor"/>
    </font>
    <font>
      <color rgb="FF808080"/>
      <name val="Calibri"/>
      <scheme val="minor"/>
    </font>
    <font>
      <color rgb="FF666666"/>
      <name val="Calibri"/>
      <scheme val="minor"/>
    </font>
    <font>
      <color rgb="FF000000"/>
      <name val="Calibri"/>
      <scheme val="minor"/>
    </font>
    <font>
      <b/>
      <sz val="14.0"/>
      <color rgb="FF17365D"/>
      <name val="Calibri"/>
      <scheme val="minor"/>
    </font>
    <font>
      <i/>
      <color rgb="FF555555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17365D"/>
        <bgColor rgb="FF17365D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  <fill>
      <patternFill patternType="solid">
        <fgColor rgb="FF00A9D6"/>
        <bgColor rgb="FF00A9D6"/>
      </patternFill>
    </fill>
    <fill>
      <patternFill patternType="solid">
        <fgColor rgb="FFF2F2F2"/>
        <bgColor rgb="FFF2F2F2"/>
      </patternFill>
    </fill>
  </fills>
  <borders count="1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horizontal="left" vertical="bottom"/>
    </xf>
    <xf borderId="0" fillId="0" fontId="3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left" shrinkToFit="0" wrapText="1"/>
    </xf>
    <xf borderId="2" fillId="0" fontId="3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left"/>
    </xf>
    <xf borderId="2" fillId="3" fontId="3" numFmtId="0" xfId="0" applyAlignment="1" applyBorder="1" applyFill="1" applyFont="1">
      <alignment horizontal="center" readingOrder="0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left" vertical="bottom"/>
    </xf>
    <xf borderId="3" fillId="3" fontId="1" numFmtId="0" xfId="0" applyAlignment="1" applyBorder="1" applyFill="1" applyFont="1">
      <alignment horizontal="center" shrinkToFit="0" vertical="bottom" wrapText="1"/>
    </xf>
    <xf borderId="0" fillId="0" fontId="6" numFmtId="0" xfId="0" applyAlignment="1" applyFont="1">
      <alignment horizontal="left" vertical="bottom"/>
    </xf>
    <xf borderId="4" fillId="3" fontId="1" numFmtId="0" xfId="0" applyAlignment="1" applyBorder="1" applyFill="1" applyFont="1">
      <alignment horizontal="center" shrinkToFit="0" vertical="bottom" wrapText="1"/>
    </xf>
    <xf borderId="0" fillId="4" fontId="5" numFmtId="0" xfId="0" applyAlignment="1" applyFill="1" applyFont="1">
      <alignment horizontal="left" vertical="bottom"/>
    </xf>
    <xf borderId="5" fillId="0" fontId="1" numFmtId="0" xfId="0" applyAlignment="1" applyBorder="1" applyFont="1">
      <alignment horizontal="center" readingOrder="0" shrinkToFit="0" vertical="bottom" wrapText="1"/>
    </xf>
    <xf borderId="0" fillId="4" fontId="6" numFmtId="0" xfId="0" applyAlignment="1" applyFill="1" applyFont="1">
      <alignment horizontal="left" vertical="bottom"/>
    </xf>
    <xf borderId="6" fillId="3" fontId="1" numFmtId="0" xfId="0" applyAlignment="1" applyBorder="1" applyFill="1" applyFont="1">
      <alignment horizontal="center" readingOrder="0" shrinkToFit="0" vertical="bottom" wrapText="1"/>
    </xf>
    <xf borderId="6" fillId="0" fontId="1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5" fillId="3" fontId="3" numFmtId="0" xfId="0" applyAlignment="1" applyBorder="1" applyFill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readingOrder="0" shrinkToFit="0" vertical="bottom" wrapText="1"/>
    </xf>
    <xf borderId="5" fillId="5" fontId="1" numFmtId="0" xfId="0" applyAlignment="1" applyBorder="1" applyFill="1" applyFont="1">
      <alignment horizontal="right" readingOrder="0" shrinkToFit="0" vertical="bottom" wrapText="1"/>
    </xf>
    <xf borderId="0" fillId="6" fontId="5" numFmtId="0" xfId="0" applyAlignment="1" applyFill="1" applyFont="1">
      <alignment horizontal="left" vertical="bottom"/>
    </xf>
    <xf borderId="5" fillId="0" fontId="1" numFmtId="0" xfId="0" applyAlignment="1" applyBorder="1" applyFont="1">
      <alignment horizontal="right" readingOrder="0" shrinkToFit="0" vertical="bottom" wrapText="1"/>
    </xf>
    <xf borderId="0" fillId="6" fontId="5" numFmtId="0" xfId="0" applyAlignment="1" applyFill="1" applyFont="1">
      <alignment horizontal="left" shrinkToFit="0" vertical="bottom" wrapText="1"/>
    </xf>
    <xf borderId="5" fillId="3" fontId="7" numFmtId="0" xfId="0" applyAlignment="1" applyBorder="1" applyFill="1" applyFont="1">
      <alignment horizontal="right" readingOrder="0" shrinkToFit="0" vertical="bottom" wrapText="1"/>
    </xf>
    <xf borderId="5" fillId="3" fontId="1" numFmtId="0" xfId="0" applyAlignment="1" applyBorder="1" applyFill="1" applyFont="1">
      <alignment horizontal="right" readingOrder="0" shrinkToFit="0" vertical="bottom" wrapText="1"/>
    </xf>
    <xf borderId="0" fillId="6" fontId="6" numFmtId="0" xfId="0" applyAlignment="1" applyFill="1" applyFont="1">
      <alignment horizontal="left" vertical="bottom"/>
    </xf>
    <xf borderId="0" fillId="0" fontId="1" numFmtId="0" xfId="0" applyAlignment="1" applyFont="1">
      <alignment shrinkToFit="0" vertical="bottom" wrapText="0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readingOrder="0" vertical="bottom"/>
    </xf>
    <xf borderId="8" fillId="7" fontId="8" numFmtId="0" xfId="0" applyBorder="1" applyFill="1" applyFont="1"/>
    <xf borderId="0" fillId="0" fontId="9" numFmtId="0" xfId="0" applyAlignment="1" applyFont="1">
      <alignment horizontal="center" readingOrder="0"/>
    </xf>
    <xf borderId="5" fillId="0" fontId="1" numFmtId="0" xfId="0" applyAlignment="1" applyBorder="1" applyFont="1">
      <alignment horizontal="right" readingOrder="0" shrinkToFit="0" vertical="bottom" wrapText="0"/>
    </xf>
    <xf borderId="9" fillId="0" fontId="10" numFmtId="0" xfId="0" applyBorder="1" applyFont="1"/>
    <xf borderId="5" fillId="3" fontId="1" numFmtId="0" xfId="0" applyAlignment="1" applyBorder="1" applyFill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/>
    </xf>
    <xf borderId="10" fillId="0" fontId="10" numFmtId="0" xfId="0" applyBorder="1" applyFont="1"/>
    <xf borderId="5" fillId="0" fontId="1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5" fillId="8" fontId="11" numFmtId="0" xfId="0" applyAlignment="1" applyBorder="1" applyFill="1" applyFont="1">
      <alignment horizontal="left" vertical="top"/>
    </xf>
    <xf borderId="0" fillId="0" fontId="4" numFmtId="0" xfId="0" applyAlignment="1" applyFont="1">
      <alignment horizontal="right" readingOrder="0"/>
    </xf>
    <xf borderId="0" fillId="0" fontId="9" numFmtId="0" xfId="0" applyFont="1"/>
    <xf borderId="5" fillId="3" fontId="1" numFmtId="0" xfId="0" applyAlignment="1" applyBorder="1" applyFill="1" applyFont="1">
      <alignment shrinkToFit="0" vertical="bottom" wrapText="0"/>
    </xf>
    <xf borderId="1" fillId="9" fontId="12" numFmtId="3" xfId="0" applyBorder="1" applyFill="1" applyFont="1" applyNumberFormat="1"/>
    <xf borderId="0" fillId="0" fontId="4" numFmtId="10" xfId="0" applyAlignment="1" applyFont="1" applyNumberFormat="1">
      <alignment horizontal="right" readingOrder="0"/>
    </xf>
    <xf borderId="0" fillId="10" fontId="5" numFmtId="0" xfId="0" applyAlignment="1" applyFill="1" applyFont="1">
      <alignment horizontal="left" vertical="bottom"/>
    </xf>
    <xf borderId="0" fillId="10" fontId="6" numFmtId="0" xfId="0" applyAlignment="1" applyFill="1" applyFont="1">
      <alignment horizontal="left" vertical="bottom"/>
    </xf>
    <xf borderId="0" fillId="0" fontId="4" numFmtId="9" xfId="0" applyAlignment="1" applyFont="1" applyNumberFormat="1">
      <alignment horizontal="right" readingOrder="0"/>
    </xf>
    <xf borderId="5" fillId="8" fontId="13" numFmtId="0" xfId="0" applyAlignment="1" applyBorder="1" applyFill="1" applyFont="1">
      <alignment horizontal="left" readingOrder="0" vertical="top"/>
    </xf>
    <xf borderId="5" fillId="0" fontId="3" numFmtId="0" xfId="0" applyAlignment="1" applyBorder="1" applyFont="1">
      <alignment readingOrder="0" vertical="bottom"/>
    </xf>
    <xf borderId="5" fillId="8" fontId="11" numFmtId="0" xfId="0" applyAlignment="1" applyBorder="1" applyFill="1" applyFont="1">
      <alignment horizontal="left" readingOrder="0" vertical="top"/>
    </xf>
    <xf borderId="0" fillId="0" fontId="11" numFmtId="0" xfId="0" applyAlignment="1" applyFont="1">
      <alignment horizontal="left" vertical="top"/>
    </xf>
    <xf borderId="5" fillId="0" fontId="1" numFmtId="0" xfId="0" applyAlignment="1" applyBorder="1" applyFont="1">
      <alignment readingOrder="0" shrinkToFit="0" vertical="bottom" wrapText="0"/>
    </xf>
    <xf borderId="1" fillId="7" fontId="14" numFmtId="0" xfId="0" applyBorder="1" applyFill="1" applyFont="1"/>
    <xf borderId="1" fillId="11" fontId="12" numFmtId="0" xfId="0" applyAlignment="1" applyBorder="1" applyFill="1" applyFont="1">
      <alignment shrinkToFit="0" vertical="top" wrapText="1"/>
    </xf>
    <xf borderId="5" fillId="0" fontId="3" numFmtId="0" xfId="0" applyAlignment="1" applyBorder="1" applyFont="1">
      <alignment readingOrder="0" shrinkToFit="0" vertical="bottom" wrapText="0"/>
    </xf>
    <xf borderId="0" fillId="0" fontId="12" numFmtId="164" xfId="0" applyFont="1" applyNumberFormat="1"/>
    <xf borderId="0" fillId="8" fontId="11" numFmtId="0" xfId="0" applyAlignment="1" applyFill="1" applyFont="1">
      <alignment horizontal="left" vertical="top"/>
    </xf>
    <xf borderId="0" fillId="0" fontId="4" numFmtId="0" xfId="0" applyFont="1"/>
    <xf borderId="0" fillId="8" fontId="13" numFmtId="0" xfId="0" applyAlignment="1" applyFill="1" applyFont="1">
      <alignment horizontal="left" readingOrder="0" vertical="top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shrinkToFit="0" vertical="bottom" wrapText="0"/>
    </xf>
    <xf borderId="1" fillId="12" fontId="9" numFmtId="164" xfId="0" applyBorder="1" applyFill="1" applyFont="1" applyNumberFormat="1"/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1" fillId="13" fontId="12" numFmtId="0" xfId="0" applyAlignment="1" applyBorder="1" applyFill="1" applyFont="1">
      <alignment shrinkToFit="0" vertical="top" wrapText="1"/>
    </xf>
    <xf borderId="12" fillId="0" fontId="10" numFmtId="0" xfId="0" applyBorder="1" applyFont="1"/>
    <xf borderId="0" fillId="0" fontId="15" numFmtId="0" xfId="0" applyAlignment="1" applyFont="1">
      <alignment readingOrder="0" shrinkToFit="0" wrapText="1"/>
    </xf>
    <xf borderId="13" fillId="0" fontId="10" numFmtId="0" xfId="0" applyBorder="1" applyFont="1"/>
    <xf borderId="0" fillId="0" fontId="15" numFmtId="0" xfId="0" applyAlignment="1" applyFont="1">
      <alignment shrinkToFit="0" wrapText="1"/>
    </xf>
    <xf borderId="14" fillId="0" fontId="10" numFmtId="0" xfId="0" applyBorder="1" applyFont="1"/>
    <xf borderId="15" fillId="0" fontId="10" numFmtId="0" xfId="0" applyBorder="1" applyFont="1"/>
    <xf borderId="16" fillId="0" fontId="10" numFmtId="0" xfId="0" applyBorder="1" applyFont="1"/>
    <xf borderId="0" fillId="0" fontId="16" numFmtId="0" xfId="0" applyAlignment="1" applyFont="1">
      <alignment shrinkToFit="0" vertical="top" wrapText="1"/>
    </xf>
    <xf borderId="0" fillId="0" fontId="4" numFmtId="3" xfId="0" applyAlignment="1" applyFont="1" applyNumberFormat="1">
      <alignment horizontal="right"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6" fontId="5" numFmtId="4" xfId="0" applyAlignment="1" applyFill="1" applyFont="1" applyNumberFormat="1">
      <alignment horizontal="left" shrinkToFit="0" vertical="bottom" wrapText="1"/>
    </xf>
    <xf borderId="8" fillId="7" fontId="18" numFmtId="0" xfId="0" applyBorder="1" applyFill="1" applyFont="1"/>
    <xf borderId="1" fillId="7" fontId="14" numFmtId="0" xfId="0" applyAlignment="1" applyBorder="1" applyFill="1" applyFont="1">
      <alignment horizontal="center" shrinkToFit="0" vertical="center" wrapText="1"/>
    </xf>
    <xf borderId="0" fillId="0" fontId="19" numFmtId="0" xfId="0" applyFont="1"/>
    <xf borderId="1" fillId="14" fontId="14" numFmtId="0" xfId="0" applyAlignment="1" applyBorder="1" applyFill="1" applyFont="1">
      <alignment horizontal="center"/>
    </xf>
    <xf borderId="0" fillId="0" fontId="12" numFmtId="0" xfId="0" applyAlignment="1" applyFont="1">
      <alignment shrinkToFit="0" vertical="top" wrapText="1"/>
    </xf>
    <xf borderId="1" fillId="11" fontId="20" numFmtId="3" xfId="0" applyAlignment="1" applyBorder="1" applyFill="1" applyFont="1" applyNumberFormat="1">
      <alignment shrinkToFit="0" vertical="top" wrapText="1"/>
    </xf>
    <xf borderId="0" fillId="0" fontId="12" numFmtId="3" xfId="0" applyAlignment="1" applyFont="1" applyNumberFormat="1">
      <alignment shrinkToFit="0" vertical="top" wrapText="1"/>
    </xf>
    <xf borderId="0" fillId="0" fontId="21" numFmtId="9" xfId="0" applyAlignment="1" applyFont="1" applyNumberFormat="1">
      <alignment shrinkToFit="0" vertical="top" wrapText="1"/>
    </xf>
    <xf borderId="1" fillId="15" fontId="12" numFmtId="3" xfId="0" applyBorder="1" applyFill="1" applyFont="1" applyNumberFormat="1"/>
    <xf borderId="0" fillId="0" fontId="22" numFmtId="0" xfId="0" applyFont="1"/>
    <xf borderId="0" fillId="0" fontId="23" numFmtId="3" xfId="0" applyAlignment="1" applyFont="1" applyNumberFormat="1">
      <alignment shrinkToFit="0" vertical="top" wrapText="1"/>
    </xf>
    <xf borderId="0" fillId="0" fontId="20" numFmtId="3" xfId="0" applyAlignment="1" applyFont="1" applyNumberFormat="1">
      <alignment shrinkToFit="0" vertical="top" wrapText="1"/>
    </xf>
    <xf borderId="0" fillId="0" fontId="12" numFmtId="9" xfId="0" applyFont="1" applyNumberFormat="1"/>
    <xf borderId="1" fillId="15" fontId="12" numFmtId="164" xfId="0" applyBorder="1" applyFill="1" applyFont="1" applyNumberFormat="1"/>
    <xf borderId="1" fillId="15" fontId="9" numFmtId="164" xfId="0" applyBorder="1" applyFill="1" applyFont="1" applyNumberFormat="1"/>
    <xf borderId="1" fillId="15" fontId="12" numFmtId="9" xfId="0" applyBorder="1" applyFill="1" applyFont="1" applyNumberFormat="1"/>
    <xf borderId="0" fillId="0" fontId="24" numFmtId="0" xfId="0" applyFont="1"/>
    <xf borderId="1" fillId="14" fontId="14" numFmtId="0" xfId="0" applyAlignment="1" applyBorder="1" applyFill="1" applyFont="1">
      <alignment horizontal="center" shrinkToFit="0" wrapText="1"/>
    </xf>
    <xf borderId="11" fillId="13" fontId="25" numFmtId="0" xfId="0" applyAlignment="1" applyBorder="1" applyFill="1" applyFont="1">
      <alignment shrinkToFit="0" vertical="top" wrapText="1"/>
    </xf>
    <xf borderId="17" fillId="0" fontId="10" numFmtId="0" xfId="0" applyBorder="1" applyFont="1"/>
    <xf borderId="18" fillId="0" fontId="10" numFmtId="0" xfId="0" applyBorder="1" applyFont="1"/>
    <xf borderId="1" fillId="12" fontId="20" numFmtId="3" xfId="0" applyAlignment="1" applyBorder="1" applyFill="1" applyFont="1" applyNumberFormat="1">
      <alignment shrinkToFit="0" vertical="top" wrapText="1"/>
    </xf>
    <xf borderId="1" fillId="9" fontId="9" numFmtId="0" xfId="0" applyBorder="1" applyFill="1" applyFont="1"/>
    <xf borderId="1" fillId="9" fontId="9" numFmtId="3" xfId="0" applyBorder="1" applyFill="1" applyFont="1" applyNumberFormat="1"/>
    <xf borderId="1" fillId="9" fontId="9" numFmtId="9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6.71"/>
    <col customWidth="1" min="4" max="4" width="29.43"/>
  </cols>
  <sheetData>
    <row r="1">
      <c r="A1" s="2" t="s">
        <v>0</v>
      </c>
      <c r="B1" s="2" t="s">
        <v>1</v>
      </c>
      <c r="C1" s="4" t="s">
        <v>2</v>
      </c>
      <c r="D1" s="4" t="s">
        <v>4</v>
      </c>
      <c r="E1" s="4" t="s">
        <v>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>
        <v>1.0</v>
      </c>
      <c r="B2" s="9" t="s">
        <v>7</v>
      </c>
      <c r="C2" s="11"/>
      <c r="D2" s="11"/>
      <c r="E2" s="11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3">
        <v>2.0</v>
      </c>
      <c r="B3" s="13" t="s">
        <v>9</v>
      </c>
      <c r="C3" s="13" t="s">
        <v>10</v>
      </c>
      <c r="D3" s="15"/>
      <c r="E3" s="1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>
        <v>3.0</v>
      </c>
      <c r="B4" s="13" t="s">
        <v>13</v>
      </c>
      <c r="C4" s="13" t="s">
        <v>10</v>
      </c>
      <c r="D4" s="15"/>
      <c r="E4" s="1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>
        <v>4.0</v>
      </c>
      <c r="B5" s="9" t="s">
        <v>16</v>
      </c>
      <c r="C5" s="11"/>
      <c r="D5" s="11"/>
      <c r="E5" s="1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>
        <v>5.0</v>
      </c>
      <c r="B6" s="9" t="s">
        <v>22</v>
      </c>
      <c r="C6" s="11"/>
      <c r="D6" s="11"/>
      <c r="E6" s="1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>
        <v>6.0</v>
      </c>
      <c r="B7" s="13" t="s">
        <v>28</v>
      </c>
      <c r="C7" s="13" t="s">
        <v>10</v>
      </c>
      <c r="D7" s="15"/>
      <c r="E7" s="1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>
        <v>7.0</v>
      </c>
      <c r="B8" s="9" t="s">
        <v>36</v>
      </c>
      <c r="C8" s="11"/>
      <c r="D8" s="11"/>
      <c r="E8" s="1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">
        <v>8.0</v>
      </c>
      <c r="B9" s="24" t="s">
        <v>40</v>
      </c>
      <c r="C9" s="24" t="s">
        <v>41</v>
      </c>
      <c r="D9" s="26" t="s">
        <v>42</v>
      </c>
      <c r="E9" s="26" t="s">
        <v>44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9"/>
      <c r="B10" s="24" t="s">
        <v>40</v>
      </c>
      <c r="C10" s="24" t="s">
        <v>41</v>
      </c>
      <c r="D10" s="26" t="s">
        <v>48</v>
      </c>
      <c r="E10" s="26" t="s">
        <v>49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">
        <v>9.0</v>
      </c>
      <c r="B11" s="9" t="s">
        <v>50</v>
      </c>
      <c r="C11" s="11"/>
      <c r="D11" s="11"/>
      <c r="E11" s="1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9">
        <v>10.0</v>
      </c>
      <c r="B12" s="9" t="s">
        <v>51</v>
      </c>
      <c r="C12" s="11"/>
      <c r="D12" s="11"/>
      <c r="E12" s="1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9">
        <v>11.0</v>
      </c>
      <c r="B13" s="9" t="s">
        <v>52</v>
      </c>
      <c r="C13" s="11"/>
      <c r="D13" s="11"/>
      <c r="E13" s="1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>
        <v>12.0</v>
      </c>
      <c r="B14" s="9" t="s">
        <v>53</v>
      </c>
      <c r="C14" s="11"/>
      <c r="D14" s="11"/>
      <c r="E14" s="11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">
        <v>13.0</v>
      </c>
      <c r="B15" s="9" t="s">
        <v>54</v>
      </c>
      <c r="C15" s="11"/>
      <c r="D15" s="11"/>
      <c r="E15" s="11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">
        <v>14.0</v>
      </c>
      <c r="B16" s="9" t="s">
        <v>55</v>
      </c>
      <c r="C16" s="11"/>
      <c r="D16" s="11"/>
      <c r="E16" s="11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">
        <v>15.0</v>
      </c>
      <c r="B17" s="9" t="s">
        <v>56</v>
      </c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9">
        <v>16.0</v>
      </c>
      <c r="B18" s="9" t="s">
        <v>63</v>
      </c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">
        <v>17.0</v>
      </c>
      <c r="B19" s="24" t="s">
        <v>66</v>
      </c>
      <c r="C19" s="24" t="s">
        <v>41</v>
      </c>
      <c r="D19" s="26" t="s">
        <v>67</v>
      </c>
      <c r="E19" s="26" t="s">
        <v>68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">
        <v>18.0</v>
      </c>
      <c r="B20" s="13" t="s">
        <v>69</v>
      </c>
      <c r="C20" s="13" t="s">
        <v>10</v>
      </c>
      <c r="D20" s="15"/>
      <c r="E20" s="1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4">
        <v>19.0</v>
      </c>
      <c r="B21" s="24" t="s">
        <v>74</v>
      </c>
      <c r="C21" s="24" t="s">
        <v>41</v>
      </c>
      <c r="D21" s="26" t="s">
        <v>75</v>
      </c>
      <c r="E21" s="26" t="s">
        <v>77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>
        <v>20.0</v>
      </c>
      <c r="B22" s="13" t="s">
        <v>83</v>
      </c>
      <c r="C22" s="13" t="s">
        <v>10</v>
      </c>
      <c r="D22" s="15"/>
      <c r="E22" s="1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9">
        <v>21.0</v>
      </c>
      <c r="B23" s="9" t="s">
        <v>86</v>
      </c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1">
        <v>22.0</v>
      </c>
      <c r="B24" s="51" t="s">
        <v>93</v>
      </c>
      <c r="C24" s="51" t="s">
        <v>95</v>
      </c>
      <c r="D24" s="52"/>
      <c r="E24" s="52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3">
        <v>23.0</v>
      </c>
      <c r="B25" s="13" t="s">
        <v>99</v>
      </c>
      <c r="C25" s="13" t="s">
        <v>10</v>
      </c>
      <c r="D25" s="15"/>
      <c r="E25" s="1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4">
        <v>24.0</v>
      </c>
      <c r="B26" s="24" t="s">
        <v>104</v>
      </c>
      <c r="C26" s="24" t="s">
        <v>41</v>
      </c>
      <c r="D26" s="26" t="s">
        <v>105</v>
      </c>
      <c r="E26" s="26" t="s">
        <v>106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9">
        <v>25.0</v>
      </c>
      <c r="B27" s="9" t="s">
        <v>111</v>
      </c>
      <c r="C27" s="11"/>
      <c r="D27" s="11"/>
      <c r="E27" s="11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9">
        <v>26.0</v>
      </c>
      <c r="B28" s="9" t="s">
        <v>116</v>
      </c>
      <c r="C28" s="11"/>
      <c r="D28" s="11"/>
      <c r="E28" s="11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9">
        <v>27.0</v>
      </c>
      <c r="B29" s="9" t="s">
        <v>120</v>
      </c>
      <c r="C29" s="11"/>
      <c r="D29" s="11"/>
      <c r="E29" s="11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9">
        <v>28.0</v>
      </c>
      <c r="B30" s="9" t="s">
        <v>124</v>
      </c>
      <c r="C30" s="11"/>
      <c r="D30" s="11"/>
      <c r="E30" s="11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9">
        <v>29.0</v>
      </c>
      <c r="B31" s="9" t="s">
        <v>130</v>
      </c>
      <c r="C31" s="11"/>
      <c r="D31" s="11"/>
      <c r="E31" s="11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9">
        <v>30.0</v>
      </c>
      <c r="B32" s="9" t="s">
        <v>139</v>
      </c>
      <c r="C32" s="11"/>
      <c r="D32" s="11"/>
      <c r="E32" s="11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">
        <v>31.0</v>
      </c>
      <c r="B33" s="13" t="s">
        <v>147</v>
      </c>
      <c r="C33" s="13" t="s">
        <v>10</v>
      </c>
      <c r="D33" s="15"/>
      <c r="E33" s="1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">
        <v>32.0</v>
      </c>
      <c r="B34" s="13" t="s">
        <v>152</v>
      </c>
      <c r="C34" s="13" t="s">
        <v>10</v>
      </c>
      <c r="D34" s="15"/>
      <c r="E34" s="1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9">
        <v>33.0</v>
      </c>
      <c r="B35" s="9" t="s">
        <v>156</v>
      </c>
      <c r="C35" s="9" t="s">
        <v>157</v>
      </c>
      <c r="D35" s="11"/>
      <c r="E35" s="1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9">
        <v>34.0</v>
      </c>
      <c r="B36" s="9" t="s">
        <v>162</v>
      </c>
      <c r="C36" s="11"/>
      <c r="D36" s="11"/>
      <c r="E36" s="11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9">
        <v>35.0</v>
      </c>
      <c r="B37" s="9" t="s">
        <v>168</v>
      </c>
      <c r="C37" s="11"/>
      <c r="D37" s="11"/>
      <c r="E37" s="1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9">
        <v>36.0</v>
      </c>
      <c r="B38" s="9" t="s">
        <v>171</v>
      </c>
      <c r="C38" s="9" t="s">
        <v>172</v>
      </c>
      <c r="D38" s="11"/>
      <c r="E38" s="1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9">
        <v>37.0</v>
      </c>
      <c r="B39" s="9" t="s">
        <v>178</v>
      </c>
      <c r="C39" s="11"/>
      <c r="D39" s="11"/>
      <c r="E39" s="1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9">
        <v>38.0</v>
      </c>
      <c r="B40" s="9" t="s">
        <v>184</v>
      </c>
      <c r="C40" s="11"/>
      <c r="D40" s="11"/>
      <c r="E40" s="11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9">
        <v>39.0</v>
      </c>
      <c r="B41" s="9" t="s">
        <v>188</v>
      </c>
      <c r="C41" s="11"/>
      <c r="D41" s="11"/>
      <c r="E41" s="11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3">
        <v>40.0</v>
      </c>
      <c r="B42" s="13" t="s">
        <v>192</v>
      </c>
      <c r="C42" s="13" t="s">
        <v>10</v>
      </c>
      <c r="D42" s="15"/>
      <c r="E42" s="1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9">
        <v>41.0</v>
      </c>
      <c r="B43" s="9" t="s">
        <v>197</v>
      </c>
      <c r="C43" s="9" t="s">
        <v>157</v>
      </c>
      <c r="D43" s="11"/>
      <c r="E43" s="11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9">
        <v>42.0</v>
      </c>
      <c r="B44" s="9" t="s">
        <v>202</v>
      </c>
      <c r="C44" s="11"/>
      <c r="D44" s="11"/>
      <c r="E44" s="11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9">
        <v>43.0</v>
      </c>
      <c r="B45" s="9" t="s">
        <v>206</v>
      </c>
      <c r="C45" s="11"/>
      <c r="D45" s="11"/>
      <c r="E45" s="11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9">
        <v>44.0</v>
      </c>
      <c r="B46" s="9" t="s">
        <v>207</v>
      </c>
      <c r="C46" s="11"/>
      <c r="D46" s="11"/>
      <c r="E46" s="11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9">
        <v>45.0</v>
      </c>
      <c r="B47" s="9" t="s">
        <v>209</v>
      </c>
      <c r="C47" s="9" t="s">
        <v>157</v>
      </c>
      <c r="D47" s="11"/>
      <c r="E47" s="11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9">
        <v>46.0</v>
      </c>
      <c r="B48" s="9" t="s">
        <v>210</v>
      </c>
      <c r="C48" s="11"/>
      <c r="D48" s="11"/>
      <c r="E48" s="11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9">
        <v>47.0</v>
      </c>
      <c r="B49" s="9" t="s">
        <v>212</v>
      </c>
      <c r="C49" s="11"/>
      <c r="D49" s="11"/>
      <c r="E49" s="11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3">
        <v>40.0</v>
      </c>
      <c r="B50" s="13" t="s">
        <v>192</v>
      </c>
      <c r="C50" s="13" t="s">
        <v>10</v>
      </c>
      <c r="D50" s="15"/>
      <c r="E50" s="1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9">
        <v>49.0</v>
      </c>
      <c r="B51" s="9" t="s">
        <v>216</v>
      </c>
      <c r="C51" s="11"/>
      <c r="D51" s="11"/>
      <c r="E51" s="11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9">
        <v>50.0</v>
      </c>
      <c r="B52" s="9" t="s">
        <v>222</v>
      </c>
      <c r="C52" s="11"/>
      <c r="D52" s="11"/>
      <c r="E52" s="11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9">
        <v>51.0</v>
      </c>
      <c r="B53" s="9" t="s">
        <v>226</v>
      </c>
      <c r="C53" s="11"/>
      <c r="D53" s="11"/>
      <c r="E53" s="11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9">
        <v>52.0</v>
      </c>
      <c r="B54" s="9" t="s">
        <v>229</v>
      </c>
      <c r="C54" s="11"/>
      <c r="D54" s="11"/>
      <c r="E54" s="11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9">
        <v>53.0</v>
      </c>
      <c r="B55" s="9" t="s">
        <v>232</v>
      </c>
      <c r="C55" s="9" t="s">
        <v>233</v>
      </c>
      <c r="D55" s="11"/>
      <c r="E55" s="11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9">
        <v>54.0</v>
      </c>
      <c r="B56" s="9" t="s">
        <v>234</v>
      </c>
      <c r="C56" s="11"/>
      <c r="D56" s="11"/>
      <c r="E56" s="11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9">
        <v>55.0</v>
      </c>
      <c r="B57" s="9" t="s">
        <v>235</v>
      </c>
      <c r="C57" s="11"/>
      <c r="D57" s="11"/>
      <c r="E57" s="11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9">
        <v>56.0</v>
      </c>
      <c r="B58" s="9" t="s">
        <v>236</v>
      </c>
      <c r="C58" s="11"/>
      <c r="D58" s="11"/>
      <c r="E58" s="11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4">
        <v>57.0</v>
      </c>
      <c r="B59" s="24" t="s">
        <v>237</v>
      </c>
      <c r="C59" s="24" t="s">
        <v>41</v>
      </c>
      <c r="D59" s="26" t="s">
        <v>238</v>
      </c>
      <c r="E59" s="26" t="s">
        <v>239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9">
        <v>58.0</v>
      </c>
      <c r="B60" s="9" t="s">
        <v>240</v>
      </c>
      <c r="C60" s="11"/>
      <c r="D60" s="11"/>
      <c r="E60" s="11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9">
        <v>59.0</v>
      </c>
      <c r="B61" s="9" t="s">
        <v>241</v>
      </c>
      <c r="C61" s="11"/>
      <c r="D61" s="11"/>
      <c r="E61" s="11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">
        <v>60.0</v>
      </c>
      <c r="B62" s="9" t="s">
        <v>242</v>
      </c>
      <c r="C62" s="11"/>
      <c r="D62" s="11"/>
      <c r="E62" s="11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9">
        <v>61.0</v>
      </c>
      <c r="B63" s="9" t="s">
        <v>243</v>
      </c>
      <c r="C63" s="11"/>
      <c r="D63" s="11"/>
      <c r="E63" s="11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9">
        <v>62.0</v>
      </c>
      <c r="B64" s="9" t="s">
        <v>244</v>
      </c>
      <c r="C64" s="11"/>
      <c r="D64" s="11"/>
      <c r="E64" s="11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9">
        <v>63.0</v>
      </c>
      <c r="B65" s="9" t="s">
        <v>245</v>
      </c>
      <c r="C65" s="11"/>
      <c r="D65" s="11"/>
      <c r="E65" s="11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9">
        <v>64.0</v>
      </c>
      <c r="B66" s="9" t="s">
        <v>246</v>
      </c>
      <c r="C66" s="11"/>
      <c r="D66" s="11"/>
      <c r="E66" s="11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9">
        <v>65.0</v>
      </c>
      <c r="B67" s="9" t="s">
        <v>247</v>
      </c>
      <c r="C67" s="11"/>
      <c r="D67" s="11"/>
      <c r="E67" s="11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3">
        <v>66.0</v>
      </c>
      <c r="B68" s="13" t="s">
        <v>248</v>
      </c>
      <c r="C68" s="13" t="s">
        <v>10</v>
      </c>
      <c r="D68" s="15"/>
      <c r="E68" s="1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9">
        <v>67.0</v>
      </c>
      <c r="B69" s="9" t="s">
        <v>249</v>
      </c>
      <c r="C69" s="11"/>
      <c r="D69" s="11"/>
      <c r="E69" s="11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9">
        <v>68.0</v>
      </c>
      <c r="B70" s="9" t="s">
        <v>250</v>
      </c>
      <c r="C70" s="11"/>
      <c r="D70" s="11"/>
      <c r="E70" s="11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9">
        <v>69.0</v>
      </c>
      <c r="B71" s="9" t="s">
        <v>251</v>
      </c>
      <c r="C71" s="11"/>
      <c r="D71" s="11"/>
      <c r="E71" s="11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4">
        <v>70.0</v>
      </c>
      <c r="B72" s="24" t="s">
        <v>252</v>
      </c>
      <c r="C72" s="24" t="s">
        <v>41</v>
      </c>
      <c r="D72" s="26" t="s">
        <v>253</v>
      </c>
      <c r="E72" s="84" t="s">
        <v>254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9">
        <v>71.0</v>
      </c>
      <c r="B73" s="9" t="s">
        <v>255</v>
      </c>
      <c r="C73" s="11"/>
      <c r="D73" s="11"/>
      <c r="E73" s="11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9">
        <v>72.0</v>
      </c>
      <c r="B74" s="9" t="s">
        <v>256</v>
      </c>
      <c r="C74" s="11"/>
      <c r="D74" s="11"/>
      <c r="E74" s="11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9">
        <v>73.0</v>
      </c>
      <c r="B75" s="9" t="s">
        <v>257</v>
      </c>
      <c r="C75" s="11"/>
      <c r="D75" s="11"/>
      <c r="E75" s="11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4">
        <v>74.0</v>
      </c>
      <c r="B76" s="24" t="s">
        <v>258</v>
      </c>
      <c r="C76" s="24" t="s">
        <v>41</v>
      </c>
      <c r="D76" s="26" t="s">
        <v>259</v>
      </c>
      <c r="E76" s="26" t="s">
        <v>260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9">
        <v>75.0</v>
      </c>
      <c r="B77" s="9" t="s">
        <v>261</v>
      </c>
      <c r="C77" s="11"/>
      <c r="D77" s="11"/>
      <c r="E77" s="11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9">
        <v>76.0</v>
      </c>
      <c r="B78" s="9" t="s">
        <v>262</v>
      </c>
      <c r="C78" s="11"/>
      <c r="D78" s="11"/>
      <c r="E78" s="11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9">
        <v>77.0</v>
      </c>
      <c r="B79" s="9" t="s">
        <v>263</v>
      </c>
      <c r="C79" s="11"/>
      <c r="D79" s="11"/>
      <c r="E79" s="11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3">
        <v>78.0</v>
      </c>
      <c r="B80" s="13" t="s">
        <v>264</v>
      </c>
      <c r="C80" s="13" t="s">
        <v>10</v>
      </c>
      <c r="D80" s="15"/>
      <c r="E80" s="1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9">
        <v>79.0</v>
      </c>
      <c r="B81" s="9" t="s">
        <v>265</v>
      </c>
      <c r="C81" s="9" t="s">
        <v>233</v>
      </c>
      <c r="D81" s="11"/>
      <c r="E81" s="11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9">
        <v>80.0</v>
      </c>
      <c r="B82" s="9" t="s">
        <v>266</v>
      </c>
      <c r="C82" s="11"/>
      <c r="D82" s="11"/>
      <c r="E82" s="11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9">
        <v>81.0</v>
      </c>
      <c r="B83" s="9" t="s">
        <v>267</v>
      </c>
      <c r="C83" s="11"/>
      <c r="D83" s="11"/>
      <c r="E83" s="11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9">
        <v>82.0</v>
      </c>
      <c r="B84" s="9" t="s">
        <v>268</v>
      </c>
      <c r="C84" s="11"/>
      <c r="D84" s="11"/>
      <c r="E84" s="11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9">
        <v>83.0</v>
      </c>
      <c r="B85" s="9" t="s">
        <v>269</v>
      </c>
      <c r="C85" s="11"/>
      <c r="D85" s="11"/>
      <c r="E85" s="11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9">
        <v>84.0</v>
      </c>
      <c r="B86" s="9" t="s">
        <v>270</v>
      </c>
      <c r="C86" s="11"/>
      <c r="D86" s="11"/>
      <c r="E86" s="11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9">
        <v>85.0</v>
      </c>
      <c r="B87" s="9" t="s">
        <v>271</v>
      </c>
      <c r="C87" s="11"/>
      <c r="D87" s="11"/>
      <c r="E87" s="11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9">
        <v>86.0</v>
      </c>
      <c r="B88" s="9" t="s">
        <v>272</v>
      </c>
      <c r="C88" s="11"/>
      <c r="D88" s="11"/>
      <c r="E88" s="11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9">
        <v>87.0</v>
      </c>
      <c r="B89" s="9" t="s">
        <v>273</v>
      </c>
      <c r="C89" s="11"/>
      <c r="D89" s="11"/>
      <c r="E89" s="11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9">
        <v>88.0</v>
      </c>
      <c r="B90" s="9" t="s">
        <v>274</v>
      </c>
      <c r="C90" s="11"/>
      <c r="D90" s="11"/>
      <c r="E90" s="11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9">
        <v>89.0</v>
      </c>
      <c r="B91" s="9" t="s">
        <v>275</v>
      </c>
      <c r="C91" s="11"/>
      <c r="D91" s="11"/>
      <c r="E91" s="11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9">
        <v>90.0</v>
      </c>
      <c r="B92" s="9" t="s">
        <v>276</v>
      </c>
      <c r="C92" s="11"/>
      <c r="D92" s="11"/>
      <c r="E92" s="11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4">
        <v>91.0</v>
      </c>
      <c r="B93" s="24" t="s">
        <v>277</v>
      </c>
      <c r="C93" s="24" t="s">
        <v>41</v>
      </c>
      <c r="D93" s="26" t="s">
        <v>278</v>
      </c>
      <c r="E93" s="26" t="s">
        <v>279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30.86"/>
    <col customWidth="1" min="5" max="5" width="26.14"/>
  </cols>
  <sheetData>
    <row r="1">
      <c r="A1" s="1"/>
      <c r="B1" s="3"/>
      <c r="C1" s="5" t="s">
        <v>3</v>
      </c>
      <c r="D1" s="7" t="s">
        <v>6</v>
      </c>
      <c r="E1" s="8"/>
      <c r="F1" s="10"/>
      <c r="G1" s="8"/>
      <c r="H1" s="12"/>
    </row>
    <row r="2">
      <c r="A2" s="1"/>
      <c r="B2" s="3"/>
      <c r="C2" s="14" t="s">
        <v>8</v>
      </c>
      <c r="D2" s="16" t="s">
        <v>11</v>
      </c>
      <c r="E2" s="17" t="s">
        <v>11</v>
      </c>
      <c r="F2" s="16" t="s">
        <v>12</v>
      </c>
      <c r="G2" s="17" t="s">
        <v>12</v>
      </c>
      <c r="H2" s="16" t="s">
        <v>14</v>
      </c>
    </row>
    <row r="3">
      <c r="A3" s="1"/>
      <c r="B3" s="3"/>
      <c r="C3" s="18" t="s">
        <v>15</v>
      </c>
      <c r="D3" s="19" t="s">
        <v>17</v>
      </c>
      <c r="E3" s="18" t="s">
        <v>18</v>
      </c>
      <c r="F3" s="19" t="s">
        <v>19</v>
      </c>
      <c r="G3" s="18" t="s">
        <v>20</v>
      </c>
      <c r="H3" s="19" t="s">
        <v>21</v>
      </c>
    </row>
    <row r="4">
      <c r="A4" s="1"/>
      <c r="B4" s="3"/>
      <c r="C4" s="20"/>
      <c r="D4" s="19" t="s">
        <v>23</v>
      </c>
      <c r="E4" s="18" t="s">
        <v>24</v>
      </c>
      <c r="F4" s="19" t="s">
        <v>25</v>
      </c>
      <c r="G4" s="18" t="s">
        <v>26</v>
      </c>
      <c r="H4" s="19" t="s">
        <v>27</v>
      </c>
    </row>
    <row r="5">
      <c r="A5" s="21"/>
      <c r="B5" s="18" t="s">
        <v>29</v>
      </c>
      <c r="C5" s="18" t="s">
        <v>30</v>
      </c>
      <c r="D5" s="19" t="s">
        <v>31</v>
      </c>
      <c r="E5" s="18" t="s">
        <v>32</v>
      </c>
      <c r="F5" s="19" t="s">
        <v>33</v>
      </c>
      <c r="G5" s="18" t="s">
        <v>34</v>
      </c>
      <c r="H5" s="19" t="s">
        <v>35</v>
      </c>
    </row>
    <row r="6" ht="63.0" customHeight="1">
      <c r="A6" s="22" t="s">
        <v>37</v>
      </c>
      <c r="B6" s="23" t="s">
        <v>38</v>
      </c>
      <c r="C6" s="25" t="s">
        <v>39</v>
      </c>
      <c r="D6" s="27" t="s">
        <v>43</v>
      </c>
      <c r="E6" s="25" t="s">
        <v>45</v>
      </c>
      <c r="F6" s="28" t="s">
        <v>46</v>
      </c>
      <c r="G6" s="25" t="s">
        <v>47</v>
      </c>
      <c r="H6" s="28">
        <f>2950*0.4</f>
        <v>1180</v>
      </c>
    </row>
    <row r="7">
      <c r="A7" s="30"/>
      <c r="B7" s="30"/>
      <c r="C7" s="30"/>
      <c r="D7" s="30"/>
      <c r="E7" s="30"/>
      <c r="F7" s="30"/>
      <c r="G7" s="30"/>
      <c r="H7" s="30"/>
    </row>
    <row r="14">
      <c r="A14" s="31"/>
      <c r="B14" s="32"/>
      <c r="C14" s="32"/>
      <c r="D14" s="33" t="s">
        <v>58</v>
      </c>
      <c r="E14" s="33" t="s">
        <v>59</v>
      </c>
      <c r="F14" s="33" t="s">
        <v>60</v>
      </c>
      <c r="G14" s="33" t="s">
        <v>61</v>
      </c>
      <c r="H14" s="33" t="s">
        <v>62</v>
      </c>
    </row>
    <row r="15">
      <c r="A15" s="34" t="s">
        <v>64</v>
      </c>
      <c r="B15" s="37" t="s">
        <v>65</v>
      </c>
      <c r="C15" s="37" t="s">
        <v>71</v>
      </c>
      <c r="D15" s="39" t="s">
        <v>73</v>
      </c>
      <c r="E15" s="37" t="s">
        <v>78</v>
      </c>
      <c r="F15" s="39" t="s">
        <v>79</v>
      </c>
      <c r="G15" s="37" t="s">
        <v>80</v>
      </c>
      <c r="H15" s="39" t="s">
        <v>81</v>
      </c>
    </row>
    <row r="16">
      <c r="A16" s="42"/>
      <c r="B16" s="42"/>
      <c r="C16" s="42"/>
      <c r="D16" s="30"/>
      <c r="E16" s="30"/>
      <c r="F16" s="30"/>
      <c r="G16" s="30"/>
      <c r="H16" s="30"/>
    </row>
    <row r="17">
      <c r="A17" s="44"/>
      <c r="B17" s="45"/>
      <c r="C17" s="42"/>
      <c r="D17" s="42"/>
      <c r="E17" s="42"/>
      <c r="F17" s="42"/>
      <c r="G17" s="42"/>
      <c r="H17" s="48"/>
    </row>
    <row r="18">
      <c r="A18" s="54" t="s">
        <v>88</v>
      </c>
      <c r="B18" s="42"/>
      <c r="C18" s="55" t="s">
        <v>122</v>
      </c>
      <c r="D18" s="48"/>
      <c r="E18" s="42"/>
      <c r="F18" s="48"/>
      <c r="G18" s="42"/>
      <c r="H18" s="48"/>
    </row>
    <row r="19">
      <c r="A19" s="56" t="s">
        <v>129</v>
      </c>
      <c r="B19" s="42"/>
      <c r="C19" s="37" t="s">
        <v>133</v>
      </c>
      <c r="D19" s="39" t="s">
        <v>133</v>
      </c>
      <c r="E19" s="37" t="s">
        <v>135</v>
      </c>
      <c r="F19" s="39" t="s">
        <v>136</v>
      </c>
      <c r="G19" s="37" t="s">
        <v>137</v>
      </c>
      <c r="H19" s="39" t="s">
        <v>138</v>
      </c>
    </row>
    <row r="20">
      <c r="A20" s="56" t="s">
        <v>140</v>
      </c>
      <c r="B20" s="42"/>
      <c r="C20" s="37" t="s">
        <v>141</v>
      </c>
      <c r="D20" s="39" t="s">
        <v>141</v>
      </c>
      <c r="E20" s="37" t="s">
        <v>142</v>
      </c>
      <c r="F20" s="39" t="s">
        <v>143</v>
      </c>
      <c r="G20" s="37" t="s">
        <v>144</v>
      </c>
      <c r="H20" s="39" t="s">
        <v>145</v>
      </c>
    </row>
    <row r="21">
      <c r="A21" s="57"/>
      <c r="B21" s="30"/>
      <c r="C21" s="30"/>
      <c r="D21" s="30"/>
      <c r="E21" s="30"/>
      <c r="F21" s="30"/>
      <c r="G21" s="30"/>
      <c r="H21" s="30"/>
    </row>
    <row r="22">
      <c r="A22" s="58" t="s">
        <v>150</v>
      </c>
      <c r="B22" s="42"/>
      <c r="C22" s="37" t="s">
        <v>153</v>
      </c>
      <c r="D22" s="30"/>
      <c r="E22" s="30"/>
      <c r="F22" s="30"/>
      <c r="G22" s="30"/>
      <c r="H22" s="30"/>
    </row>
    <row r="23">
      <c r="A23" s="30"/>
      <c r="B23" s="30"/>
      <c r="C23" s="30"/>
      <c r="D23" s="30"/>
      <c r="E23" s="30"/>
      <c r="F23" s="30"/>
      <c r="G23" s="30"/>
      <c r="H23" s="30"/>
    </row>
    <row r="24">
      <c r="A24" s="61" t="s">
        <v>164</v>
      </c>
      <c r="B24" s="61" t="s">
        <v>166</v>
      </c>
      <c r="C24" s="30"/>
      <c r="D24" s="30"/>
      <c r="E24" s="30"/>
      <c r="F24" s="30"/>
      <c r="G24" s="30"/>
      <c r="H24" s="30"/>
    </row>
    <row r="25">
      <c r="A25" s="30"/>
      <c r="B25" s="30"/>
      <c r="C25" s="30"/>
      <c r="D25" s="30"/>
      <c r="E25" s="30"/>
      <c r="F25" s="30"/>
      <c r="G25" s="30"/>
      <c r="H25" s="30"/>
    </row>
    <row r="26">
      <c r="A26" s="63"/>
      <c r="B26" s="65" t="s">
        <v>174</v>
      </c>
      <c r="C26" s="66" t="s">
        <v>177</v>
      </c>
      <c r="D26" s="66" t="s">
        <v>180</v>
      </c>
      <c r="E26" s="30"/>
      <c r="F26" s="30"/>
      <c r="G26" s="30"/>
      <c r="H26" s="30"/>
    </row>
    <row r="27">
      <c r="A27" s="30"/>
      <c r="B27" s="67" t="s">
        <v>182</v>
      </c>
      <c r="C27" s="68">
        <v>150.0</v>
      </c>
      <c r="D27" s="68" t="s">
        <v>186</v>
      </c>
      <c r="E27" s="30"/>
      <c r="F27" s="30"/>
      <c r="G27" s="30"/>
      <c r="H27" s="30"/>
    </row>
    <row r="28">
      <c r="A28" s="30"/>
      <c r="B28" s="67" t="s">
        <v>187</v>
      </c>
      <c r="C28" s="68">
        <v>550.0</v>
      </c>
      <c r="D28" s="68" t="s">
        <v>189</v>
      </c>
      <c r="E28" s="30"/>
      <c r="F28" s="30"/>
      <c r="G28" s="30"/>
      <c r="H28" s="30"/>
    </row>
    <row r="29">
      <c r="A29" s="30"/>
      <c r="B29" s="66" t="s">
        <v>190</v>
      </c>
      <c r="C29" s="70">
        <v>700.0</v>
      </c>
      <c r="D29" s="70" t="s">
        <v>193</v>
      </c>
      <c r="E29" s="30"/>
      <c r="F29" s="30"/>
      <c r="G29" s="30"/>
      <c r="H29" s="30"/>
    </row>
    <row r="30">
      <c r="A30" s="30"/>
      <c r="B30" s="44"/>
      <c r="C30" s="30"/>
      <c r="D30" s="30"/>
      <c r="E30" s="30"/>
      <c r="F30" s="30"/>
      <c r="G30" s="30"/>
      <c r="H30" s="30"/>
    </row>
    <row r="31">
      <c r="A31" s="30"/>
      <c r="B31" s="71" t="s">
        <v>201</v>
      </c>
      <c r="F31" s="30"/>
      <c r="G31" s="30"/>
      <c r="H31" s="30"/>
    </row>
    <row r="32">
      <c r="A32" s="30"/>
      <c r="B32" s="30"/>
      <c r="C32" s="30"/>
      <c r="D32" s="30"/>
      <c r="E32" s="30"/>
      <c r="F32" s="30"/>
      <c r="G32" s="30"/>
      <c r="H32" s="30"/>
    </row>
    <row r="33">
      <c r="A33" s="30"/>
      <c r="B33" s="30"/>
      <c r="C33" s="30"/>
      <c r="D33" s="30"/>
      <c r="E33" s="30"/>
      <c r="F33" s="30"/>
      <c r="G33" s="30"/>
      <c r="H33" s="30"/>
    </row>
  </sheetData>
  <mergeCells count="1">
    <mergeCell ref="B31:E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91.57"/>
    <col customWidth="1" min="4" max="4" width="38.14"/>
  </cols>
  <sheetData>
    <row r="1">
      <c r="A1" s="36" t="s">
        <v>0</v>
      </c>
      <c r="B1" s="36" t="s">
        <v>70</v>
      </c>
      <c r="C1" s="36" t="s">
        <v>72</v>
      </c>
      <c r="D1" s="40" t="s">
        <v>76</v>
      </c>
      <c r="E1" s="40" t="s">
        <v>82</v>
      </c>
    </row>
    <row r="2">
      <c r="A2" s="43">
        <v>1.0</v>
      </c>
      <c r="B2" s="43" t="s">
        <v>85</v>
      </c>
      <c r="C2" s="43" t="s">
        <v>87</v>
      </c>
      <c r="D2" s="46">
        <v>21.0</v>
      </c>
      <c r="E2" s="50">
        <v>0.5526</v>
      </c>
    </row>
    <row r="3">
      <c r="C3" s="43" t="s">
        <v>90</v>
      </c>
      <c r="D3" s="46">
        <v>10.0</v>
      </c>
      <c r="E3" s="50">
        <v>0.2632</v>
      </c>
    </row>
    <row r="4">
      <c r="C4" s="43" t="s">
        <v>91</v>
      </c>
      <c r="D4" s="46">
        <v>6.0</v>
      </c>
      <c r="E4" s="50">
        <v>0.1579</v>
      </c>
    </row>
    <row r="5">
      <c r="C5" s="43" t="s">
        <v>92</v>
      </c>
      <c r="D5" s="46">
        <v>1.0</v>
      </c>
      <c r="E5" s="50">
        <v>0.0263</v>
      </c>
    </row>
    <row r="6">
      <c r="C6" s="43" t="s">
        <v>94</v>
      </c>
      <c r="D6" s="46">
        <v>38.0</v>
      </c>
      <c r="E6" s="53">
        <v>1.0</v>
      </c>
    </row>
    <row r="7">
      <c r="A7" s="43">
        <v>2.0</v>
      </c>
      <c r="B7" s="43" t="s">
        <v>97</v>
      </c>
      <c r="C7" s="43" t="s">
        <v>98</v>
      </c>
      <c r="D7" s="46">
        <v>6.0</v>
      </c>
      <c r="E7" s="50">
        <v>0.2727</v>
      </c>
    </row>
    <row r="8">
      <c r="C8" s="43" t="s">
        <v>100</v>
      </c>
      <c r="D8" s="46">
        <v>5.0</v>
      </c>
      <c r="E8" s="50">
        <v>0.2273</v>
      </c>
    </row>
    <row r="9">
      <c r="C9" s="43" t="s">
        <v>101</v>
      </c>
      <c r="D9" s="46">
        <v>2.0</v>
      </c>
      <c r="E9" s="50">
        <v>0.0909</v>
      </c>
    </row>
    <row r="10">
      <c r="C10" s="43" t="s">
        <v>102</v>
      </c>
      <c r="D10" s="46">
        <v>9.0</v>
      </c>
      <c r="E10" s="50">
        <v>0.4091</v>
      </c>
    </row>
    <row r="11">
      <c r="C11" s="43" t="s">
        <v>94</v>
      </c>
      <c r="D11" s="46">
        <v>22.0</v>
      </c>
      <c r="E11" s="53">
        <v>1.0</v>
      </c>
    </row>
    <row r="12">
      <c r="A12" s="43" t="s">
        <v>108</v>
      </c>
      <c r="B12" s="43" t="s">
        <v>109</v>
      </c>
      <c r="C12" s="43" t="s">
        <v>110</v>
      </c>
      <c r="D12" s="46">
        <v>2.0</v>
      </c>
      <c r="E12" s="46" t="s">
        <v>112</v>
      </c>
    </row>
    <row r="13">
      <c r="C13" s="43" t="s">
        <v>113</v>
      </c>
      <c r="D13" s="46">
        <v>2.0</v>
      </c>
      <c r="E13" s="46" t="s">
        <v>112</v>
      </c>
    </row>
    <row r="14">
      <c r="C14" s="43" t="s">
        <v>115</v>
      </c>
      <c r="D14" s="46">
        <v>1.0</v>
      </c>
      <c r="E14" s="46" t="s">
        <v>112</v>
      </c>
    </row>
    <row r="15">
      <c r="C15" s="43" t="s">
        <v>117</v>
      </c>
      <c r="D15" s="46">
        <v>1.0</v>
      </c>
      <c r="E15" s="46" t="s">
        <v>112</v>
      </c>
    </row>
    <row r="16">
      <c r="C16" s="43" t="s">
        <v>118</v>
      </c>
      <c r="D16" s="46">
        <v>1.0</v>
      </c>
      <c r="E16" s="46" t="s">
        <v>112</v>
      </c>
    </row>
    <row r="17">
      <c r="C17" s="43" t="s">
        <v>121</v>
      </c>
      <c r="D17" s="46">
        <v>1.0</v>
      </c>
      <c r="E17" s="46" t="s">
        <v>112</v>
      </c>
    </row>
    <row r="18">
      <c r="C18" s="43" t="s">
        <v>123</v>
      </c>
      <c r="D18" s="46">
        <v>1.0</v>
      </c>
      <c r="E18" s="46" t="s">
        <v>112</v>
      </c>
    </row>
    <row r="19">
      <c r="A19" s="43">
        <v>3.0</v>
      </c>
      <c r="B19" s="43" t="s">
        <v>126</v>
      </c>
      <c r="C19" s="43" t="s">
        <v>127</v>
      </c>
      <c r="D19" s="46">
        <v>6.0</v>
      </c>
      <c r="E19" s="50">
        <v>0.2727</v>
      </c>
    </row>
    <row r="20">
      <c r="C20" s="43" t="s">
        <v>128</v>
      </c>
      <c r="D20" s="46">
        <v>4.0</v>
      </c>
      <c r="E20" s="50">
        <v>0.1818</v>
      </c>
    </row>
    <row r="21">
      <c r="C21" s="43" t="s">
        <v>131</v>
      </c>
      <c r="D21" s="46">
        <v>7.0</v>
      </c>
      <c r="E21" s="50">
        <v>0.3182</v>
      </c>
    </row>
    <row r="22">
      <c r="C22" s="43" t="s">
        <v>134</v>
      </c>
      <c r="D22" s="46">
        <v>4.0</v>
      </c>
      <c r="E22" s="50">
        <v>0.1818</v>
      </c>
    </row>
    <row r="23">
      <c r="C23" s="43" t="s">
        <v>102</v>
      </c>
      <c r="D23" s="46">
        <v>1.0</v>
      </c>
      <c r="E23" s="50">
        <v>0.0455</v>
      </c>
    </row>
    <row r="24">
      <c r="C24" s="43" t="s">
        <v>94</v>
      </c>
      <c r="D24" s="46">
        <v>22.0</v>
      </c>
      <c r="E24" s="53">
        <v>1.0</v>
      </c>
    </row>
    <row r="25">
      <c r="A25" s="43">
        <v>4.0</v>
      </c>
      <c r="B25" s="43" t="s">
        <v>146</v>
      </c>
      <c r="C25" s="43" t="s">
        <v>148</v>
      </c>
      <c r="D25" s="46">
        <v>7.0</v>
      </c>
      <c r="E25" s="50">
        <v>0.3182</v>
      </c>
    </row>
    <row r="26">
      <c r="C26" s="43" t="s">
        <v>149</v>
      </c>
      <c r="D26" s="46">
        <v>6.0</v>
      </c>
      <c r="E26" s="50">
        <v>0.2727</v>
      </c>
    </row>
    <row r="27">
      <c r="C27" s="43" t="s">
        <v>151</v>
      </c>
      <c r="D27" s="46">
        <v>6.0</v>
      </c>
      <c r="E27" s="50">
        <v>0.2727</v>
      </c>
    </row>
    <row r="28">
      <c r="C28" s="43" t="s">
        <v>154</v>
      </c>
      <c r="D28" s="46">
        <v>1.0</v>
      </c>
      <c r="E28" s="50">
        <v>0.0455</v>
      </c>
    </row>
    <row r="29">
      <c r="C29" s="43" t="s">
        <v>158</v>
      </c>
      <c r="D29" s="46">
        <v>1.0</v>
      </c>
      <c r="E29" s="50">
        <v>0.0455</v>
      </c>
    </row>
    <row r="30">
      <c r="C30" s="43" t="s">
        <v>161</v>
      </c>
      <c r="D30" s="46">
        <v>1.0</v>
      </c>
      <c r="E30" s="50">
        <v>0.0455</v>
      </c>
    </row>
    <row r="31">
      <c r="C31" s="43" t="s">
        <v>94</v>
      </c>
      <c r="D31" s="46">
        <v>22.0</v>
      </c>
      <c r="E31" s="53">
        <v>1.0</v>
      </c>
    </row>
    <row r="32">
      <c r="A32" s="43">
        <v>5.0</v>
      </c>
      <c r="B32" s="43" t="s">
        <v>163</v>
      </c>
      <c r="C32" s="43" t="s">
        <v>165</v>
      </c>
      <c r="D32" s="46">
        <v>11.0</v>
      </c>
      <c r="E32" s="50">
        <v>0.5</v>
      </c>
    </row>
    <row r="33">
      <c r="C33" s="43" t="s">
        <v>167</v>
      </c>
      <c r="D33" s="46">
        <v>6.0</v>
      </c>
      <c r="E33" s="50">
        <v>0.2727</v>
      </c>
    </row>
    <row r="34">
      <c r="C34" s="43" t="s">
        <v>169</v>
      </c>
      <c r="D34" s="46">
        <v>1.0</v>
      </c>
      <c r="E34" s="50">
        <v>0.0455</v>
      </c>
    </row>
    <row r="35">
      <c r="C35" s="43" t="s">
        <v>170</v>
      </c>
      <c r="D35" s="46">
        <v>4.0</v>
      </c>
      <c r="E35" s="50">
        <v>0.1818</v>
      </c>
    </row>
    <row r="36">
      <c r="C36" s="43" t="s">
        <v>94</v>
      </c>
      <c r="D36" s="46">
        <v>22.0</v>
      </c>
      <c r="E36" s="53">
        <v>1.0</v>
      </c>
    </row>
    <row r="37">
      <c r="A37" s="43">
        <v>6.0</v>
      </c>
      <c r="B37" s="43" t="s">
        <v>175</v>
      </c>
      <c r="C37" s="43" t="s">
        <v>176</v>
      </c>
      <c r="D37" s="46">
        <v>13.0</v>
      </c>
      <c r="E37" s="50">
        <v>0.7647</v>
      </c>
    </row>
    <row r="38">
      <c r="C38" s="43" t="s">
        <v>179</v>
      </c>
      <c r="D38" s="46">
        <v>10.0</v>
      </c>
      <c r="E38" s="50">
        <v>0.5882</v>
      </c>
    </row>
    <row r="39">
      <c r="C39" s="43" t="s">
        <v>181</v>
      </c>
      <c r="D39" s="46">
        <v>10.0</v>
      </c>
      <c r="E39" s="50">
        <v>0.5882</v>
      </c>
    </row>
    <row r="40">
      <c r="C40" s="43" t="s">
        <v>185</v>
      </c>
      <c r="D40" s="46">
        <v>9.0</v>
      </c>
      <c r="E40" s="50">
        <v>0.5294</v>
      </c>
    </row>
    <row r="41">
      <c r="C41" s="43" t="s">
        <v>102</v>
      </c>
      <c r="D41" s="46">
        <v>0.0</v>
      </c>
      <c r="E41" s="50">
        <v>0.0</v>
      </c>
    </row>
    <row r="42">
      <c r="A42" s="43">
        <v>7.0</v>
      </c>
      <c r="B42" s="43" t="s">
        <v>191</v>
      </c>
      <c r="C42" s="43" t="s">
        <v>194</v>
      </c>
      <c r="D42" s="46">
        <v>10.0</v>
      </c>
      <c r="E42" s="50">
        <v>0.625</v>
      </c>
    </row>
    <row r="43">
      <c r="C43" s="43" t="s">
        <v>196</v>
      </c>
      <c r="D43" s="46">
        <v>6.0</v>
      </c>
      <c r="E43" s="50">
        <v>0.375</v>
      </c>
    </row>
    <row r="44">
      <c r="C44" s="43" t="s">
        <v>198</v>
      </c>
      <c r="D44" s="46">
        <v>16.0</v>
      </c>
      <c r="E44" s="53">
        <v>1.0</v>
      </c>
    </row>
    <row r="45">
      <c r="A45" s="43">
        <v>8.0</v>
      </c>
      <c r="B45" s="43" t="s">
        <v>199</v>
      </c>
      <c r="C45" s="43" t="s">
        <v>200</v>
      </c>
      <c r="D45" s="46">
        <v>26.0</v>
      </c>
      <c r="E45" s="50">
        <v>0.6842</v>
      </c>
    </row>
    <row r="46">
      <c r="C46" s="43" t="s">
        <v>203</v>
      </c>
      <c r="D46" s="46">
        <v>10.0</v>
      </c>
      <c r="E46" s="50">
        <v>0.2632</v>
      </c>
    </row>
    <row r="47">
      <c r="C47" s="43" t="s">
        <v>205</v>
      </c>
      <c r="D47" s="46">
        <v>2.0</v>
      </c>
      <c r="E47" s="50">
        <v>0.0526</v>
      </c>
    </row>
    <row r="48">
      <c r="C48" s="43" t="s">
        <v>94</v>
      </c>
      <c r="D48" s="46">
        <v>38.0</v>
      </c>
      <c r="E48" s="53">
        <v>1.0</v>
      </c>
    </row>
    <row r="53">
      <c r="B53" s="74" t="s">
        <v>208</v>
      </c>
    </row>
    <row r="54">
      <c r="B54" s="76"/>
    </row>
    <row r="55">
      <c r="B55" s="74" t="s">
        <v>211</v>
      </c>
      <c r="C55" s="36"/>
      <c r="D55" s="40"/>
      <c r="E55" s="40"/>
    </row>
    <row r="56">
      <c r="B56" s="76"/>
      <c r="D56" s="46"/>
      <c r="E56" s="50"/>
    </row>
    <row r="57">
      <c r="B57" s="74" t="s">
        <v>213</v>
      </c>
      <c r="D57" s="46"/>
      <c r="E57" s="50"/>
    </row>
    <row r="58">
      <c r="B58" s="76"/>
      <c r="D58" s="46"/>
      <c r="E58" s="50"/>
    </row>
    <row r="59">
      <c r="B59" s="74" t="s">
        <v>215</v>
      </c>
      <c r="D59" s="46"/>
      <c r="E59" s="50"/>
    </row>
    <row r="60">
      <c r="D60" s="46"/>
      <c r="E60" s="53"/>
    </row>
    <row r="61">
      <c r="D61" s="46"/>
      <c r="E61" s="50"/>
    </row>
    <row r="62">
      <c r="B62" s="36" t="s">
        <v>217</v>
      </c>
      <c r="C62" s="40" t="s">
        <v>218</v>
      </c>
      <c r="D62" s="40" t="s">
        <v>219</v>
      </c>
      <c r="E62" s="40" t="s">
        <v>220</v>
      </c>
    </row>
    <row r="63">
      <c r="B63" s="43" t="s">
        <v>221</v>
      </c>
      <c r="C63" s="46">
        <v>6.0</v>
      </c>
      <c r="D63" s="46">
        <v>6.0</v>
      </c>
      <c r="E63" s="46">
        <v>300.0</v>
      </c>
    </row>
    <row r="64">
      <c r="B64" s="43" t="s">
        <v>223</v>
      </c>
      <c r="C64" s="46">
        <v>4.0</v>
      </c>
      <c r="D64" s="46">
        <v>204.0</v>
      </c>
      <c r="E64" s="46">
        <v>400.0</v>
      </c>
    </row>
    <row r="65">
      <c r="B65" s="43" t="s">
        <v>224</v>
      </c>
      <c r="C65" s="46">
        <v>7.0</v>
      </c>
      <c r="D65" s="46">
        <v>707.0</v>
      </c>
      <c r="E65" s="81">
        <v>3500.0</v>
      </c>
    </row>
    <row r="66">
      <c r="B66" s="43" t="s">
        <v>225</v>
      </c>
      <c r="C66" s="46">
        <v>4.0</v>
      </c>
      <c r="D66" s="81">
        <v>4004.0</v>
      </c>
      <c r="E66" s="46" t="s">
        <v>227</v>
      </c>
    </row>
    <row r="67">
      <c r="B67" s="43" t="s">
        <v>102</v>
      </c>
      <c r="C67" s="46">
        <v>1.0</v>
      </c>
      <c r="D67" s="46" t="s">
        <v>228</v>
      </c>
      <c r="E67" s="46" t="s">
        <v>228</v>
      </c>
    </row>
    <row r="68">
      <c r="B68" s="43" t="s">
        <v>94</v>
      </c>
      <c r="C68" s="46">
        <v>22.0</v>
      </c>
      <c r="D68" s="46" t="s">
        <v>230</v>
      </c>
      <c r="E68" s="46" t="s">
        <v>231</v>
      </c>
    </row>
    <row r="69">
      <c r="D69" s="46"/>
      <c r="E69" s="46"/>
    </row>
    <row r="70">
      <c r="D70" s="46"/>
      <c r="E70" s="46"/>
    </row>
    <row r="71">
      <c r="D71" s="46"/>
      <c r="E71" s="46"/>
    </row>
    <row r="72">
      <c r="D72" s="46"/>
      <c r="E72" s="46"/>
    </row>
    <row r="73">
      <c r="D73" s="46"/>
      <c r="E73" s="50"/>
    </row>
    <row r="74">
      <c r="D74" s="46"/>
      <c r="E74" s="50"/>
    </row>
    <row r="75">
      <c r="D75" s="46"/>
      <c r="E75" s="50"/>
    </row>
    <row r="76">
      <c r="D76" s="46"/>
      <c r="E76" s="50"/>
    </row>
    <row r="77">
      <c r="D77" s="46"/>
      <c r="E77" s="50"/>
    </row>
    <row r="78">
      <c r="D78" s="46"/>
      <c r="E78" s="53"/>
    </row>
    <row r="79">
      <c r="D79" s="46"/>
      <c r="E79" s="50"/>
    </row>
    <row r="80">
      <c r="D80" s="46"/>
      <c r="E80" s="50"/>
    </row>
    <row r="81">
      <c r="D81" s="46"/>
      <c r="E81" s="50"/>
    </row>
    <row r="82">
      <c r="D82" s="46"/>
      <c r="E82" s="50"/>
    </row>
    <row r="83">
      <c r="D83" s="46"/>
      <c r="E83" s="50"/>
    </row>
    <row r="84">
      <c r="D84" s="46"/>
      <c r="E84" s="50"/>
    </row>
    <row r="85">
      <c r="D85" s="46"/>
      <c r="E85" s="53"/>
    </row>
    <row r="86">
      <c r="D86" s="46"/>
      <c r="E86" s="50"/>
    </row>
    <row r="87">
      <c r="D87" s="46"/>
      <c r="E87" s="50"/>
    </row>
    <row r="88">
      <c r="D88" s="46"/>
      <c r="E88" s="50"/>
    </row>
    <row r="89">
      <c r="D89" s="46"/>
      <c r="E89" s="50"/>
    </row>
    <row r="90">
      <c r="D90" s="46"/>
      <c r="E90" s="53"/>
    </row>
    <row r="91">
      <c r="D91" s="46"/>
      <c r="E91" s="50"/>
    </row>
    <row r="92">
      <c r="D92" s="46"/>
      <c r="E92" s="50"/>
    </row>
    <row r="93">
      <c r="D93" s="46"/>
      <c r="E93" s="50"/>
    </row>
    <row r="94">
      <c r="D94" s="46"/>
      <c r="E94" s="50"/>
    </row>
    <row r="95">
      <c r="D95" s="46"/>
      <c r="E95" s="50"/>
    </row>
    <row r="96">
      <c r="D96" s="46"/>
      <c r="E96" s="50"/>
    </row>
    <row r="97">
      <c r="D97" s="46"/>
      <c r="E97" s="50"/>
    </row>
    <row r="98">
      <c r="D98" s="46"/>
      <c r="E98" s="53"/>
    </row>
    <row r="99">
      <c r="D99" s="46"/>
      <c r="E99" s="50"/>
    </row>
    <row r="100">
      <c r="D100" s="46"/>
      <c r="E100" s="50"/>
    </row>
    <row r="101">
      <c r="D101" s="46"/>
      <c r="E101" s="50"/>
    </row>
    <row r="102">
      <c r="D102" s="46"/>
      <c r="E102" s="53"/>
    </row>
    <row r="103">
      <c r="A103" s="82"/>
    </row>
    <row r="104">
      <c r="A104" s="83"/>
    </row>
    <row r="105">
      <c r="A105" s="82"/>
    </row>
    <row r="106">
      <c r="A106" s="83"/>
    </row>
    <row r="107">
      <c r="A107" s="82"/>
    </row>
    <row r="108">
      <c r="A108" s="83"/>
    </row>
    <row r="109">
      <c r="A109" s="8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62.0"/>
    <col customWidth="1" min="2" max="2" width="22.0"/>
    <col customWidth="1" min="3" max="26" width="8.71"/>
  </cols>
  <sheetData>
    <row r="1">
      <c r="A1" s="35" t="s">
        <v>57</v>
      </c>
      <c r="B1" s="38"/>
      <c r="C1" s="38"/>
      <c r="D1" s="38"/>
      <c r="E1" s="38"/>
      <c r="F1" s="41"/>
    </row>
    <row r="3">
      <c r="A3" s="47" t="s">
        <v>84</v>
      </c>
      <c r="B3" s="49">
        <v>91.0</v>
      </c>
    </row>
    <row r="4">
      <c r="A4" s="47" t="s">
        <v>89</v>
      </c>
      <c r="B4" s="49">
        <f>'91 Entities Model'!D93</f>
        <v>165227</v>
      </c>
    </row>
    <row r="5">
      <c r="A5" s="47" t="s">
        <v>96</v>
      </c>
      <c r="B5" s="49">
        <f>'91 Entities Model'!G93</f>
        <v>61482</v>
      </c>
    </row>
    <row r="6">
      <c r="A6" s="47" t="s">
        <v>103</v>
      </c>
      <c r="B6" s="49">
        <v>1180.0</v>
      </c>
    </row>
    <row r="7">
      <c r="A7" s="47" t="s">
        <v>107</v>
      </c>
      <c r="B7" s="49">
        <f>'91 Entities Model'!K93</f>
        <v>102939175</v>
      </c>
    </row>
    <row r="8">
      <c r="A8" s="47" t="s">
        <v>114</v>
      </c>
      <c r="B8" s="49">
        <f>'91 Entities Model'!L93</f>
        <v>72548760</v>
      </c>
    </row>
    <row r="9">
      <c r="A9" s="47" t="s">
        <v>119</v>
      </c>
      <c r="B9" s="49">
        <f>'91 Entities Model'!M93</f>
        <v>30390415</v>
      </c>
    </row>
    <row r="10">
      <c r="A10" s="47" t="s">
        <v>125</v>
      </c>
      <c r="B10" s="49">
        <f>'91 Entities Model'!N93</f>
        <v>151952075</v>
      </c>
    </row>
    <row r="11">
      <c r="A11" s="47" t="s">
        <v>132</v>
      </c>
      <c r="B11" s="49">
        <f>'91 Entities Model'!O93</f>
        <v>362743800</v>
      </c>
    </row>
    <row r="13">
      <c r="A13" s="59" t="s">
        <v>155</v>
      </c>
      <c r="B13" s="59" t="s">
        <v>159</v>
      </c>
    </row>
    <row r="14">
      <c r="A14" s="60" t="s">
        <v>160</v>
      </c>
      <c r="B14" s="62">
        <f>'Investor Deal Potential'!B9</f>
        <v>72548760</v>
      </c>
    </row>
    <row r="15">
      <c r="A15" s="64" t="s">
        <v>173</v>
      </c>
      <c r="B15" s="62">
        <f>'Investor Deal Potential'!B11</f>
        <v>36274380</v>
      </c>
    </row>
    <row r="16">
      <c r="A16" s="47" t="s">
        <v>183</v>
      </c>
      <c r="B16" s="69">
        <f>'Investor Deal Potential'!B12</f>
        <v>108823140</v>
      </c>
    </row>
    <row r="17">
      <c r="A17" s="47" t="s">
        <v>195</v>
      </c>
      <c r="B17" s="69">
        <f>'Investor Deal Potential'!B15</f>
        <v>544115700</v>
      </c>
    </row>
    <row r="19">
      <c r="A19" s="72" t="s">
        <v>204</v>
      </c>
      <c r="B19" s="73"/>
      <c r="C19" s="73"/>
      <c r="D19" s="73"/>
      <c r="E19" s="73"/>
      <c r="F19" s="75"/>
    </row>
    <row r="20">
      <c r="A20" s="77"/>
      <c r="B20" s="78"/>
      <c r="C20" s="78"/>
      <c r="D20" s="78"/>
      <c r="E20" s="78"/>
      <c r="F20" s="79"/>
    </row>
    <row r="21"/>
    <row r="22">
      <c r="A22" s="80" t="s">
        <v>214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19:F20"/>
    <mergeCell ref="A22:F2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cols>
    <col customWidth="1" min="1" max="1" width="34.0"/>
    <col customWidth="1" min="2" max="2" width="22.0"/>
    <col customWidth="1" min="3" max="3" width="30.0"/>
    <col customWidth="1" min="4" max="4" width="22.0"/>
    <col customWidth="1" min="5" max="5" width="24.0"/>
    <col customWidth="1" min="6" max="6" width="4.0"/>
    <col customWidth="1" min="7" max="26" width="8.71"/>
  </cols>
  <sheetData>
    <row r="1" ht="30.0" customHeight="1">
      <c r="A1" s="85" t="s">
        <v>280</v>
      </c>
      <c r="B1" s="38"/>
      <c r="C1" s="38"/>
      <c r="D1" s="38"/>
      <c r="E1" s="38"/>
      <c r="F1" s="41"/>
    </row>
    <row r="2">
      <c r="A2" s="87" t="s">
        <v>281</v>
      </c>
    </row>
    <row r="4">
      <c r="A4" s="88" t="s">
        <v>289</v>
      </c>
      <c r="B4" s="88" t="s">
        <v>293</v>
      </c>
      <c r="C4" s="88" t="s">
        <v>294</v>
      </c>
    </row>
    <row r="5">
      <c r="A5" s="64" t="s">
        <v>296</v>
      </c>
      <c r="B5" s="93">
        <f>'Executive Summary'!B3</f>
        <v>91</v>
      </c>
      <c r="C5" s="94" t="s">
        <v>308</v>
      </c>
    </row>
    <row r="6">
      <c r="A6" s="64" t="s">
        <v>89</v>
      </c>
      <c r="B6" s="93">
        <f>'91 Entities Model'!D93</f>
        <v>165227</v>
      </c>
      <c r="C6" s="94" t="s">
        <v>314</v>
      </c>
    </row>
    <row r="7">
      <c r="A7" s="64" t="s">
        <v>316</v>
      </c>
      <c r="B7" s="93">
        <f>'91 Entities Model'!G93</f>
        <v>61482</v>
      </c>
      <c r="C7" s="94" t="s">
        <v>320</v>
      </c>
    </row>
    <row r="8">
      <c r="A8" s="64" t="s">
        <v>322</v>
      </c>
      <c r="B8" s="98">
        <f>'Pricing &amp; Assumptions'!B9</f>
        <v>1180</v>
      </c>
      <c r="C8" s="94" t="s">
        <v>329</v>
      </c>
    </row>
    <row r="9">
      <c r="A9" s="47" t="s">
        <v>160</v>
      </c>
      <c r="B9" s="99">
        <f>B7*B8</f>
        <v>72548760</v>
      </c>
      <c r="C9" s="94" t="s">
        <v>330</v>
      </c>
    </row>
    <row r="10">
      <c r="A10" s="64" t="s">
        <v>331</v>
      </c>
      <c r="B10" s="100">
        <v>0.5</v>
      </c>
      <c r="C10" s="94" t="s">
        <v>332</v>
      </c>
    </row>
    <row r="11">
      <c r="A11" s="64" t="s">
        <v>333</v>
      </c>
      <c r="B11" s="98">
        <f>B9*B10</f>
        <v>36274380</v>
      </c>
      <c r="C11" s="94" t="s">
        <v>334</v>
      </c>
    </row>
    <row r="12">
      <c r="A12" s="47" t="s">
        <v>183</v>
      </c>
      <c r="B12" s="69">
        <f>B9+B11</f>
        <v>108823140</v>
      </c>
      <c r="C12" s="94" t="s">
        <v>335</v>
      </c>
    </row>
    <row r="13">
      <c r="A13" s="64" t="s">
        <v>336</v>
      </c>
      <c r="B13" s="98">
        <f>B9*5</f>
        <v>362743800</v>
      </c>
      <c r="C13" s="94" t="s">
        <v>337</v>
      </c>
    </row>
    <row r="14">
      <c r="A14" s="64" t="s">
        <v>338</v>
      </c>
      <c r="B14" s="98">
        <f t="shared" ref="B14:B15" si="1">B11*5</f>
        <v>181371900</v>
      </c>
      <c r="C14" s="94" t="s">
        <v>339</v>
      </c>
    </row>
    <row r="15">
      <c r="A15" s="47" t="s">
        <v>195</v>
      </c>
      <c r="B15" s="69">
        <f t="shared" si="1"/>
        <v>544115700</v>
      </c>
      <c r="C15" s="94" t="s">
        <v>340</v>
      </c>
    </row>
    <row r="18">
      <c r="A18" s="101" t="s">
        <v>341</v>
      </c>
    </row>
    <row r="19">
      <c r="A19" s="102" t="s">
        <v>342</v>
      </c>
      <c r="B19" s="102" t="s">
        <v>344</v>
      </c>
      <c r="C19" s="102" t="s">
        <v>345</v>
      </c>
      <c r="D19" s="102" t="s">
        <v>346</v>
      </c>
      <c r="E19" s="102" t="s">
        <v>347</v>
      </c>
    </row>
    <row r="20">
      <c r="A20" s="64">
        <v>3000.0</v>
      </c>
      <c r="B20" s="62">
        <f t="shared" ref="B20:B24" si="2">A20*$B$8</f>
        <v>3540000</v>
      </c>
      <c r="C20" s="62">
        <f t="shared" ref="C20:C24" si="3">B20*$B$10</f>
        <v>1770000</v>
      </c>
      <c r="D20" s="62">
        <f t="shared" ref="D20:D24" si="4">B20+C20</f>
        <v>5310000</v>
      </c>
      <c r="E20" s="62">
        <f t="shared" ref="E20:E24" si="5">D20*5</f>
        <v>26550000</v>
      </c>
    </row>
    <row r="21">
      <c r="A21" s="64">
        <v>5000.0</v>
      </c>
      <c r="B21" s="62">
        <f t="shared" si="2"/>
        <v>5900000</v>
      </c>
      <c r="C21" s="62">
        <f t="shared" si="3"/>
        <v>2950000</v>
      </c>
      <c r="D21" s="62">
        <f t="shared" si="4"/>
        <v>8850000</v>
      </c>
      <c r="E21" s="62">
        <f t="shared" si="5"/>
        <v>44250000</v>
      </c>
    </row>
    <row r="22">
      <c r="A22" s="64">
        <v>10000.0</v>
      </c>
      <c r="B22" s="62">
        <f t="shared" si="2"/>
        <v>11800000</v>
      </c>
      <c r="C22" s="62">
        <f t="shared" si="3"/>
        <v>5900000</v>
      </c>
      <c r="D22" s="62">
        <f t="shared" si="4"/>
        <v>17700000</v>
      </c>
      <c r="E22" s="62">
        <f t="shared" si="5"/>
        <v>88500000</v>
      </c>
    </row>
    <row r="23">
      <c r="A23" s="64">
        <v>25000.0</v>
      </c>
      <c r="B23" s="62">
        <f t="shared" si="2"/>
        <v>29500000</v>
      </c>
      <c r="C23" s="62">
        <f t="shared" si="3"/>
        <v>14750000</v>
      </c>
      <c r="D23" s="62">
        <f t="shared" si="4"/>
        <v>44250000</v>
      </c>
      <c r="E23" s="62">
        <f t="shared" si="5"/>
        <v>221250000</v>
      </c>
    </row>
    <row r="24">
      <c r="A24" s="47" t="s">
        <v>348</v>
      </c>
      <c r="B24" s="62" t="str">
        <f t="shared" si="2"/>
        <v>#VALUE!</v>
      </c>
      <c r="C24" s="62" t="str">
        <f t="shared" si="3"/>
        <v>#VALUE!</v>
      </c>
      <c r="D24" s="62" t="str">
        <f t="shared" si="4"/>
        <v>#VALUE!</v>
      </c>
      <c r="E24" s="62" t="str">
        <f t="shared" si="5"/>
        <v>#VALUE!</v>
      </c>
    </row>
    <row r="25"/>
    <row r="26"/>
    <row r="27">
      <c r="A27" s="103" t="s">
        <v>349</v>
      </c>
      <c r="B27" s="73"/>
      <c r="C27" s="73"/>
      <c r="D27" s="73"/>
      <c r="E27" s="73"/>
      <c r="F27" s="75"/>
    </row>
    <row r="28">
      <c r="A28" s="104"/>
      <c r="F28" s="105"/>
    </row>
    <row r="29">
      <c r="A29" s="77"/>
      <c r="B29" s="78"/>
      <c r="C29" s="78"/>
      <c r="D29" s="78"/>
      <c r="E29" s="78"/>
      <c r="F29" s="79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2:F2"/>
    <mergeCell ref="A27:F2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5.0"/>
    <col customWidth="1" min="2" max="2" width="48.0"/>
    <col customWidth="1" min="3" max="3" width="16.0"/>
    <col customWidth="1" min="4" max="4" width="18.0"/>
    <col customWidth="1" min="5" max="5" width="28.0"/>
    <col customWidth="1" min="6" max="6" width="18.0"/>
    <col customWidth="1" min="7" max="7" width="22.0"/>
    <col customWidth="1" min="8" max="8" width="18.0"/>
    <col customWidth="1" min="9" max="9" width="25.0"/>
    <col customWidth="1" min="10" max="10" width="23.0"/>
    <col customWidth="1" min="11" max="12" width="25.0"/>
    <col customWidth="1" min="13" max="14" width="22.0"/>
    <col customWidth="1" min="15" max="15" width="28.0"/>
    <col customWidth="1" min="16" max="16" width="65.0"/>
    <col customWidth="1" min="17" max="26" width="8.71"/>
  </cols>
  <sheetData>
    <row r="1" ht="42.0" customHeight="1">
      <c r="A1" s="86" t="s">
        <v>0</v>
      </c>
      <c r="B1" s="86" t="s">
        <v>282</v>
      </c>
      <c r="C1" s="86" t="s">
        <v>2</v>
      </c>
      <c r="D1" s="86" t="s">
        <v>283</v>
      </c>
      <c r="E1" s="86" t="s">
        <v>284</v>
      </c>
      <c r="F1" s="86" t="s">
        <v>285</v>
      </c>
      <c r="G1" s="86" t="s">
        <v>286</v>
      </c>
      <c r="H1" s="86" t="s">
        <v>287</v>
      </c>
      <c r="I1" s="86" t="s">
        <v>288</v>
      </c>
      <c r="J1" s="86" t="s">
        <v>290</v>
      </c>
      <c r="K1" s="86" t="s">
        <v>291</v>
      </c>
      <c r="L1" s="86" t="s">
        <v>292</v>
      </c>
      <c r="M1" s="86" t="s">
        <v>295</v>
      </c>
      <c r="N1" s="86" t="s">
        <v>297</v>
      </c>
      <c r="O1" s="86" t="s">
        <v>298</v>
      </c>
      <c r="P1" s="86" t="s">
        <v>299</v>
      </c>
    </row>
    <row r="2">
      <c r="A2" s="89">
        <v>1.0</v>
      </c>
      <c r="B2" s="89" t="s">
        <v>7</v>
      </c>
      <c r="C2" s="89"/>
      <c r="D2" s="90">
        <v>80.0</v>
      </c>
      <c r="E2" s="91" t="s">
        <v>302</v>
      </c>
      <c r="F2" s="92">
        <v>0.5</v>
      </c>
      <c r="G2" s="95">
        <f t="shared" ref="G2:G92" si="1">ROUND(D2*F2,0)</f>
        <v>40</v>
      </c>
      <c r="H2" s="96"/>
      <c r="I2" s="95">
        <f t="shared" ref="I2:I92" si="2">IF(G2&lt;100,2950,IF(G2&lt;500,2213,IF(G2&lt;1000,2065,IF(G2&lt;2000,1770,IF(G2&lt;3000,1475,1180)))))</f>
        <v>2950</v>
      </c>
      <c r="J2" s="95">
        <f>'Pricing &amp; Assumptions'!$B$9</f>
        <v>1180</v>
      </c>
      <c r="K2" s="95">
        <f t="shared" ref="K2:K92" si="3">G2*I2</f>
        <v>118000</v>
      </c>
      <c r="L2" s="95">
        <f t="shared" ref="L2:L92" si="4">G2*J2</f>
        <v>47200</v>
      </c>
      <c r="M2" s="95">
        <f t="shared" ref="M2:M92" si="5">K2-L2</f>
        <v>70800</v>
      </c>
      <c r="N2" s="95">
        <f t="shared" ref="N2:N92" si="6">M2*5</f>
        <v>354000</v>
      </c>
      <c r="O2" s="95">
        <f>G2*('Pricing &amp; Assumptions'!$B$3-'Pricing &amp; Assumptions'!$B$9)*5</f>
        <v>236000</v>
      </c>
      <c r="P2" s="89" t="s">
        <v>343</v>
      </c>
    </row>
    <row r="3">
      <c r="A3" s="89">
        <v>2.0</v>
      </c>
      <c r="B3" s="89" t="s">
        <v>9</v>
      </c>
      <c r="C3" s="89" t="s">
        <v>10</v>
      </c>
      <c r="D3" s="90">
        <v>500.0</v>
      </c>
      <c r="E3" s="91" t="s">
        <v>302</v>
      </c>
      <c r="F3" s="92">
        <v>0.5</v>
      </c>
      <c r="G3" s="95">
        <f t="shared" si="1"/>
        <v>250</v>
      </c>
      <c r="H3" s="96"/>
      <c r="I3" s="95">
        <f t="shared" si="2"/>
        <v>2213</v>
      </c>
      <c r="J3" s="95">
        <f>'Pricing &amp; Assumptions'!$B$9</f>
        <v>1180</v>
      </c>
      <c r="K3" s="95">
        <f t="shared" si="3"/>
        <v>553250</v>
      </c>
      <c r="L3" s="95">
        <f t="shared" si="4"/>
        <v>295000</v>
      </c>
      <c r="M3" s="95">
        <f t="shared" si="5"/>
        <v>258250</v>
      </c>
      <c r="N3" s="95">
        <f t="shared" si="6"/>
        <v>1291250</v>
      </c>
      <c r="O3" s="95">
        <f>G3*('Pricing &amp; Assumptions'!$B$3-'Pricing &amp; Assumptions'!$B$9)*5</f>
        <v>1475000</v>
      </c>
      <c r="P3" s="89" t="s">
        <v>343</v>
      </c>
    </row>
    <row r="4">
      <c r="A4" s="89">
        <v>3.0</v>
      </c>
      <c r="B4" s="89" t="s">
        <v>13</v>
      </c>
      <c r="C4" s="89" t="s">
        <v>10</v>
      </c>
      <c r="D4" s="90">
        <v>1410.0</v>
      </c>
      <c r="E4" s="91" t="s">
        <v>302</v>
      </c>
      <c r="F4" s="92">
        <v>0.7</v>
      </c>
      <c r="G4" s="95">
        <f t="shared" si="1"/>
        <v>987</v>
      </c>
      <c r="H4" s="96"/>
      <c r="I4" s="95">
        <f t="shared" si="2"/>
        <v>2065</v>
      </c>
      <c r="J4" s="95">
        <f>'Pricing &amp; Assumptions'!$B$9</f>
        <v>1180</v>
      </c>
      <c r="K4" s="95">
        <f t="shared" si="3"/>
        <v>2038155</v>
      </c>
      <c r="L4" s="95">
        <f t="shared" si="4"/>
        <v>1164660</v>
      </c>
      <c r="M4" s="95">
        <f t="shared" si="5"/>
        <v>873495</v>
      </c>
      <c r="N4" s="95">
        <f t="shared" si="6"/>
        <v>4367475</v>
      </c>
      <c r="O4" s="95">
        <f>G4*('Pricing &amp; Assumptions'!$B$3-'Pricing &amp; Assumptions'!$B$9)*5</f>
        <v>5823300</v>
      </c>
      <c r="P4" s="89" t="s">
        <v>343</v>
      </c>
    </row>
    <row r="5">
      <c r="A5" s="89">
        <v>4.0</v>
      </c>
      <c r="B5" s="89" t="s">
        <v>16</v>
      </c>
      <c r="C5" s="89"/>
      <c r="D5" s="90">
        <v>900.0</v>
      </c>
      <c r="E5" s="91" t="s">
        <v>302</v>
      </c>
      <c r="F5" s="92">
        <v>0.5</v>
      </c>
      <c r="G5" s="95">
        <f t="shared" si="1"/>
        <v>450</v>
      </c>
      <c r="H5" s="96"/>
      <c r="I5" s="95">
        <f t="shared" si="2"/>
        <v>2213</v>
      </c>
      <c r="J5" s="95">
        <f>'Pricing &amp; Assumptions'!$B$9</f>
        <v>1180</v>
      </c>
      <c r="K5" s="95">
        <f t="shared" si="3"/>
        <v>995850</v>
      </c>
      <c r="L5" s="95">
        <f t="shared" si="4"/>
        <v>531000</v>
      </c>
      <c r="M5" s="95">
        <f t="shared" si="5"/>
        <v>464850</v>
      </c>
      <c r="N5" s="95">
        <f t="shared" si="6"/>
        <v>2324250</v>
      </c>
      <c r="O5" s="95">
        <f>G5*('Pricing &amp; Assumptions'!$B$3-'Pricing &amp; Assumptions'!$B$9)*5</f>
        <v>2655000</v>
      </c>
      <c r="P5" s="89" t="s">
        <v>343</v>
      </c>
    </row>
    <row r="6">
      <c r="A6" s="89">
        <v>5.0</v>
      </c>
      <c r="B6" s="89" t="s">
        <v>22</v>
      </c>
      <c r="C6" s="89"/>
      <c r="D6" s="90">
        <v>1200.0</v>
      </c>
      <c r="E6" s="91" t="s">
        <v>302</v>
      </c>
      <c r="F6" s="92">
        <v>0.5</v>
      </c>
      <c r="G6" s="95">
        <f t="shared" si="1"/>
        <v>600</v>
      </c>
      <c r="H6" s="96"/>
      <c r="I6" s="95">
        <f t="shared" si="2"/>
        <v>2065</v>
      </c>
      <c r="J6" s="95">
        <f>'Pricing &amp; Assumptions'!$B$9</f>
        <v>1180</v>
      </c>
      <c r="K6" s="95">
        <f t="shared" si="3"/>
        <v>1239000</v>
      </c>
      <c r="L6" s="95">
        <f t="shared" si="4"/>
        <v>708000</v>
      </c>
      <c r="M6" s="95">
        <f t="shared" si="5"/>
        <v>531000</v>
      </c>
      <c r="N6" s="95">
        <f t="shared" si="6"/>
        <v>2655000</v>
      </c>
      <c r="O6" s="95">
        <f>G6*('Pricing &amp; Assumptions'!$B$3-'Pricing &amp; Assumptions'!$B$9)*5</f>
        <v>3540000</v>
      </c>
      <c r="P6" s="89" t="s">
        <v>343</v>
      </c>
    </row>
    <row r="7">
      <c r="A7" s="89">
        <v>6.0</v>
      </c>
      <c r="B7" s="89" t="s">
        <v>28</v>
      </c>
      <c r="C7" s="89" t="s">
        <v>10</v>
      </c>
      <c r="D7" s="90">
        <v>350.0</v>
      </c>
      <c r="E7" s="91" t="s">
        <v>302</v>
      </c>
      <c r="F7" s="92">
        <v>0.7</v>
      </c>
      <c r="G7" s="95">
        <f t="shared" si="1"/>
        <v>245</v>
      </c>
      <c r="H7" s="96"/>
      <c r="I7" s="95">
        <f t="shared" si="2"/>
        <v>2213</v>
      </c>
      <c r="J7" s="95">
        <f>'Pricing &amp; Assumptions'!$B$9</f>
        <v>1180</v>
      </c>
      <c r="K7" s="95">
        <f t="shared" si="3"/>
        <v>542185</v>
      </c>
      <c r="L7" s="95">
        <f t="shared" si="4"/>
        <v>289100</v>
      </c>
      <c r="M7" s="95">
        <f t="shared" si="5"/>
        <v>253085</v>
      </c>
      <c r="N7" s="95">
        <f t="shared" si="6"/>
        <v>1265425</v>
      </c>
      <c r="O7" s="95">
        <f>G7*('Pricing &amp; Assumptions'!$B$3-'Pricing &amp; Assumptions'!$B$9)*5</f>
        <v>1445500</v>
      </c>
      <c r="P7" s="89" t="s">
        <v>343</v>
      </c>
    </row>
    <row r="8">
      <c r="A8" s="89">
        <v>7.0</v>
      </c>
      <c r="B8" s="89" t="s">
        <v>350</v>
      </c>
      <c r="C8" s="89"/>
      <c r="D8" s="90">
        <v>600.0</v>
      </c>
      <c r="E8" s="91" t="s">
        <v>302</v>
      </c>
      <c r="F8" s="92">
        <v>0.5</v>
      </c>
      <c r="G8" s="95">
        <f t="shared" si="1"/>
        <v>300</v>
      </c>
      <c r="H8" s="96"/>
      <c r="I8" s="95">
        <f t="shared" si="2"/>
        <v>2213</v>
      </c>
      <c r="J8" s="95">
        <f>'Pricing &amp; Assumptions'!$B$9</f>
        <v>1180</v>
      </c>
      <c r="K8" s="95">
        <f t="shared" si="3"/>
        <v>663900</v>
      </c>
      <c r="L8" s="95">
        <f t="shared" si="4"/>
        <v>354000</v>
      </c>
      <c r="M8" s="95">
        <f t="shared" si="5"/>
        <v>309900</v>
      </c>
      <c r="N8" s="95">
        <f t="shared" si="6"/>
        <v>1549500</v>
      </c>
      <c r="O8" s="95">
        <f>G8*('Pricing &amp; Assumptions'!$B$3-'Pricing &amp; Assumptions'!$B$9)*5</f>
        <v>1770000</v>
      </c>
      <c r="P8" s="89" t="s">
        <v>343</v>
      </c>
    </row>
    <row r="9">
      <c r="A9" s="89">
        <v>8.0</v>
      </c>
      <c r="B9" s="89" t="s">
        <v>40</v>
      </c>
      <c r="C9" s="89" t="s">
        <v>41</v>
      </c>
      <c r="D9" s="90">
        <v>700.0</v>
      </c>
      <c r="E9" s="91" t="s">
        <v>302</v>
      </c>
      <c r="F9" s="92">
        <v>0.7</v>
      </c>
      <c r="G9" s="95">
        <f t="shared" si="1"/>
        <v>490</v>
      </c>
      <c r="H9" s="96">
        <v>150.0</v>
      </c>
      <c r="I9" s="95">
        <f t="shared" si="2"/>
        <v>2213</v>
      </c>
      <c r="J9" s="95">
        <f>'Pricing &amp; Assumptions'!$B$9</f>
        <v>1180</v>
      </c>
      <c r="K9" s="95">
        <f t="shared" si="3"/>
        <v>1084370</v>
      </c>
      <c r="L9" s="95">
        <f t="shared" si="4"/>
        <v>578200</v>
      </c>
      <c r="M9" s="95">
        <f t="shared" si="5"/>
        <v>506170</v>
      </c>
      <c r="N9" s="95">
        <f t="shared" si="6"/>
        <v>2530850</v>
      </c>
      <c r="O9" s="95">
        <f>G9*('Pricing &amp; Assumptions'!$B$3-'Pricing &amp; Assumptions'!$B$9)*5</f>
        <v>2891000</v>
      </c>
      <c r="P9" s="89" t="s">
        <v>343</v>
      </c>
    </row>
    <row r="10">
      <c r="A10" s="89">
        <v>9.0</v>
      </c>
      <c r="B10" s="89" t="s">
        <v>50</v>
      </c>
      <c r="C10" s="89"/>
      <c r="D10" s="90">
        <v>3000.0</v>
      </c>
      <c r="E10" s="91" t="s">
        <v>302</v>
      </c>
      <c r="F10" s="92">
        <v>0.3</v>
      </c>
      <c r="G10" s="95">
        <f t="shared" si="1"/>
        <v>900</v>
      </c>
      <c r="H10" s="96"/>
      <c r="I10" s="95">
        <f t="shared" si="2"/>
        <v>2065</v>
      </c>
      <c r="J10" s="95">
        <f>'Pricing &amp; Assumptions'!$B$9</f>
        <v>1180</v>
      </c>
      <c r="K10" s="95">
        <f t="shared" si="3"/>
        <v>1858500</v>
      </c>
      <c r="L10" s="95">
        <f t="shared" si="4"/>
        <v>1062000</v>
      </c>
      <c r="M10" s="95">
        <f t="shared" si="5"/>
        <v>796500</v>
      </c>
      <c r="N10" s="95">
        <f t="shared" si="6"/>
        <v>3982500</v>
      </c>
      <c r="O10" s="95">
        <f>G10*('Pricing &amp; Assumptions'!$B$3-'Pricing &amp; Assumptions'!$B$9)*5</f>
        <v>5310000</v>
      </c>
      <c r="P10" s="89" t="s">
        <v>343</v>
      </c>
    </row>
    <row r="11">
      <c r="A11" s="89">
        <v>10.0</v>
      </c>
      <c r="B11" s="89" t="s">
        <v>51</v>
      </c>
      <c r="C11" s="89"/>
      <c r="D11" s="90">
        <v>12000.0</v>
      </c>
      <c r="E11" s="91" t="s">
        <v>302</v>
      </c>
      <c r="F11" s="92">
        <v>0.3</v>
      </c>
      <c r="G11" s="95">
        <f t="shared" si="1"/>
        <v>3600</v>
      </c>
      <c r="H11" s="96"/>
      <c r="I11" s="95">
        <f t="shared" si="2"/>
        <v>1180</v>
      </c>
      <c r="J11" s="95">
        <f>'Pricing &amp; Assumptions'!$B$9</f>
        <v>1180</v>
      </c>
      <c r="K11" s="95">
        <f t="shared" si="3"/>
        <v>4248000</v>
      </c>
      <c r="L11" s="95">
        <f t="shared" si="4"/>
        <v>4248000</v>
      </c>
      <c r="M11" s="95">
        <f t="shared" si="5"/>
        <v>0</v>
      </c>
      <c r="N11" s="95">
        <f t="shared" si="6"/>
        <v>0</v>
      </c>
      <c r="O11" s="95">
        <f>G11*('Pricing &amp; Assumptions'!$B$3-'Pricing &amp; Assumptions'!$B$9)*5</f>
        <v>21240000</v>
      </c>
      <c r="P11" s="89" t="s">
        <v>343</v>
      </c>
    </row>
    <row r="12">
      <c r="A12" s="89">
        <v>11.0</v>
      </c>
      <c r="B12" s="89" t="s">
        <v>52</v>
      </c>
      <c r="C12" s="89"/>
      <c r="D12" s="90">
        <v>1500.0</v>
      </c>
      <c r="E12" s="91" t="s">
        <v>302</v>
      </c>
      <c r="F12" s="92">
        <v>0.5</v>
      </c>
      <c r="G12" s="95">
        <f t="shared" si="1"/>
        <v>750</v>
      </c>
      <c r="H12" s="96"/>
      <c r="I12" s="95">
        <f t="shared" si="2"/>
        <v>2065</v>
      </c>
      <c r="J12" s="95">
        <f>'Pricing &amp; Assumptions'!$B$9</f>
        <v>1180</v>
      </c>
      <c r="K12" s="95">
        <f t="shared" si="3"/>
        <v>1548750</v>
      </c>
      <c r="L12" s="95">
        <f t="shared" si="4"/>
        <v>885000</v>
      </c>
      <c r="M12" s="95">
        <f t="shared" si="5"/>
        <v>663750</v>
      </c>
      <c r="N12" s="95">
        <f t="shared" si="6"/>
        <v>3318750</v>
      </c>
      <c r="O12" s="95">
        <f>G12*('Pricing &amp; Assumptions'!$B$3-'Pricing &amp; Assumptions'!$B$9)*5</f>
        <v>4425000</v>
      </c>
      <c r="P12" s="89" t="s">
        <v>343</v>
      </c>
    </row>
    <row r="13">
      <c r="A13" s="89">
        <v>12.0</v>
      </c>
      <c r="B13" s="89" t="s">
        <v>53</v>
      </c>
      <c r="C13" s="89"/>
      <c r="D13" s="90">
        <v>700.0</v>
      </c>
      <c r="E13" s="91" t="s">
        <v>302</v>
      </c>
      <c r="F13" s="92">
        <v>0.5</v>
      </c>
      <c r="G13" s="95">
        <f t="shared" si="1"/>
        <v>350</v>
      </c>
      <c r="H13" s="96"/>
      <c r="I13" s="95">
        <f t="shared" si="2"/>
        <v>2213</v>
      </c>
      <c r="J13" s="95">
        <f>'Pricing &amp; Assumptions'!$B$9</f>
        <v>1180</v>
      </c>
      <c r="K13" s="95">
        <f t="shared" si="3"/>
        <v>774550</v>
      </c>
      <c r="L13" s="95">
        <f t="shared" si="4"/>
        <v>413000</v>
      </c>
      <c r="M13" s="95">
        <f t="shared" si="5"/>
        <v>361550</v>
      </c>
      <c r="N13" s="95">
        <f t="shared" si="6"/>
        <v>1807750</v>
      </c>
      <c r="O13" s="95">
        <f>G13*('Pricing &amp; Assumptions'!$B$3-'Pricing &amp; Assumptions'!$B$9)*5</f>
        <v>2065000</v>
      </c>
      <c r="P13" s="89" t="s">
        <v>343</v>
      </c>
    </row>
    <row r="14">
      <c r="A14" s="89">
        <v>13.0</v>
      </c>
      <c r="B14" s="89" t="s">
        <v>54</v>
      </c>
      <c r="C14" s="89"/>
      <c r="D14" s="106">
        <v>3000.0</v>
      </c>
      <c r="E14" s="91" t="s">
        <v>351</v>
      </c>
      <c r="F14" s="92">
        <v>0.3</v>
      </c>
      <c r="G14" s="95">
        <f t="shared" si="1"/>
        <v>900</v>
      </c>
      <c r="H14" s="96"/>
      <c r="I14" s="95">
        <f t="shared" si="2"/>
        <v>2065</v>
      </c>
      <c r="J14" s="95">
        <f>'Pricing &amp; Assumptions'!$B$9</f>
        <v>1180</v>
      </c>
      <c r="K14" s="95">
        <f t="shared" si="3"/>
        <v>1858500</v>
      </c>
      <c r="L14" s="95">
        <f t="shared" si="4"/>
        <v>1062000</v>
      </c>
      <c r="M14" s="95">
        <f t="shared" si="5"/>
        <v>796500</v>
      </c>
      <c r="N14" s="95">
        <f t="shared" si="6"/>
        <v>3982500</v>
      </c>
      <c r="O14" s="95">
        <f>G14*('Pricing &amp; Assumptions'!$B$3-'Pricing &amp; Assumptions'!$B$9)*5</f>
        <v>5310000</v>
      </c>
      <c r="P14" s="89" t="s">
        <v>352</v>
      </c>
    </row>
    <row r="15">
      <c r="A15" s="89">
        <v>14.0</v>
      </c>
      <c r="B15" s="89" t="s">
        <v>55</v>
      </c>
      <c r="C15" s="89"/>
      <c r="D15" s="90">
        <v>500.0</v>
      </c>
      <c r="E15" s="91" t="s">
        <v>302</v>
      </c>
      <c r="F15" s="92">
        <v>0.7</v>
      </c>
      <c r="G15" s="95">
        <f t="shared" si="1"/>
        <v>350</v>
      </c>
      <c r="H15" s="96"/>
      <c r="I15" s="95">
        <f t="shared" si="2"/>
        <v>2213</v>
      </c>
      <c r="J15" s="95">
        <f>'Pricing &amp; Assumptions'!$B$9</f>
        <v>1180</v>
      </c>
      <c r="K15" s="95">
        <f t="shared" si="3"/>
        <v>774550</v>
      </c>
      <c r="L15" s="95">
        <f t="shared" si="4"/>
        <v>413000</v>
      </c>
      <c r="M15" s="95">
        <f t="shared" si="5"/>
        <v>361550</v>
      </c>
      <c r="N15" s="95">
        <f t="shared" si="6"/>
        <v>1807750</v>
      </c>
      <c r="O15" s="95">
        <f>G15*('Pricing &amp; Assumptions'!$B$3-'Pricing &amp; Assumptions'!$B$9)*5</f>
        <v>2065000</v>
      </c>
      <c r="P15" s="89" t="s">
        <v>343</v>
      </c>
    </row>
    <row r="16">
      <c r="A16" s="89">
        <v>15.0</v>
      </c>
      <c r="B16" s="89" t="s">
        <v>56</v>
      </c>
      <c r="C16" s="89"/>
      <c r="D16" s="90">
        <v>500.0</v>
      </c>
      <c r="E16" s="91" t="s">
        <v>302</v>
      </c>
      <c r="F16" s="92">
        <v>0.5</v>
      </c>
      <c r="G16" s="95">
        <f t="shared" si="1"/>
        <v>250</v>
      </c>
      <c r="H16" s="96"/>
      <c r="I16" s="95">
        <f t="shared" si="2"/>
        <v>2213</v>
      </c>
      <c r="J16" s="95">
        <f>'Pricing &amp; Assumptions'!$B$9</f>
        <v>1180</v>
      </c>
      <c r="K16" s="95">
        <f t="shared" si="3"/>
        <v>553250</v>
      </c>
      <c r="L16" s="95">
        <f t="shared" si="4"/>
        <v>295000</v>
      </c>
      <c r="M16" s="95">
        <f t="shared" si="5"/>
        <v>258250</v>
      </c>
      <c r="N16" s="95">
        <f t="shared" si="6"/>
        <v>1291250</v>
      </c>
      <c r="O16" s="95">
        <f>G16*('Pricing &amp; Assumptions'!$B$3-'Pricing &amp; Assumptions'!$B$9)*5</f>
        <v>1475000</v>
      </c>
      <c r="P16" s="89" t="s">
        <v>343</v>
      </c>
    </row>
    <row r="17">
      <c r="A17" s="89">
        <v>16.0</v>
      </c>
      <c r="B17" s="89" t="s">
        <v>63</v>
      </c>
      <c r="C17" s="89"/>
      <c r="D17" s="90">
        <v>3000.0</v>
      </c>
      <c r="E17" s="91" t="s">
        <v>302</v>
      </c>
      <c r="F17" s="92">
        <v>0.3</v>
      </c>
      <c r="G17" s="95">
        <f t="shared" si="1"/>
        <v>900</v>
      </c>
      <c r="H17" s="96"/>
      <c r="I17" s="95">
        <f t="shared" si="2"/>
        <v>2065</v>
      </c>
      <c r="J17" s="95">
        <f>'Pricing &amp; Assumptions'!$B$9</f>
        <v>1180</v>
      </c>
      <c r="K17" s="95">
        <f t="shared" si="3"/>
        <v>1858500</v>
      </c>
      <c r="L17" s="95">
        <f t="shared" si="4"/>
        <v>1062000</v>
      </c>
      <c r="M17" s="95">
        <f t="shared" si="5"/>
        <v>796500</v>
      </c>
      <c r="N17" s="95">
        <f t="shared" si="6"/>
        <v>3982500</v>
      </c>
      <c r="O17" s="95">
        <f>G17*('Pricing &amp; Assumptions'!$B$3-'Pricing &amp; Assumptions'!$B$9)*5</f>
        <v>5310000</v>
      </c>
      <c r="P17" s="89" t="s">
        <v>343</v>
      </c>
    </row>
    <row r="18">
      <c r="A18" s="89">
        <v>17.0</v>
      </c>
      <c r="B18" s="89" t="s">
        <v>66</v>
      </c>
      <c r="C18" s="89" t="s">
        <v>41</v>
      </c>
      <c r="D18" s="90">
        <v>1400.0</v>
      </c>
      <c r="E18" s="91" t="s">
        <v>302</v>
      </c>
      <c r="F18" s="92">
        <v>0.3</v>
      </c>
      <c r="G18" s="95">
        <f t="shared" si="1"/>
        <v>420</v>
      </c>
      <c r="H18" s="96">
        <v>275.0</v>
      </c>
      <c r="I18" s="95">
        <f t="shared" si="2"/>
        <v>2213</v>
      </c>
      <c r="J18" s="95">
        <f>'Pricing &amp; Assumptions'!$B$9</f>
        <v>1180</v>
      </c>
      <c r="K18" s="95">
        <f t="shared" si="3"/>
        <v>929460</v>
      </c>
      <c r="L18" s="95">
        <f t="shared" si="4"/>
        <v>495600</v>
      </c>
      <c r="M18" s="95">
        <f t="shared" si="5"/>
        <v>433860</v>
      </c>
      <c r="N18" s="95">
        <f t="shared" si="6"/>
        <v>2169300</v>
      </c>
      <c r="O18" s="95">
        <f>G18*('Pricing &amp; Assumptions'!$B$3-'Pricing &amp; Assumptions'!$B$9)*5</f>
        <v>2478000</v>
      </c>
      <c r="P18" s="89" t="s">
        <v>343</v>
      </c>
    </row>
    <row r="19">
      <c r="A19" s="89">
        <v>18.0</v>
      </c>
      <c r="B19" s="89" t="s">
        <v>69</v>
      </c>
      <c r="C19" s="89" t="s">
        <v>10</v>
      </c>
      <c r="D19" s="90">
        <v>500.0</v>
      </c>
      <c r="E19" s="91" t="s">
        <v>302</v>
      </c>
      <c r="F19" s="92">
        <v>0.5</v>
      </c>
      <c r="G19" s="95">
        <f t="shared" si="1"/>
        <v>250</v>
      </c>
      <c r="H19" s="96"/>
      <c r="I19" s="95">
        <f t="shared" si="2"/>
        <v>2213</v>
      </c>
      <c r="J19" s="95">
        <f>'Pricing &amp; Assumptions'!$B$9</f>
        <v>1180</v>
      </c>
      <c r="K19" s="95">
        <f t="shared" si="3"/>
        <v>553250</v>
      </c>
      <c r="L19" s="95">
        <f t="shared" si="4"/>
        <v>295000</v>
      </c>
      <c r="M19" s="95">
        <f t="shared" si="5"/>
        <v>258250</v>
      </c>
      <c r="N19" s="95">
        <f t="shared" si="6"/>
        <v>1291250</v>
      </c>
      <c r="O19" s="95">
        <f>G19*('Pricing &amp; Assumptions'!$B$3-'Pricing &amp; Assumptions'!$B$9)*5</f>
        <v>1475000</v>
      </c>
      <c r="P19" s="89" t="s">
        <v>343</v>
      </c>
    </row>
    <row r="20">
      <c r="A20" s="89">
        <v>19.0</v>
      </c>
      <c r="B20" s="89" t="s">
        <v>74</v>
      </c>
      <c r="C20" s="89" t="s">
        <v>41</v>
      </c>
      <c r="D20" s="90">
        <v>500.0</v>
      </c>
      <c r="E20" s="91" t="s">
        <v>302</v>
      </c>
      <c r="F20" s="92">
        <v>0.7</v>
      </c>
      <c r="G20" s="95">
        <f t="shared" si="1"/>
        <v>350</v>
      </c>
      <c r="H20" s="96">
        <v>25.0</v>
      </c>
      <c r="I20" s="95">
        <f t="shared" si="2"/>
        <v>2213</v>
      </c>
      <c r="J20" s="95">
        <f>'Pricing &amp; Assumptions'!$B$9</f>
        <v>1180</v>
      </c>
      <c r="K20" s="95">
        <f t="shared" si="3"/>
        <v>774550</v>
      </c>
      <c r="L20" s="95">
        <f t="shared" si="4"/>
        <v>413000</v>
      </c>
      <c r="M20" s="95">
        <f t="shared" si="5"/>
        <v>361550</v>
      </c>
      <c r="N20" s="95">
        <f t="shared" si="6"/>
        <v>1807750</v>
      </c>
      <c r="O20" s="95">
        <f>G20*('Pricing &amp; Assumptions'!$B$3-'Pricing &amp; Assumptions'!$B$9)*5</f>
        <v>2065000</v>
      </c>
      <c r="P20" s="89" t="s">
        <v>343</v>
      </c>
    </row>
    <row r="21">
      <c r="A21" s="89">
        <v>20.0</v>
      </c>
      <c r="B21" s="89" t="s">
        <v>83</v>
      </c>
      <c r="C21" s="89" t="s">
        <v>10</v>
      </c>
      <c r="D21" s="106">
        <v>2880.0</v>
      </c>
      <c r="E21" s="91" t="s">
        <v>353</v>
      </c>
      <c r="F21" s="92">
        <v>0.5</v>
      </c>
      <c r="G21" s="95">
        <f t="shared" si="1"/>
        <v>1440</v>
      </c>
      <c r="H21" s="96"/>
      <c r="I21" s="95">
        <f t="shared" si="2"/>
        <v>1770</v>
      </c>
      <c r="J21" s="95">
        <f>'Pricing &amp; Assumptions'!$B$9</f>
        <v>1180</v>
      </c>
      <c r="K21" s="95">
        <f t="shared" si="3"/>
        <v>2548800</v>
      </c>
      <c r="L21" s="95">
        <f t="shared" si="4"/>
        <v>1699200</v>
      </c>
      <c r="M21" s="95">
        <f t="shared" si="5"/>
        <v>849600</v>
      </c>
      <c r="N21" s="95">
        <f t="shared" si="6"/>
        <v>4248000</v>
      </c>
      <c r="O21" s="95">
        <f>G21*('Pricing &amp; Assumptions'!$B$3-'Pricing &amp; Assumptions'!$B$9)*5</f>
        <v>8496000</v>
      </c>
      <c r="P21" s="89" t="s">
        <v>354</v>
      </c>
    </row>
    <row r="22">
      <c r="A22" s="89">
        <v>21.0</v>
      </c>
      <c r="B22" s="89" t="s">
        <v>86</v>
      </c>
      <c r="C22" s="89"/>
      <c r="D22" s="106">
        <v>5800.0</v>
      </c>
      <c r="E22" s="91" t="s">
        <v>355</v>
      </c>
      <c r="F22" s="92">
        <v>0.3</v>
      </c>
      <c r="G22" s="95">
        <f t="shared" si="1"/>
        <v>1740</v>
      </c>
      <c r="H22" s="96"/>
      <c r="I22" s="95">
        <f t="shared" si="2"/>
        <v>1770</v>
      </c>
      <c r="J22" s="95">
        <f>'Pricing &amp; Assumptions'!$B$9</f>
        <v>1180</v>
      </c>
      <c r="K22" s="95">
        <f t="shared" si="3"/>
        <v>3079800</v>
      </c>
      <c r="L22" s="95">
        <f t="shared" si="4"/>
        <v>2053200</v>
      </c>
      <c r="M22" s="95">
        <f t="shared" si="5"/>
        <v>1026600</v>
      </c>
      <c r="N22" s="95">
        <f t="shared" si="6"/>
        <v>5133000</v>
      </c>
      <c r="O22" s="95">
        <f>G22*('Pricing &amp; Assumptions'!$B$3-'Pricing &amp; Assumptions'!$B$9)*5</f>
        <v>10266000</v>
      </c>
      <c r="P22" s="89" t="s">
        <v>356</v>
      </c>
    </row>
    <row r="23">
      <c r="A23" s="89">
        <v>22.0</v>
      </c>
      <c r="B23" s="89" t="s">
        <v>93</v>
      </c>
      <c r="C23" s="89" t="s">
        <v>357</v>
      </c>
      <c r="D23" s="90">
        <v>1200.0</v>
      </c>
      <c r="E23" s="91" t="s">
        <v>302</v>
      </c>
      <c r="F23" s="92">
        <v>0.5</v>
      </c>
      <c r="G23" s="95">
        <f t="shared" si="1"/>
        <v>600</v>
      </c>
      <c r="H23" s="96"/>
      <c r="I23" s="95">
        <f t="shared" si="2"/>
        <v>2065</v>
      </c>
      <c r="J23" s="95">
        <f>'Pricing &amp; Assumptions'!$B$9</f>
        <v>1180</v>
      </c>
      <c r="K23" s="95">
        <f t="shared" si="3"/>
        <v>1239000</v>
      </c>
      <c r="L23" s="95">
        <f t="shared" si="4"/>
        <v>708000</v>
      </c>
      <c r="M23" s="95">
        <f t="shared" si="5"/>
        <v>531000</v>
      </c>
      <c r="N23" s="95">
        <f t="shared" si="6"/>
        <v>2655000</v>
      </c>
      <c r="O23" s="95">
        <f>G23*('Pricing &amp; Assumptions'!$B$3-'Pricing &amp; Assumptions'!$B$9)*5</f>
        <v>3540000</v>
      </c>
      <c r="P23" s="89" t="s">
        <v>343</v>
      </c>
    </row>
    <row r="24">
      <c r="A24" s="89">
        <v>23.0</v>
      </c>
      <c r="B24" s="89" t="s">
        <v>99</v>
      </c>
      <c r="C24" s="89" t="s">
        <v>10</v>
      </c>
      <c r="D24" s="106">
        <v>10722.0</v>
      </c>
      <c r="E24" s="91" t="s">
        <v>358</v>
      </c>
      <c r="F24" s="92">
        <v>0.3</v>
      </c>
      <c r="G24" s="95">
        <f t="shared" si="1"/>
        <v>3217</v>
      </c>
      <c r="H24" s="96"/>
      <c r="I24" s="95">
        <f t="shared" si="2"/>
        <v>1180</v>
      </c>
      <c r="J24" s="95">
        <f>'Pricing &amp; Assumptions'!$B$9</f>
        <v>1180</v>
      </c>
      <c r="K24" s="95">
        <f t="shared" si="3"/>
        <v>3796060</v>
      </c>
      <c r="L24" s="95">
        <f t="shared" si="4"/>
        <v>3796060</v>
      </c>
      <c r="M24" s="95">
        <f t="shared" si="5"/>
        <v>0</v>
      </c>
      <c r="N24" s="95">
        <f t="shared" si="6"/>
        <v>0</v>
      </c>
      <c r="O24" s="95">
        <f>G24*('Pricing &amp; Assumptions'!$B$3-'Pricing &amp; Assumptions'!$B$9)*5</f>
        <v>18980300</v>
      </c>
      <c r="P24" s="89" t="s">
        <v>359</v>
      </c>
    </row>
    <row r="25">
      <c r="A25" s="89">
        <v>24.0</v>
      </c>
      <c r="B25" s="89" t="s">
        <v>104</v>
      </c>
      <c r="C25" s="89" t="s">
        <v>41</v>
      </c>
      <c r="D25" s="90">
        <v>250.0</v>
      </c>
      <c r="E25" s="91" t="s">
        <v>302</v>
      </c>
      <c r="F25" s="92">
        <v>0.7</v>
      </c>
      <c r="G25" s="95">
        <f t="shared" si="1"/>
        <v>175</v>
      </c>
      <c r="H25" s="96">
        <v>60.0</v>
      </c>
      <c r="I25" s="95">
        <f t="shared" si="2"/>
        <v>2213</v>
      </c>
      <c r="J25" s="95">
        <f>'Pricing &amp; Assumptions'!$B$9</f>
        <v>1180</v>
      </c>
      <c r="K25" s="95">
        <f t="shared" si="3"/>
        <v>387275</v>
      </c>
      <c r="L25" s="95">
        <f t="shared" si="4"/>
        <v>206500</v>
      </c>
      <c r="M25" s="95">
        <f t="shared" si="5"/>
        <v>180775</v>
      </c>
      <c r="N25" s="95">
        <f t="shared" si="6"/>
        <v>903875</v>
      </c>
      <c r="O25" s="95">
        <f>G25*('Pricing &amp; Assumptions'!$B$3-'Pricing &amp; Assumptions'!$B$9)*5</f>
        <v>1032500</v>
      </c>
      <c r="P25" s="89" t="s">
        <v>343</v>
      </c>
    </row>
    <row r="26">
      <c r="A26" s="89">
        <v>25.0</v>
      </c>
      <c r="B26" s="89" t="s">
        <v>111</v>
      </c>
      <c r="C26" s="89"/>
      <c r="D26" s="90">
        <v>150.0</v>
      </c>
      <c r="E26" s="91" t="s">
        <v>302</v>
      </c>
      <c r="F26" s="92">
        <v>0.5</v>
      </c>
      <c r="G26" s="95">
        <f t="shared" si="1"/>
        <v>75</v>
      </c>
      <c r="H26" s="96"/>
      <c r="I26" s="95">
        <f t="shared" si="2"/>
        <v>2950</v>
      </c>
      <c r="J26" s="95">
        <f>'Pricing &amp; Assumptions'!$B$9</f>
        <v>1180</v>
      </c>
      <c r="K26" s="95">
        <f t="shared" si="3"/>
        <v>221250</v>
      </c>
      <c r="L26" s="95">
        <f t="shared" si="4"/>
        <v>88500</v>
      </c>
      <c r="M26" s="95">
        <f t="shared" si="5"/>
        <v>132750</v>
      </c>
      <c r="N26" s="95">
        <f t="shared" si="6"/>
        <v>663750</v>
      </c>
      <c r="O26" s="95">
        <f>G26*('Pricing &amp; Assumptions'!$B$3-'Pricing &amp; Assumptions'!$B$9)*5</f>
        <v>442500</v>
      </c>
      <c r="P26" s="89" t="s">
        <v>343</v>
      </c>
    </row>
    <row r="27">
      <c r="A27" s="89">
        <v>26.0</v>
      </c>
      <c r="B27" s="89" t="s">
        <v>116</v>
      </c>
      <c r="C27" s="89"/>
      <c r="D27" s="90">
        <v>500.0</v>
      </c>
      <c r="E27" s="91" t="s">
        <v>302</v>
      </c>
      <c r="F27" s="92">
        <v>0.7</v>
      </c>
      <c r="G27" s="95">
        <f t="shared" si="1"/>
        <v>350</v>
      </c>
      <c r="H27" s="96"/>
      <c r="I27" s="95">
        <f t="shared" si="2"/>
        <v>2213</v>
      </c>
      <c r="J27" s="95">
        <f>'Pricing &amp; Assumptions'!$B$9</f>
        <v>1180</v>
      </c>
      <c r="K27" s="95">
        <f t="shared" si="3"/>
        <v>774550</v>
      </c>
      <c r="L27" s="95">
        <f t="shared" si="4"/>
        <v>413000</v>
      </c>
      <c r="M27" s="95">
        <f t="shared" si="5"/>
        <v>361550</v>
      </c>
      <c r="N27" s="95">
        <f t="shared" si="6"/>
        <v>1807750</v>
      </c>
      <c r="O27" s="95">
        <f>G27*('Pricing &amp; Assumptions'!$B$3-'Pricing &amp; Assumptions'!$B$9)*5</f>
        <v>2065000</v>
      </c>
      <c r="P27" s="89" t="s">
        <v>343</v>
      </c>
    </row>
    <row r="28">
      <c r="A28" s="89">
        <v>27.0</v>
      </c>
      <c r="B28" s="89" t="s">
        <v>120</v>
      </c>
      <c r="C28" s="89"/>
      <c r="D28" s="90">
        <v>300.0</v>
      </c>
      <c r="E28" s="91" t="s">
        <v>302</v>
      </c>
      <c r="F28" s="92">
        <v>0.5</v>
      </c>
      <c r="G28" s="95">
        <f t="shared" si="1"/>
        <v>150</v>
      </c>
      <c r="H28" s="96"/>
      <c r="I28" s="95">
        <f t="shared" si="2"/>
        <v>2213</v>
      </c>
      <c r="J28" s="95">
        <f>'Pricing &amp; Assumptions'!$B$9</f>
        <v>1180</v>
      </c>
      <c r="K28" s="95">
        <f t="shared" si="3"/>
        <v>331950</v>
      </c>
      <c r="L28" s="95">
        <f t="shared" si="4"/>
        <v>177000</v>
      </c>
      <c r="M28" s="95">
        <f t="shared" si="5"/>
        <v>154950</v>
      </c>
      <c r="N28" s="95">
        <f t="shared" si="6"/>
        <v>774750</v>
      </c>
      <c r="O28" s="95">
        <f>G28*('Pricing &amp; Assumptions'!$B$3-'Pricing &amp; Assumptions'!$B$9)*5</f>
        <v>885000</v>
      </c>
      <c r="P28" s="89" t="s">
        <v>343</v>
      </c>
    </row>
    <row r="29">
      <c r="A29" s="89">
        <v>28.0</v>
      </c>
      <c r="B29" s="89" t="s">
        <v>124</v>
      </c>
      <c r="C29" s="89"/>
      <c r="D29" s="90">
        <v>500.0</v>
      </c>
      <c r="E29" s="91" t="s">
        <v>302</v>
      </c>
      <c r="F29" s="92">
        <v>0.7</v>
      </c>
      <c r="G29" s="95">
        <f t="shared" si="1"/>
        <v>350</v>
      </c>
      <c r="H29" s="96"/>
      <c r="I29" s="95">
        <f t="shared" si="2"/>
        <v>2213</v>
      </c>
      <c r="J29" s="95">
        <f>'Pricing &amp; Assumptions'!$B$9</f>
        <v>1180</v>
      </c>
      <c r="K29" s="95">
        <f t="shared" si="3"/>
        <v>774550</v>
      </c>
      <c r="L29" s="95">
        <f t="shared" si="4"/>
        <v>413000</v>
      </c>
      <c r="M29" s="95">
        <f t="shared" si="5"/>
        <v>361550</v>
      </c>
      <c r="N29" s="95">
        <f t="shared" si="6"/>
        <v>1807750</v>
      </c>
      <c r="O29" s="95">
        <f>G29*('Pricing &amp; Assumptions'!$B$3-'Pricing &amp; Assumptions'!$B$9)*5</f>
        <v>2065000</v>
      </c>
      <c r="P29" s="89" t="s">
        <v>343</v>
      </c>
    </row>
    <row r="30">
      <c r="A30" s="89">
        <v>29.0</v>
      </c>
      <c r="B30" s="89" t="s">
        <v>130</v>
      </c>
      <c r="C30" s="89"/>
      <c r="D30" s="90">
        <v>400.0</v>
      </c>
      <c r="E30" s="91" t="s">
        <v>302</v>
      </c>
      <c r="F30" s="92">
        <v>0.7</v>
      </c>
      <c r="G30" s="95">
        <f t="shared" si="1"/>
        <v>280</v>
      </c>
      <c r="H30" s="96"/>
      <c r="I30" s="95">
        <f t="shared" si="2"/>
        <v>2213</v>
      </c>
      <c r="J30" s="95">
        <f>'Pricing &amp; Assumptions'!$B$9</f>
        <v>1180</v>
      </c>
      <c r="K30" s="95">
        <f t="shared" si="3"/>
        <v>619640</v>
      </c>
      <c r="L30" s="95">
        <f t="shared" si="4"/>
        <v>330400</v>
      </c>
      <c r="M30" s="95">
        <f t="shared" si="5"/>
        <v>289240</v>
      </c>
      <c r="N30" s="95">
        <f t="shared" si="6"/>
        <v>1446200</v>
      </c>
      <c r="O30" s="95">
        <f>G30*('Pricing &amp; Assumptions'!$B$3-'Pricing &amp; Assumptions'!$B$9)*5</f>
        <v>1652000</v>
      </c>
      <c r="P30" s="89" t="s">
        <v>343</v>
      </c>
    </row>
    <row r="31">
      <c r="A31" s="89">
        <v>30.0</v>
      </c>
      <c r="B31" s="89" t="s">
        <v>139</v>
      </c>
      <c r="C31" s="89"/>
      <c r="D31" s="90">
        <v>1200.0</v>
      </c>
      <c r="E31" s="91" t="s">
        <v>302</v>
      </c>
      <c r="F31" s="92">
        <v>0.3</v>
      </c>
      <c r="G31" s="95">
        <f t="shared" si="1"/>
        <v>360</v>
      </c>
      <c r="H31" s="96"/>
      <c r="I31" s="95">
        <f t="shared" si="2"/>
        <v>2213</v>
      </c>
      <c r="J31" s="95">
        <f>'Pricing &amp; Assumptions'!$B$9</f>
        <v>1180</v>
      </c>
      <c r="K31" s="95">
        <f t="shared" si="3"/>
        <v>796680</v>
      </c>
      <c r="L31" s="95">
        <f t="shared" si="4"/>
        <v>424800</v>
      </c>
      <c r="M31" s="95">
        <f t="shared" si="5"/>
        <v>371880</v>
      </c>
      <c r="N31" s="95">
        <f t="shared" si="6"/>
        <v>1859400</v>
      </c>
      <c r="O31" s="95">
        <f>G31*('Pricing &amp; Assumptions'!$B$3-'Pricing &amp; Assumptions'!$B$9)*5</f>
        <v>2124000</v>
      </c>
      <c r="P31" s="89" t="s">
        <v>343</v>
      </c>
    </row>
    <row r="32">
      <c r="A32" s="89">
        <v>31.0</v>
      </c>
      <c r="B32" s="89" t="s">
        <v>147</v>
      </c>
      <c r="C32" s="89" t="s">
        <v>10</v>
      </c>
      <c r="D32" s="90">
        <v>15000.0</v>
      </c>
      <c r="E32" s="91" t="s">
        <v>302</v>
      </c>
      <c r="F32" s="92">
        <v>0.3</v>
      </c>
      <c r="G32" s="95">
        <f t="shared" si="1"/>
        <v>4500</v>
      </c>
      <c r="H32" s="96"/>
      <c r="I32" s="95">
        <f t="shared" si="2"/>
        <v>1180</v>
      </c>
      <c r="J32" s="95">
        <f>'Pricing &amp; Assumptions'!$B$9</f>
        <v>1180</v>
      </c>
      <c r="K32" s="95">
        <f t="shared" si="3"/>
        <v>5310000</v>
      </c>
      <c r="L32" s="95">
        <f t="shared" si="4"/>
        <v>5310000</v>
      </c>
      <c r="M32" s="95">
        <f t="shared" si="5"/>
        <v>0</v>
      </c>
      <c r="N32" s="95">
        <f t="shared" si="6"/>
        <v>0</v>
      </c>
      <c r="O32" s="95">
        <f>G32*('Pricing &amp; Assumptions'!$B$3-'Pricing &amp; Assumptions'!$B$9)*5</f>
        <v>26550000</v>
      </c>
      <c r="P32" s="89" t="s">
        <v>343</v>
      </c>
    </row>
    <row r="33">
      <c r="A33" s="89">
        <v>32.0</v>
      </c>
      <c r="B33" s="89" t="s">
        <v>152</v>
      </c>
      <c r="C33" s="89" t="s">
        <v>10</v>
      </c>
      <c r="D33" s="90">
        <v>2500.0</v>
      </c>
      <c r="E33" s="91" t="s">
        <v>302</v>
      </c>
      <c r="F33" s="92">
        <v>0.3</v>
      </c>
      <c r="G33" s="95">
        <f t="shared" si="1"/>
        <v>750</v>
      </c>
      <c r="H33" s="96"/>
      <c r="I33" s="95">
        <f t="shared" si="2"/>
        <v>2065</v>
      </c>
      <c r="J33" s="95">
        <f>'Pricing &amp; Assumptions'!$B$9</f>
        <v>1180</v>
      </c>
      <c r="K33" s="95">
        <f t="shared" si="3"/>
        <v>1548750</v>
      </c>
      <c r="L33" s="95">
        <f t="shared" si="4"/>
        <v>885000</v>
      </c>
      <c r="M33" s="95">
        <f t="shared" si="5"/>
        <v>663750</v>
      </c>
      <c r="N33" s="95">
        <f t="shared" si="6"/>
        <v>3318750</v>
      </c>
      <c r="O33" s="95">
        <f>G33*('Pricing &amp; Assumptions'!$B$3-'Pricing &amp; Assumptions'!$B$9)*5</f>
        <v>4425000</v>
      </c>
      <c r="P33" s="89" t="s">
        <v>343</v>
      </c>
    </row>
    <row r="34">
      <c r="A34" s="89">
        <v>33.0</v>
      </c>
      <c r="B34" s="89" t="s">
        <v>156</v>
      </c>
      <c r="C34" s="89" t="s">
        <v>101</v>
      </c>
      <c r="D34" s="90">
        <v>700.0</v>
      </c>
      <c r="E34" s="91" t="s">
        <v>302</v>
      </c>
      <c r="F34" s="92">
        <v>0.7</v>
      </c>
      <c r="G34" s="95">
        <f t="shared" si="1"/>
        <v>490</v>
      </c>
      <c r="H34" s="96"/>
      <c r="I34" s="95">
        <f t="shared" si="2"/>
        <v>2213</v>
      </c>
      <c r="J34" s="95">
        <f>'Pricing &amp; Assumptions'!$B$9</f>
        <v>1180</v>
      </c>
      <c r="K34" s="95">
        <f t="shared" si="3"/>
        <v>1084370</v>
      </c>
      <c r="L34" s="95">
        <f t="shared" si="4"/>
        <v>578200</v>
      </c>
      <c r="M34" s="95">
        <f t="shared" si="5"/>
        <v>506170</v>
      </c>
      <c r="N34" s="95">
        <f t="shared" si="6"/>
        <v>2530850</v>
      </c>
      <c r="O34" s="95">
        <f>G34*('Pricing &amp; Assumptions'!$B$3-'Pricing &amp; Assumptions'!$B$9)*5</f>
        <v>2891000</v>
      </c>
      <c r="P34" s="89" t="s">
        <v>343</v>
      </c>
    </row>
    <row r="35">
      <c r="A35" s="89">
        <v>34.0</v>
      </c>
      <c r="B35" s="89" t="s">
        <v>162</v>
      </c>
      <c r="C35" s="89"/>
      <c r="D35" s="90">
        <v>120.0</v>
      </c>
      <c r="E35" s="91" t="s">
        <v>302</v>
      </c>
      <c r="F35" s="92">
        <v>0.5</v>
      </c>
      <c r="G35" s="95">
        <f t="shared" si="1"/>
        <v>60</v>
      </c>
      <c r="H35" s="96"/>
      <c r="I35" s="95">
        <f t="shared" si="2"/>
        <v>2950</v>
      </c>
      <c r="J35" s="95">
        <f>'Pricing &amp; Assumptions'!$B$9</f>
        <v>1180</v>
      </c>
      <c r="K35" s="95">
        <f t="shared" si="3"/>
        <v>177000</v>
      </c>
      <c r="L35" s="95">
        <f t="shared" si="4"/>
        <v>70800</v>
      </c>
      <c r="M35" s="95">
        <f t="shared" si="5"/>
        <v>106200</v>
      </c>
      <c r="N35" s="95">
        <f t="shared" si="6"/>
        <v>531000</v>
      </c>
      <c r="O35" s="95">
        <f>G35*('Pricing &amp; Assumptions'!$B$3-'Pricing &amp; Assumptions'!$B$9)*5</f>
        <v>354000</v>
      </c>
      <c r="P35" s="89" t="s">
        <v>343</v>
      </c>
    </row>
    <row r="36">
      <c r="A36" s="89">
        <v>35.0</v>
      </c>
      <c r="B36" s="89" t="s">
        <v>168</v>
      </c>
      <c r="C36" s="89"/>
      <c r="D36" s="90">
        <v>150.0</v>
      </c>
      <c r="E36" s="91" t="s">
        <v>302</v>
      </c>
      <c r="F36" s="92">
        <v>0.7</v>
      </c>
      <c r="G36" s="95">
        <f t="shared" si="1"/>
        <v>105</v>
      </c>
      <c r="H36" s="96"/>
      <c r="I36" s="95">
        <f t="shared" si="2"/>
        <v>2213</v>
      </c>
      <c r="J36" s="95">
        <f>'Pricing &amp; Assumptions'!$B$9</f>
        <v>1180</v>
      </c>
      <c r="K36" s="95">
        <f t="shared" si="3"/>
        <v>232365</v>
      </c>
      <c r="L36" s="95">
        <f t="shared" si="4"/>
        <v>123900</v>
      </c>
      <c r="M36" s="95">
        <f t="shared" si="5"/>
        <v>108465</v>
      </c>
      <c r="N36" s="95">
        <f t="shared" si="6"/>
        <v>542325</v>
      </c>
      <c r="O36" s="95">
        <f>G36*('Pricing &amp; Assumptions'!$B$3-'Pricing &amp; Assumptions'!$B$9)*5</f>
        <v>619500</v>
      </c>
      <c r="P36" s="89" t="s">
        <v>343</v>
      </c>
    </row>
    <row r="37">
      <c r="A37" s="89">
        <v>36.0</v>
      </c>
      <c r="B37" s="89" t="s">
        <v>171</v>
      </c>
      <c r="C37" s="89" t="s">
        <v>360</v>
      </c>
      <c r="D37" s="90">
        <v>1000.0</v>
      </c>
      <c r="E37" s="91" t="s">
        <v>302</v>
      </c>
      <c r="F37" s="92">
        <v>0.7</v>
      </c>
      <c r="G37" s="95">
        <f t="shared" si="1"/>
        <v>700</v>
      </c>
      <c r="H37" s="96"/>
      <c r="I37" s="95">
        <f t="shared" si="2"/>
        <v>2065</v>
      </c>
      <c r="J37" s="95">
        <f>'Pricing &amp; Assumptions'!$B$9</f>
        <v>1180</v>
      </c>
      <c r="K37" s="95">
        <f t="shared" si="3"/>
        <v>1445500</v>
      </c>
      <c r="L37" s="95">
        <f t="shared" si="4"/>
        <v>826000</v>
      </c>
      <c r="M37" s="95">
        <f t="shared" si="5"/>
        <v>619500</v>
      </c>
      <c r="N37" s="95">
        <f t="shared" si="6"/>
        <v>3097500</v>
      </c>
      <c r="O37" s="95">
        <f>G37*('Pricing &amp; Assumptions'!$B$3-'Pricing &amp; Assumptions'!$B$9)*5</f>
        <v>4130000</v>
      </c>
      <c r="P37" s="89" t="s">
        <v>343</v>
      </c>
    </row>
    <row r="38">
      <c r="A38" s="89">
        <v>37.0</v>
      </c>
      <c r="B38" s="89" t="s">
        <v>178</v>
      </c>
      <c r="C38" s="89"/>
      <c r="D38" s="90">
        <v>250.0</v>
      </c>
      <c r="E38" s="91" t="s">
        <v>302</v>
      </c>
      <c r="F38" s="92">
        <v>0.5</v>
      </c>
      <c r="G38" s="95">
        <f t="shared" si="1"/>
        <v>125</v>
      </c>
      <c r="H38" s="96"/>
      <c r="I38" s="95">
        <f t="shared" si="2"/>
        <v>2213</v>
      </c>
      <c r="J38" s="95">
        <f>'Pricing &amp; Assumptions'!$B$9</f>
        <v>1180</v>
      </c>
      <c r="K38" s="95">
        <f t="shared" si="3"/>
        <v>276625</v>
      </c>
      <c r="L38" s="95">
        <f t="shared" si="4"/>
        <v>147500</v>
      </c>
      <c r="M38" s="95">
        <f t="shared" si="5"/>
        <v>129125</v>
      </c>
      <c r="N38" s="95">
        <f t="shared" si="6"/>
        <v>645625</v>
      </c>
      <c r="O38" s="95">
        <f>G38*('Pricing &amp; Assumptions'!$B$3-'Pricing &amp; Assumptions'!$B$9)*5</f>
        <v>737500</v>
      </c>
      <c r="P38" s="89" t="s">
        <v>343</v>
      </c>
    </row>
    <row r="39">
      <c r="A39" s="89">
        <v>38.0</v>
      </c>
      <c r="B39" s="89" t="s">
        <v>184</v>
      </c>
      <c r="C39" s="89"/>
      <c r="D39" s="90">
        <v>200.0</v>
      </c>
      <c r="E39" s="91" t="s">
        <v>302</v>
      </c>
      <c r="F39" s="92">
        <v>0.7</v>
      </c>
      <c r="G39" s="95">
        <f t="shared" si="1"/>
        <v>140</v>
      </c>
      <c r="H39" s="96"/>
      <c r="I39" s="95">
        <f t="shared" si="2"/>
        <v>2213</v>
      </c>
      <c r="J39" s="95">
        <f>'Pricing &amp; Assumptions'!$B$9</f>
        <v>1180</v>
      </c>
      <c r="K39" s="95">
        <f t="shared" si="3"/>
        <v>309820</v>
      </c>
      <c r="L39" s="95">
        <f t="shared" si="4"/>
        <v>165200</v>
      </c>
      <c r="M39" s="95">
        <f t="shared" si="5"/>
        <v>144620</v>
      </c>
      <c r="N39" s="95">
        <f t="shared" si="6"/>
        <v>723100</v>
      </c>
      <c r="O39" s="95">
        <f>G39*('Pricing &amp; Assumptions'!$B$3-'Pricing &amp; Assumptions'!$B$9)*5</f>
        <v>826000</v>
      </c>
      <c r="P39" s="89" t="s">
        <v>343</v>
      </c>
    </row>
    <row r="40">
      <c r="A40" s="89">
        <v>39.0</v>
      </c>
      <c r="B40" s="89" t="s">
        <v>188</v>
      </c>
      <c r="C40" s="89"/>
      <c r="D40" s="90">
        <v>2500.0</v>
      </c>
      <c r="E40" s="91" t="s">
        <v>302</v>
      </c>
      <c r="F40" s="92">
        <v>0.5</v>
      </c>
      <c r="G40" s="95">
        <f t="shared" si="1"/>
        <v>1250</v>
      </c>
      <c r="H40" s="96"/>
      <c r="I40" s="95">
        <f t="shared" si="2"/>
        <v>1770</v>
      </c>
      <c r="J40" s="95">
        <f>'Pricing &amp; Assumptions'!$B$9</f>
        <v>1180</v>
      </c>
      <c r="K40" s="95">
        <f t="shared" si="3"/>
        <v>2212500</v>
      </c>
      <c r="L40" s="95">
        <f t="shared" si="4"/>
        <v>1475000</v>
      </c>
      <c r="M40" s="95">
        <f t="shared" si="5"/>
        <v>737500</v>
      </c>
      <c r="N40" s="95">
        <f t="shared" si="6"/>
        <v>3687500</v>
      </c>
      <c r="O40" s="95">
        <f>G40*('Pricing &amp; Assumptions'!$B$3-'Pricing &amp; Assumptions'!$B$9)*5</f>
        <v>7375000</v>
      </c>
      <c r="P40" s="89" t="s">
        <v>343</v>
      </c>
    </row>
    <row r="41">
      <c r="A41" s="89">
        <v>40.0</v>
      </c>
      <c r="B41" s="89" t="s">
        <v>192</v>
      </c>
      <c r="C41" s="89" t="s">
        <v>10</v>
      </c>
      <c r="D41" s="106">
        <v>11000.0</v>
      </c>
      <c r="E41" s="91" t="s">
        <v>361</v>
      </c>
      <c r="F41" s="92">
        <v>0.3</v>
      </c>
      <c r="G41" s="95">
        <f t="shared" si="1"/>
        <v>3300</v>
      </c>
      <c r="H41" s="96"/>
      <c r="I41" s="95">
        <f t="shared" si="2"/>
        <v>1180</v>
      </c>
      <c r="J41" s="95">
        <f>'Pricing &amp; Assumptions'!$B$9</f>
        <v>1180</v>
      </c>
      <c r="K41" s="95">
        <f t="shared" si="3"/>
        <v>3894000</v>
      </c>
      <c r="L41" s="95">
        <f t="shared" si="4"/>
        <v>3894000</v>
      </c>
      <c r="M41" s="95">
        <f t="shared" si="5"/>
        <v>0</v>
      </c>
      <c r="N41" s="95">
        <f t="shared" si="6"/>
        <v>0</v>
      </c>
      <c r="O41" s="95">
        <f>G41*('Pricing &amp; Assumptions'!$B$3-'Pricing &amp; Assumptions'!$B$9)*5</f>
        <v>19470000</v>
      </c>
      <c r="P41" s="89" t="s">
        <v>362</v>
      </c>
    </row>
    <row r="42">
      <c r="A42" s="89">
        <v>41.0</v>
      </c>
      <c r="B42" s="89" t="s">
        <v>197</v>
      </c>
      <c r="C42" s="89" t="s">
        <v>101</v>
      </c>
      <c r="D42" s="90">
        <v>1000.0</v>
      </c>
      <c r="E42" s="91" t="s">
        <v>302</v>
      </c>
      <c r="F42" s="92">
        <v>0.5</v>
      </c>
      <c r="G42" s="95">
        <f t="shared" si="1"/>
        <v>500</v>
      </c>
      <c r="H42" s="96"/>
      <c r="I42" s="95">
        <f t="shared" si="2"/>
        <v>2065</v>
      </c>
      <c r="J42" s="95">
        <f>'Pricing &amp; Assumptions'!$B$9</f>
        <v>1180</v>
      </c>
      <c r="K42" s="95">
        <f t="shared" si="3"/>
        <v>1032500</v>
      </c>
      <c r="L42" s="95">
        <f t="shared" si="4"/>
        <v>590000</v>
      </c>
      <c r="M42" s="95">
        <f t="shared" si="5"/>
        <v>442500</v>
      </c>
      <c r="N42" s="95">
        <f t="shared" si="6"/>
        <v>2212500</v>
      </c>
      <c r="O42" s="95">
        <f>G42*('Pricing &amp; Assumptions'!$B$3-'Pricing &amp; Assumptions'!$B$9)*5</f>
        <v>2950000</v>
      </c>
      <c r="P42" s="89" t="s">
        <v>343</v>
      </c>
    </row>
    <row r="43">
      <c r="A43" s="89">
        <v>42.0</v>
      </c>
      <c r="B43" s="89" t="s">
        <v>202</v>
      </c>
      <c r="C43" s="89"/>
      <c r="D43" s="106">
        <v>22000.0</v>
      </c>
      <c r="E43" s="91" t="s">
        <v>363</v>
      </c>
      <c r="F43" s="92">
        <v>0.3</v>
      </c>
      <c r="G43" s="95">
        <f t="shared" si="1"/>
        <v>6600</v>
      </c>
      <c r="H43" s="96"/>
      <c r="I43" s="95">
        <f t="shared" si="2"/>
        <v>1180</v>
      </c>
      <c r="J43" s="95">
        <f>'Pricing &amp; Assumptions'!$B$9</f>
        <v>1180</v>
      </c>
      <c r="K43" s="95">
        <f t="shared" si="3"/>
        <v>7788000</v>
      </c>
      <c r="L43" s="95">
        <f t="shared" si="4"/>
        <v>7788000</v>
      </c>
      <c r="M43" s="95">
        <f t="shared" si="5"/>
        <v>0</v>
      </c>
      <c r="N43" s="95">
        <f t="shared" si="6"/>
        <v>0</v>
      </c>
      <c r="O43" s="95">
        <f>G43*('Pricing &amp; Assumptions'!$B$3-'Pricing &amp; Assumptions'!$B$9)*5</f>
        <v>38940000</v>
      </c>
      <c r="P43" s="89" t="s">
        <v>364</v>
      </c>
    </row>
    <row r="44">
      <c r="A44" s="89">
        <v>43.0</v>
      </c>
      <c r="B44" s="89" t="s">
        <v>206</v>
      </c>
      <c r="C44" s="89"/>
      <c r="D44" s="90">
        <v>1000.0</v>
      </c>
      <c r="E44" s="91" t="s">
        <v>302</v>
      </c>
      <c r="F44" s="92">
        <v>0.5</v>
      </c>
      <c r="G44" s="95">
        <f t="shared" si="1"/>
        <v>500</v>
      </c>
      <c r="H44" s="96"/>
      <c r="I44" s="95">
        <f t="shared" si="2"/>
        <v>2065</v>
      </c>
      <c r="J44" s="95">
        <f>'Pricing &amp; Assumptions'!$B$9</f>
        <v>1180</v>
      </c>
      <c r="K44" s="95">
        <f t="shared" si="3"/>
        <v>1032500</v>
      </c>
      <c r="L44" s="95">
        <f t="shared" si="4"/>
        <v>590000</v>
      </c>
      <c r="M44" s="95">
        <f t="shared" si="5"/>
        <v>442500</v>
      </c>
      <c r="N44" s="95">
        <f t="shared" si="6"/>
        <v>2212500</v>
      </c>
      <c r="O44" s="95">
        <f>G44*('Pricing &amp; Assumptions'!$B$3-'Pricing &amp; Assumptions'!$B$9)*5</f>
        <v>2950000</v>
      </c>
      <c r="P44" s="89" t="s">
        <v>343</v>
      </c>
    </row>
    <row r="45">
      <c r="A45" s="89">
        <v>44.0</v>
      </c>
      <c r="B45" s="89" t="s">
        <v>207</v>
      </c>
      <c r="C45" s="89"/>
      <c r="D45" s="90">
        <v>600.0</v>
      </c>
      <c r="E45" s="91" t="s">
        <v>302</v>
      </c>
      <c r="F45" s="92">
        <v>0.5</v>
      </c>
      <c r="G45" s="95">
        <f t="shared" si="1"/>
        <v>300</v>
      </c>
      <c r="H45" s="96"/>
      <c r="I45" s="95">
        <f t="shared" si="2"/>
        <v>2213</v>
      </c>
      <c r="J45" s="95">
        <f>'Pricing &amp; Assumptions'!$B$9</f>
        <v>1180</v>
      </c>
      <c r="K45" s="95">
        <f t="shared" si="3"/>
        <v>663900</v>
      </c>
      <c r="L45" s="95">
        <f t="shared" si="4"/>
        <v>354000</v>
      </c>
      <c r="M45" s="95">
        <f t="shared" si="5"/>
        <v>309900</v>
      </c>
      <c r="N45" s="95">
        <f t="shared" si="6"/>
        <v>1549500</v>
      </c>
      <c r="O45" s="95">
        <f>G45*('Pricing &amp; Assumptions'!$B$3-'Pricing &amp; Assumptions'!$B$9)*5</f>
        <v>1770000</v>
      </c>
      <c r="P45" s="89" t="s">
        <v>343</v>
      </c>
    </row>
    <row r="46">
      <c r="A46" s="89">
        <v>45.0</v>
      </c>
      <c r="B46" s="89" t="s">
        <v>209</v>
      </c>
      <c r="C46" s="89" t="s">
        <v>101</v>
      </c>
      <c r="D46" s="90">
        <v>1500.0</v>
      </c>
      <c r="E46" s="91" t="s">
        <v>302</v>
      </c>
      <c r="F46" s="92">
        <v>0.3</v>
      </c>
      <c r="G46" s="95">
        <f t="shared" si="1"/>
        <v>450</v>
      </c>
      <c r="H46" s="96"/>
      <c r="I46" s="95">
        <f t="shared" si="2"/>
        <v>2213</v>
      </c>
      <c r="J46" s="95">
        <f>'Pricing &amp; Assumptions'!$B$9</f>
        <v>1180</v>
      </c>
      <c r="K46" s="95">
        <f t="shared" si="3"/>
        <v>995850</v>
      </c>
      <c r="L46" s="95">
        <f t="shared" si="4"/>
        <v>531000</v>
      </c>
      <c r="M46" s="95">
        <f t="shared" si="5"/>
        <v>464850</v>
      </c>
      <c r="N46" s="95">
        <f t="shared" si="6"/>
        <v>2324250</v>
      </c>
      <c r="O46" s="95">
        <f>G46*('Pricing &amp; Assumptions'!$B$3-'Pricing &amp; Assumptions'!$B$9)*5</f>
        <v>2655000</v>
      </c>
      <c r="P46" s="89" t="s">
        <v>343</v>
      </c>
    </row>
    <row r="47">
      <c r="A47" s="89">
        <v>46.0</v>
      </c>
      <c r="B47" s="89" t="s">
        <v>210</v>
      </c>
      <c r="C47" s="89"/>
      <c r="D47" s="90">
        <v>250.0</v>
      </c>
      <c r="E47" s="91" t="s">
        <v>302</v>
      </c>
      <c r="F47" s="92">
        <v>0.5</v>
      </c>
      <c r="G47" s="95">
        <f t="shared" si="1"/>
        <v>125</v>
      </c>
      <c r="H47" s="96"/>
      <c r="I47" s="95">
        <f t="shared" si="2"/>
        <v>2213</v>
      </c>
      <c r="J47" s="95">
        <f>'Pricing &amp; Assumptions'!$B$9</f>
        <v>1180</v>
      </c>
      <c r="K47" s="95">
        <f t="shared" si="3"/>
        <v>276625</v>
      </c>
      <c r="L47" s="95">
        <f t="shared" si="4"/>
        <v>147500</v>
      </c>
      <c r="M47" s="95">
        <f t="shared" si="5"/>
        <v>129125</v>
      </c>
      <c r="N47" s="95">
        <f t="shared" si="6"/>
        <v>645625</v>
      </c>
      <c r="O47" s="95">
        <f>G47*('Pricing &amp; Assumptions'!$B$3-'Pricing &amp; Assumptions'!$B$9)*5</f>
        <v>737500</v>
      </c>
      <c r="P47" s="89" t="s">
        <v>343</v>
      </c>
    </row>
    <row r="48">
      <c r="A48" s="89">
        <v>47.0</v>
      </c>
      <c r="B48" s="89" t="s">
        <v>212</v>
      </c>
      <c r="C48" s="89"/>
      <c r="D48" s="90">
        <v>350.0</v>
      </c>
      <c r="E48" s="91" t="s">
        <v>302</v>
      </c>
      <c r="F48" s="92">
        <v>0.7</v>
      </c>
      <c r="G48" s="95">
        <f t="shared" si="1"/>
        <v>245</v>
      </c>
      <c r="H48" s="96"/>
      <c r="I48" s="95">
        <f t="shared" si="2"/>
        <v>2213</v>
      </c>
      <c r="J48" s="95">
        <f>'Pricing &amp; Assumptions'!$B$9</f>
        <v>1180</v>
      </c>
      <c r="K48" s="95">
        <f t="shared" si="3"/>
        <v>542185</v>
      </c>
      <c r="L48" s="95">
        <f t="shared" si="4"/>
        <v>289100</v>
      </c>
      <c r="M48" s="95">
        <f t="shared" si="5"/>
        <v>253085</v>
      </c>
      <c r="N48" s="95">
        <f t="shared" si="6"/>
        <v>1265425</v>
      </c>
      <c r="O48" s="95">
        <f>G48*('Pricing &amp; Assumptions'!$B$3-'Pricing &amp; Assumptions'!$B$9)*5</f>
        <v>1445500</v>
      </c>
      <c r="P48" s="89" t="s">
        <v>343</v>
      </c>
    </row>
    <row r="49">
      <c r="A49" s="89">
        <v>48.0</v>
      </c>
      <c r="B49" s="89" t="s">
        <v>192</v>
      </c>
      <c r="C49" s="89" t="s">
        <v>10</v>
      </c>
      <c r="D49" s="106">
        <v>11000.0</v>
      </c>
      <c r="E49" s="91" t="s">
        <v>361</v>
      </c>
      <c r="F49" s="92">
        <v>0.3</v>
      </c>
      <c r="G49" s="95">
        <f t="shared" si="1"/>
        <v>3300</v>
      </c>
      <c r="H49" s="96"/>
      <c r="I49" s="95">
        <f t="shared" si="2"/>
        <v>1180</v>
      </c>
      <c r="J49" s="95">
        <f>'Pricing &amp; Assumptions'!$B$9</f>
        <v>1180</v>
      </c>
      <c r="K49" s="95">
        <f t="shared" si="3"/>
        <v>3894000</v>
      </c>
      <c r="L49" s="95">
        <f t="shared" si="4"/>
        <v>3894000</v>
      </c>
      <c r="M49" s="95">
        <f t="shared" si="5"/>
        <v>0</v>
      </c>
      <c r="N49" s="95">
        <f t="shared" si="6"/>
        <v>0</v>
      </c>
      <c r="O49" s="95">
        <f>G49*('Pricing &amp; Assumptions'!$B$3-'Pricing &amp; Assumptions'!$B$9)*5</f>
        <v>19470000</v>
      </c>
      <c r="P49" s="89" t="s">
        <v>362</v>
      </c>
    </row>
    <row r="50">
      <c r="A50" s="89">
        <v>49.0</v>
      </c>
      <c r="B50" s="89" t="s">
        <v>216</v>
      </c>
      <c r="C50" s="89"/>
      <c r="D50" s="90">
        <v>150.0</v>
      </c>
      <c r="E50" s="91" t="s">
        <v>302</v>
      </c>
      <c r="F50" s="92">
        <v>0.5</v>
      </c>
      <c r="G50" s="95">
        <f t="shared" si="1"/>
        <v>75</v>
      </c>
      <c r="H50" s="96"/>
      <c r="I50" s="95">
        <f t="shared" si="2"/>
        <v>2950</v>
      </c>
      <c r="J50" s="95">
        <f>'Pricing &amp; Assumptions'!$B$9</f>
        <v>1180</v>
      </c>
      <c r="K50" s="95">
        <f t="shared" si="3"/>
        <v>221250</v>
      </c>
      <c r="L50" s="95">
        <f t="shared" si="4"/>
        <v>88500</v>
      </c>
      <c r="M50" s="95">
        <f t="shared" si="5"/>
        <v>132750</v>
      </c>
      <c r="N50" s="95">
        <f t="shared" si="6"/>
        <v>663750</v>
      </c>
      <c r="O50" s="95">
        <f>G50*('Pricing &amp; Assumptions'!$B$3-'Pricing &amp; Assumptions'!$B$9)*5</f>
        <v>442500</v>
      </c>
      <c r="P50" s="89" t="s">
        <v>343</v>
      </c>
    </row>
    <row r="51">
      <c r="A51" s="89">
        <v>50.0</v>
      </c>
      <c r="B51" s="89" t="s">
        <v>222</v>
      </c>
      <c r="C51" s="89"/>
      <c r="D51" s="90">
        <v>200.0</v>
      </c>
      <c r="E51" s="91" t="s">
        <v>302</v>
      </c>
      <c r="F51" s="92">
        <v>0.7</v>
      </c>
      <c r="G51" s="95">
        <f t="shared" si="1"/>
        <v>140</v>
      </c>
      <c r="H51" s="96"/>
      <c r="I51" s="95">
        <f t="shared" si="2"/>
        <v>2213</v>
      </c>
      <c r="J51" s="95">
        <f>'Pricing &amp; Assumptions'!$B$9</f>
        <v>1180</v>
      </c>
      <c r="K51" s="95">
        <f t="shared" si="3"/>
        <v>309820</v>
      </c>
      <c r="L51" s="95">
        <f t="shared" si="4"/>
        <v>165200</v>
      </c>
      <c r="M51" s="95">
        <f t="shared" si="5"/>
        <v>144620</v>
      </c>
      <c r="N51" s="95">
        <f t="shared" si="6"/>
        <v>723100</v>
      </c>
      <c r="O51" s="95">
        <f>G51*('Pricing &amp; Assumptions'!$B$3-'Pricing &amp; Assumptions'!$B$9)*5</f>
        <v>826000</v>
      </c>
      <c r="P51" s="89" t="s">
        <v>343</v>
      </c>
    </row>
    <row r="52">
      <c r="A52" s="89">
        <v>51.0</v>
      </c>
      <c r="B52" s="89" t="s">
        <v>226</v>
      </c>
      <c r="C52" s="89"/>
      <c r="D52" s="90">
        <v>150.0</v>
      </c>
      <c r="E52" s="91" t="s">
        <v>302</v>
      </c>
      <c r="F52" s="92">
        <v>0.5</v>
      </c>
      <c r="G52" s="95">
        <f t="shared" si="1"/>
        <v>75</v>
      </c>
      <c r="H52" s="96"/>
      <c r="I52" s="95">
        <f t="shared" si="2"/>
        <v>2950</v>
      </c>
      <c r="J52" s="95">
        <f>'Pricing &amp; Assumptions'!$B$9</f>
        <v>1180</v>
      </c>
      <c r="K52" s="95">
        <f t="shared" si="3"/>
        <v>221250</v>
      </c>
      <c r="L52" s="95">
        <f t="shared" si="4"/>
        <v>88500</v>
      </c>
      <c r="M52" s="95">
        <f t="shared" si="5"/>
        <v>132750</v>
      </c>
      <c r="N52" s="95">
        <f t="shared" si="6"/>
        <v>663750</v>
      </c>
      <c r="O52" s="95">
        <f>G52*('Pricing &amp; Assumptions'!$B$3-'Pricing &amp; Assumptions'!$B$9)*5</f>
        <v>442500</v>
      </c>
      <c r="P52" s="89" t="s">
        <v>343</v>
      </c>
    </row>
    <row r="53">
      <c r="A53" s="89">
        <v>52.0</v>
      </c>
      <c r="B53" s="89" t="s">
        <v>229</v>
      </c>
      <c r="C53" s="89"/>
      <c r="D53" s="90">
        <v>600.0</v>
      </c>
      <c r="E53" s="91" t="s">
        <v>302</v>
      </c>
      <c r="F53" s="92">
        <v>0.5</v>
      </c>
      <c r="G53" s="95">
        <f t="shared" si="1"/>
        <v>300</v>
      </c>
      <c r="H53" s="96"/>
      <c r="I53" s="95">
        <f t="shared" si="2"/>
        <v>2213</v>
      </c>
      <c r="J53" s="95">
        <f>'Pricing &amp; Assumptions'!$B$9</f>
        <v>1180</v>
      </c>
      <c r="K53" s="95">
        <f t="shared" si="3"/>
        <v>663900</v>
      </c>
      <c r="L53" s="95">
        <f t="shared" si="4"/>
        <v>354000</v>
      </c>
      <c r="M53" s="95">
        <f t="shared" si="5"/>
        <v>309900</v>
      </c>
      <c r="N53" s="95">
        <f t="shared" si="6"/>
        <v>1549500</v>
      </c>
      <c r="O53" s="95">
        <f>G53*('Pricing &amp; Assumptions'!$B$3-'Pricing &amp; Assumptions'!$B$9)*5</f>
        <v>1770000</v>
      </c>
      <c r="P53" s="89" t="s">
        <v>343</v>
      </c>
    </row>
    <row r="54">
      <c r="A54" s="89">
        <v>53.0</v>
      </c>
      <c r="B54" s="89" t="s">
        <v>232</v>
      </c>
      <c r="C54" s="89" t="s">
        <v>233</v>
      </c>
      <c r="D54" s="90">
        <v>500.0</v>
      </c>
      <c r="E54" s="91" t="s">
        <v>302</v>
      </c>
      <c r="F54" s="92">
        <v>0.7</v>
      </c>
      <c r="G54" s="95">
        <f t="shared" si="1"/>
        <v>350</v>
      </c>
      <c r="H54" s="96"/>
      <c r="I54" s="95">
        <f t="shared" si="2"/>
        <v>2213</v>
      </c>
      <c r="J54" s="95">
        <f>'Pricing &amp; Assumptions'!$B$9</f>
        <v>1180</v>
      </c>
      <c r="K54" s="95">
        <f t="shared" si="3"/>
        <v>774550</v>
      </c>
      <c r="L54" s="95">
        <f t="shared" si="4"/>
        <v>413000</v>
      </c>
      <c r="M54" s="95">
        <f t="shared" si="5"/>
        <v>361550</v>
      </c>
      <c r="N54" s="95">
        <f t="shared" si="6"/>
        <v>1807750</v>
      </c>
      <c r="O54" s="95">
        <f>G54*('Pricing &amp; Assumptions'!$B$3-'Pricing &amp; Assumptions'!$B$9)*5</f>
        <v>2065000</v>
      </c>
      <c r="P54" s="89" t="s">
        <v>343</v>
      </c>
    </row>
    <row r="55">
      <c r="A55" s="89">
        <v>54.0</v>
      </c>
      <c r="B55" s="89" t="s">
        <v>234</v>
      </c>
      <c r="C55" s="89"/>
      <c r="D55" s="90">
        <v>8000.0</v>
      </c>
      <c r="E55" s="91" t="s">
        <v>302</v>
      </c>
      <c r="F55" s="92">
        <v>0.3</v>
      </c>
      <c r="G55" s="95">
        <f t="shared" si="1"/>
        <v>2400</v>
      </c>
      <c r="H55" s="96"/>
      <c r="I55" s="95">
        <f t="shared" si="2"/>
        <v>1475</v>
      </c>
      <c r="J55" s="95">
        <f>'Pricing &amp; Assumptions'!$B$9</f>
        <v>1180</v>
      </c>
      <c r="K55" s="95">
        <f t="shared" si="3"/>
        <v>3540000</v>
      </c>
      <c r="L55" s="95">
        <f t="shared" si="4"/>
        <v>2832000</v>
      </c>
      <c r="M55" s="95">
        <f t="shared" si="5"/>
        <v>708000</v>
      </c>
      <c r="N55" s="95">
        <f t="shared" si="6"/>
        <v>3540000</v>
      </c>
      <c r="O55" s="95">
        <f>G55*('Pricing &amp; Assumptions'!$B$3-'Pricing &amp; Assumptions'!$B$9)*5</f>
        <v>14160000</v>
      </c>
      <c r="P55" s="89" t="s">
        <v>343</v>
      </c>
    </row>
    <row r="56">
      <c r="A56" s="89">
        <v>55.0</v>
      </c>
      <c r="B56" s="89" t="s">
        <v>235</v>
      </c>
      <c r="C56" s="89"/>
      <c r="D56" s="90">
        <v>500.0</v>
      </c>
      <c r="E56" s="91" t="s">
        <v>302</v>
      </c>
      <c r="F56" s="92">
        <v>0.5</v>
      </c>
      <c r="G56" s="95">
        <f t="shared" si="1"/>
        <v>250</v>
      </c>
      <c r="H56" s="96"/>
      <c r="I56" s="95">
        <f t="shared" si="2"/>
        <v>2213</v>
      </c>
      <c r="J56" s="95">
        <f>'Pricing &amp; Assumptions'!$B$9</f>
        <v>1180</v>
      </c>
      <c r="K56" s="95">
        <f t="shared" si="3"/>
        <v>553250</v>
      </c>
      <c r="L56" s="95">
        <f t="shared" si="4"/>
        <v>295000</v>
      </c>
      <c r="M56" s="95">
        <f t="shared" si="5"/>
        <v>258250</v>
      </c>
      <c r="N56" s="95">
        <f t="shared" si="6"/>
        <v>1291250</v>
      </c>
      <c r="O56" s="95">
        <f>G56*('Pricing &amp; Assumptions'!$B$3-'Pricing &amp; Assumptions'!$B$9)*5</f>
        <v>1475000</v>
      </c>
      <c r="P56" s="89" t="s">
        <v>343</v>
      </c>
    </row>
    <row r="57">
      <c r="A57" s="89">
        <v>56.0</v>
      </c>
      <c r="B57" s="89" t="s">
        <v>236</v>
      </c>
      <c r="C57" s="89"/>
      <c r="D57" s="90">
        <v>300.0</v>
      </c>
      <c r="E57" s="91" t="s">
        <v>302</v>
      </c>
      <c r="F57" s="92">
        <v>0.5</v>
      </c>
      <c r="G57" s="95">
        <f t="shared" si="1"/>
        <v>150</v>
      </c>
      <c r="H57" s="96"/>
      <c r="I57" s="95">
        <f t="shared" si="2"/>
        <v>2213</v>
      </c>
      <c r="J57" s="95">
        <f>'Pricing &amp; Assumptions'!$B$9</f>
        <v>1180</v>
      </c>
      <c r="K57" s="95">
        <f t="shared" si="3"/>
        <v>331950</v>
      </c>
      <c r="L57" s="95">
        <f t="shared" si="4"/>
        <v>177000</v>
      </c>
      <c r="M57" s="95">
        <f t="shared" si="5"/>
        <v>154950</v>
      </c>
      <c r="N57" s="95">
        <f t="shared" si="6"/>
        <v>774750</v>
      </c>
      <c r="O57" s="95">
        <f>G57*('Pricing &amp; Assumptions'!$B$3-'Pricing &amp; Assumptions'!$B$9)*5</f>
        <v>885000</v>
      </c>
      <c r="P57" s="89" t="s">
        <v>343</v>
      </c>
    </row>
    <row r="58">
      <c r="A58" s="89">
        <v>57.0</v>
      </c>
      <c r="B58" s="89" t="s">
        <v>237</v>
      </c>
      <c r="C58" s="89" t="s">
        <v>41</v>
      </c>
      <c r="D58" s="90">
        <v>250.0</v>
      </c>
      <c r="E58" s="91" t="s">
        <v>302</v>
      </c>
      <c r="F58" s="92">
        <v>0.5</v>
      </c>
      <c r="G58" s="95">
        <f t="shared" si="1"/>
        <v>125</v>
      </c>
      <c r="H58" s="96">
        <v>150.0</v>
      </c>
      <c r="I58" s="95">
        <f t="shared" si="2"/>
        <v>2213</v>
      </c>
      <c r="J58" s="95">
        <f>'Pricing &amp; Assumptions'!$B$9</f>
        <v>1180</v>
      </c>
      <c r="K58" s="95">
        <f t="shared" si="3"/>
        <v>276625</v>
      </c>
      <c r="L58" s="95">
        <f t="shared" si="4"/>
        <v>147500</v>
      </c>
      <c r="M58" s="95">
        <f t="shared" si="5"/>
        <v>129125</v>
      </c>
      <c r="N58" s="95">
        <f t="shared" si="6"/>
        <v>645625</v>
      </c>
      <c r="O58" s="95">
        <f>G58*('Pricing &amp; Assumptions'!$B$3-'Pricing &amp; Assumptions'!$B$9)*5</f>
        <v>737500</v>
      </c>
      <c r="P58" s="89" t="s">
        <v>343</v>
      </c>
    </row>
    <row r="59">
      <c r="A59" s="89">
        <v>58.0</v>
      </c>
      <c r="B59" s="89" t="s">
        <v>240</v>
      </c>
      <c r="C59" s="89"/>
      <c r="D59" s="90">
        <v>1200.0</v>
      </c>
      <c r="E59" s="91" t="s">
        <v>302</v>
      </c>
      <c r="F59" s="92">
        <v>0.5</v>
      </c>
      <c r="G59" s="95">
        <f t="shared" si="1"/>
        <v>600</v>
      </c>
      <c r="H59" s="96"/>
      <c r="I59" s="95">
        <f t="shared" si="2"/>
        <v>2065</v>
      </c>
      <c r="J59" s="95">
        <f>'Pricing &amp; Assumptions'!$B$9</f>
        <v>1180</v>
      </c>
      <c r="K59" s="95">
        <f t="shared" si="3"/>
        <v>1239000</v>
      </c>
      <c r="L59" s="95">
        <f t="shared" si="4"/>
        <v>708000</v>
      </c>
      <c r="M59" s="95">
        <f t="shared" si="5"/>
        <v>531000</v>
      </c>
      <c r="N59" s="95">
        <f t="shared" si="6"/>
        <v>2655000</v>
      </c>
      <c r="O59" s="95">
        <f>G59*('Pricing &amp; Assumptions'!$B$3-'Pricing &amp; Assumptions'!$B$9)*5</f>
        <v>3540000</v>
      </c>
      <c r="P59" s="89" t="s">
        <v>343</v>
      </c>
    </row>
    <row r="60">
      <c r="A60" s="89">
        <v>59.0</v>
      </c>
      <c r="B60" s="89" t="s">
        <v>241</v>
      </c>
      <c r="C60" s="89"/>
      <c r="D60" s="90">
        <v>1200.0</v>
      </c>
      <c r="E60" s="91" t="s">
        <v>302</v>
      </c>
      <c r="F60" s="92">
        <v>0.3</v>
      </c>
      <c r="G60" s="95">
        <f t="shared" si="1"/>
        <v>360</v>
      </c>
      <c r="H60" s="96"/>
      <c r="I60" s="95">
        <f t="shared" si="2"/>
        <v>2213</v>
      </c>
      <c r="J60" s="95">
        <f>'Pricing &amp; Assumptions'!$B$9</f>
        <v>1180</v>
      </c>
      <c r="K60" s="95">
        <f t="shared" si="3"/>
        <v>796680</v>
      </c>
      <c r="L60" s="95">
        <f t="shared" si="4"/>
        <v>424800</v>
      </c>
      <c r="M60" s="95">
        <f t="shared" si="5"/>
        <v>371880</v>
      </c>
      <c r="N60" s="95">
        <f t="shared" si="6"/>
        <v>1859400</v>
      </c>
      <c r="O60" s="95">
        <f>G60*('Pricing &amp; Assumptions'!$B$3-'Pricing &amp; Assumptions'!$B$9)*5</f>
        <v>2124000</v>
      </c>
      <c r="P60" s="89" t="s">
        <v>343</v>
      </c>
    </row>
    <row r="61">
      <c r="A61" s="89">
        <v>60.0</v>
      </c>
      <c r="B61" s="89" t="s">
        <v>242</v>
      </c>
      <c r="C61" s="89"/>
      <c r="D61" s="90">
        <v>100.0</v>
      </c>
      <c r="E61" s="91" t="s">
        <v>302</v>
      </c>
      <c r="F61" s="92">
        <v>0.5</v>
      </c>
      <c r="G61" s="95">
        <f t="shared" si="1"/>
        <v>50</v>
      </c>
      <c r="H61" s="96"/>
      <c r="I61" s="95">
        <f t="shared" si="2"/>
        <v>2950</v>
      </c>
      <c r="J61" s="95">
        <f>'Pricing &amp; Assumptions'!$B$9</f>
        <v>1180</v>
      </c>
      <c r="K61" s="95">
        <f t="shared" si="3"/>
        <v>147500</v>
      </c>
      <c r="L61" s="95">
        <f t="shared" si="4"/>
        <v>59000</v>
      </c>
      <c r="M61" s="95">
        <f t="shared" si="5"/>
        <v>88500</v>
      </c>
      <c r="N61" s="95">
        <f t="shared" si="6"/>
        <v>442500</v>
      </c>
      <c r="O61" s="95">
        <f>G61*('Pricing &amp; Assumptions'!$B$3-'Pricing &amp; Assumptions'!$B$9)*5</f>
        <v>295000</v>
      </c>
      <c r="P61" s="89" t="s">
        <v>343</v>
      </c>
    </row>
    <row r="62">
      <c r="A62" s="89">
        <v>61.0</v>
      </c>
      <c r="B62" s="89" t="s">
        <v>243</v>
      </c>
      <c r="C62" s="89"/>
      <c r="D62" s="90">
        <v>500.0</v>
      </c>
      <c r="E62" s="91" t="s">
        <v>302</v>
      </c>
      <c r="F62" s="92">
        <v>0.7</v>
      </c>
      <c r="G62" s="95">
        <f t="shared" si="1"/>
        <v>350</v>
      </c>
      <c r="H62" s="96"/>
      <c r="I62" s="95">
        <f t="shared" si="2"/>
        <v>2213</v>
      </c>
      <c r="J62" s="95">
        <f>'Pricing &amp; Assumptions'!$B$9</f>
        <v>1180</v>
      </c>
      <c r="K62" s="95">
        <f t="shared" si="3"/>
        <v>774550</v>
      </c>
      <c r="L62" s="95">
        <f t="shared" si="4"/>
        <v>413000</v>
      </c>
      <c r="M62" s="95">
        <f t="shared" si="5"/>
        <v>361550</v>
      </c>
      <c r="N62" s="95">
        <f t="shared" si="6"/>
        <v>1807750</v>
      </c>
      <c r="O62" s="95">
        <f>G62*('Pricing &amp; Assumptions'!$B$3-'Pricing &amp; Assumptions'!$B$9)*5</f>
        <v>2065000</v>
      </c>
      <c r="P62" s="89" t="s">
        <v>343</v>
      </c>
    </row>
    <row r="63">
      <c r="A63" s="89">
        <v>62.0</v>
      </c>
      <c r="B63" s="89" t="s">
        <v>244</v>
      </c>
      <c r="C63" s="89"/>
      <c r="D63" s="90">
        <v>100.0</v>
      </c>
      <c r="E63" s="91" t="s">
        <v>302</v>
      </c>
      <c r="F63" s="92">
        <v>0.7</v>
      </c>
      <c r="G63" s="95">
        <f t="shared" si="1"/>
        <v>70</v>
      </c>
      <c r="H63" s="96"/>
      <c r="I63" s="95">
        <f t="shared" si="2"/>
        <v>2950</v>
      </c>
      <c r="J63" s="95">
        <f>'Pricing &amp; Assumptions'!$B$9</f>
        <v>1180</v>
      </c>
      <c r="K63" s="95">
        <f t="shared" si="3"/>
        <v>206500</v>
      </c>
      <c r="L63" s="95">
        <f t="shared" si="4"/>
        <v>82600</v>
      </c>
      <c r="M63" s="95">
        <f t="shared" si="5"/>
        <v>123900</v>
      </c>
      <c r="N63" s="95">
        <f t="shared" si="6"/>
        <v>619500</v>
      </c>
      <c r="O63" s="95">
        <f>G63*('Pricing &amp; Assumptions'!$B$3-'Pricing &amp; Assumptions'!$B$9)*5</f>
        <v>413000</v>
      </c>
      <c r="P63" s="89" t="s">
        <v>343</v>
      </c>
    </row>
    <row r="64">
      <c r="A64" s="89">
        <v>63.0</v>
      </c>
      <c r="B64" s="89" t="s">
        <v>245</v>
      </c>
      <c r="C64" s="89"/>
      <c r="D64" s="90">
        <v>700.0</v>
      </c>
      <c r="E64" s="91" t="s">
        <v>302</v>
      </c>
      <c r="F64" s="92">
        <v>0.5</v>
      </c>
      <c r="G64" s="95">
        <f t="shared" si="1"/>
        <v>350</v>
      </c>
      <c r="H64" s="96"/>
      <c r="I64" s="95">
        <f t="shared" si="2"/>
        <v>2213</v>
      </c>
      <c r="J64" s="95">
        <f>'Pricing &amp; Assumptions'!$B$9</f>
        <v>1180</v>
      </c>
      <c r="K64" s="95">
        <f t="shared" si="3"/>
        <v>774550</v>
      </c>
      <c r="L64" s="95">
        <f t="shared" si="4"/>
        <v>413000</v>
      </c>
      <c r="M64" s="95">
        <f t="shared" si="5"/>
        <v>361550</v>
      </c>
      <c r="N64" s="95">
        <f t="shared" si="6"/>
        <v>1807750</v>
      </c>
      <c r="O64" s="95">
        <f>G64*('Pricing &amp; Assumptions'!$B$3-'Pricing &amp; Assumptions'!$B$9)*5</f>
        <v>2065000</v>
      </c>
      <c r="P64" s="89" t="s">
        <v>343</v>
      </c>
    </row>
    <row r="65">
      <c r="A65" s="89">
        <v>64.0</v>
      </c>
      <c r="B65" s="89" t="s">
        <v>246</v>
      </c>
      <c r="C65" s="89"/>
      <c r="D65" s="90">
        <v>200.0</v>
      </c>
      <c r="E65" s="91" t="s">
        <v>302</v>
      </c>
      <c r="F65" s="92">
        <v>0.7</v>
      </c>
      <c r="G65" s="95">
        <f t="shared" si="1"/>
        <v>140</v>
      </c>
      <c r="H65" s="96"/>
      <c r="I65" s="95">
        <f t="shared" si="2"/>
        <v>2213</v>
      </c>
      <c r="J65" s="95">
        <f>'Pricing &amp; Assumptions'!$B$9</f>
        <v>1180</v>
      </c>
      <c r="K65" s="95">
        <f t="shared" si="3"/>
        <v>309820</v>
      </c>
      <c r="L65" s="95">
        <f t="shared" si="4"/>
        <v>165200</v>
      </c>
      <c r="M65" s="95">
        <f t="shared" si="5"/>
        <v>144620</v>
      </c>
      <c r="N65" s="95">
        <f t="shared" si="6"/>
        <v>723100</v>
      </c>
      <c r="O65" s="95">
        <f>G65*('Pricing &amp; Assumptions'!$B$3-'Pricing &amp; Assumptions'!$B$9)*5</f>
        <v>826000</v>
      </c>
      <c r="P65" s="89" t="s">
        <v>343</v>
      </c>
    </row>
    <row r="66">
      <c r="A66" s="89">
        <v>65.0</v>
      </c>
      <c r="B66" s="89" t="s">
        <v>247</v>
      </c>
      <c r="C66" s="89"/>
      <c r="D66" s="90">
        <v>300.0</v>
      </c>
      <c r="E66" s="91" t="s">
        <v>302</v>
      </c>
      <c r="F66" s="92">
        <v>0.5</v>
      </c>
      <c r="G66" s="95">
        <f t="shared" si="1"/>
        <v>150</v>
      </c>
      <c r="H66" s="96"/>
      <c r="I66" s="95">
        <f t="shared" si="2"/>
        <v>2213</v>
      </c>
      <c r="J66" s="95">
        <f>'Pricing &amp; Assumptions'!$B$9</f>
        <v>1180</v>
      </c>
      <c r="K66" s="95">
        <f t="shared" si="3"/>
        <v>331950</v>
      </c>
      <c r="L66" s="95">
        <f t="shared" si="4"/>
        <v>177000</v>
      </c>
      <c r="M66" s="95">
        <f t="shared" si="5"/>
        <v>154950</v>
      </c>
      <c r="N66" s="95">
        <f t="shared" si="6"/>
        <v>774750</v>
      </c>
      <c r="O66" s="95">
        <f>G66*('Pricing &amp; Assumptions'!$B$3-'Pricing &amp; Assumptions'!$B$9)*5</f>
        <v>885000</v>
      </c>
      <c r="P66" s="89" t="s">
        <v>343</v>
      </c>
    </row>
    <row r="67">
      <c r="A67" s="89">
        <v>66.0</v>
      </c>
      <c r="B67" s="89" t="s">
        <v>248</v>
      </c>
      <c r="C67" s="89" t="s">
        <v>10</v>
      </c>
      <c r="D67" s="90">
        <v>800.0</v>
      </c>
      <c r="E67" s="91" t="s">
        <v>302</v>
      </c>
      <c r="F67" s="92">
        <v>0.5</v>
      </c>
      <c r="G67" s="95">
        <f t="shared" si="1"/>
        <v>400</v>
      </c>
      <c r="H67" s="96"/>
      <c r="I67" s="95">
        <f t="shared" si="2"/>
        <v>2213</v>
      </c>
      <c r="J67" s="95">
        <f>'Pricing &amp; Assumptions'!$B$9</f>
        <v>1180</v>
      </c>
      <c r="K67" s="95">
        <f t="shared" si="3"/>
        <v>885200</v>
      </c>
      <c r="L67" s="95">
        <f t="shared" si="4"/>
        <v>472000</v>
      </c>
      <c r="M67" s="95">
        <f t="shared" si="5"/>
        <v>413200</v>
      </c>
      <c r="N67" s="95">
        <f t="shared" si="6"/>
        <v>2066000</v>
      </c>
      <c r="O67" s="95">
        <f>G67*('Pricing &amp; Assumptions'!$B$3-'Pricing &amp; Assumptions'!$B$9)*5</f>
        <v>2360000</v>
      </c>
      <c r="P67" s="89" t="s">
        <v>343</v>
      </c>
    </row>
    <row r="68">
      <c r="A68" s="89">
        <v>67.0</v>
      </c>
      <c r="B68" s="89" t="s">
        <v>249</v>
      </c>
      <c r="C68" s="89"/>
      <c r="D68" s="90">
        <v>250.0</v>
      </c>
      <c r="E68" s="91" t="s">
        <v>302</v>
      </c>
      <c r="F68" s="92">
        <v>0.7</v>
      </c>
      <c r="G68" s="95">
        <f t="shared" si="1"/>
        <v>175</v>
      </c>
      <c r="H68" s="96"/>
      <c r="I68" s="95">
        <f t="shared" si="2"/>
        <v>2213</v>
      </c>
      <c r="J68" s="95">
        <f>'Pricing &amp; Assumptions'!$B$9</f>
        <v>1180</v>
      </c>
      <c r="K68" s="95">
        <f t="shared" si="3"/>
        <v>387275</v>
      </c>
      <c r="L68" s="95">
        <f t="shared" si="4"/>
        <v>206500</v>
      </c>
      <c r="M68" s="95">
        <f t="shared" si="5"/>
        <v>180775</v>
      </c>
      <c r="N68" s="95">
        <f t="shared" si="6"/>
        <v>903875</v>
      </c>
      <c r="O68" s="95">
        <f>G68*('Pricing &amp; Assumptions'!$B$3-'Pricing &amp; Assumptions'!$B$9)*5</f>
        <v>1032500</v>
      </c>
      <c r="P68" s="89" t="s">
        <v>343</v>
      </c>
    </row>
    <row r="69">
      <c r="A69" s="89">
        <v>68.0</v>
      </c>
      <c r="B69" s="89" t="s">
        <v>250</v>
      </c>
      <c r="C69" s="89"/>
      <c r="D69" s="90">
        <v>500.0</v>
      </c>
      <c r="E69" s="91" t="s">
        <v>302</v>
      </c>
      <c r="F69" s="92">
        <v>0.5</v>
      </c>
      <c r="G69" s="95">
        <f t="shared" si="1"/>
        <v>250</v>
      </c>
      <c r="H69" s="96"/>
      <c r="I69" s="95">
        <f t="shared" si="2"/>
        <v>2213</v>
      </c>
      <c r="J69" s="95">
        <f>'Pricing &amp; Assumptions'!$B$9</f>
        <v>1180</v>
      </c>
      <c r="K69" s="95">
        <f t="shared" si="3"/>
        <v>553250</v>
      </c>
      <c r="L69" s="95">
        <f t="shared" si="4"/>
        <v>295000</v>
      </c>
      <c r="M69" s="95">
        <f t="shared" si="5"/>
        <v>258250</v>
      </c>
      <c r="N69" s="95">
        <f t="shared" si="6"/>
        <v>1291250</v>
      </c>
      <c r="O69" s="95">
        <f>G69*('Pricing &amp; Assumptions'!$B$3-'Pricing &amp; Assumptions'!$B$9)*5</f>
        <v>1475000</v>
      </c>
      <c r="P69" s="89" t="s">
        <v>343</v>
      </c>
    </row>
    <row r="70">
      <c r="A70" s="89">
        <v>69.0</v>
      </c>
      <c r="B70" s="89" t="s">
        <v>251</v>
      </c>
      <c r="C70" s="89"/>
      <c r="D70" s="90">
        <v>400.0</v>
      </c>
      <c r="E70" s="91" t="s">
        <v>302</v>
      </c>
      <c r="F70" s="92">
        <v>0.5</v>
      </c>
      <c r="G70" s="95">
        <f t="shared" si="1"/>
        <v>200</v>
      </c>
      <c r="H70" s="96"/>
      <c r="I70" s="95">
        <f t="shared" si="2"/>
        <v>2213</v>
      </c>
      <c r="J70" s="95">
        <f>'Pricing &amp; Assumptions'!$B$9</f>
        <v>1180</v>
      </c>
      <c r="K70" s="95">
        <f t="shared" si="3"/>
        <v>442600</v>
      </c>
      <c r="L70" s="95">
        <f t="shared" si="4"/>
        <v>236000</v>
      </c>
      <c r="M70" s="95">
        <f t="shared" si="5"/>
        <v>206600</v>
      </c>
      <c r="N70" s="95">
        <f t="shared" si="6"/>
        <v>1033000</v>
      </c>
      <c r="O70" s="95">
        <f>G70*('Pricing &amp; Assumptions'!$B$3-'Pricing &amp; Assumptions'!$B$9)*5</f>
        <v>1180000</v>
      </c>
      <c r="P70" s="89" t="s">
        <v>343</v>
      </c>
    </row>
    <row r="71">
      <c r="A71" s="89">
        <v>70.0</v>
      </c>
      <c r="B71" s="89" t="s">
        <v>252</v>
      </c>
      <c r="C71" s="89" t="s">
        <v>41</v>
      </c>
      <c r="D71" s="90">
        <v>1500.0</v>
      </c>
      <c r="E71" s="91" t="s">
        <v>302</v>
      </c>
      <c r="F71" s="92">
        <v>0.5</v>
      </c>
      <c r="G71" s="95">
        <f t="shared" si="1"/>
        <v>750</v>
      </c>
      <c r="H71" s="96">
        <v>30.0</v>
      </c>
      <c r="I71" s="95">
        <f t="shared" si="2"/>
        <v>2065</v>
      </c>
      <c r="J71" s="95">
        <f>'Pricing &amp; Assumptions'!$B$9</f>
        <v>1180</v>
      </c>
      <c r="K71" s="95">
        <f t="shared" si="3"/>
        <v>1548750</v>
      </c>
      <c r="L71" s="95">
        <f t="shared" si="4"/>
        <v>885000</v>
      </c>
      <c r="M71" s="95">
        <f t="shared" si="5"/>
        <v>663750</v>
      </c>
      <c r="N71" s="95">
        <f t="shared" si="6"/>
        <v>3318750</v>
      </c>
      <c r="O71" s="95">
        <f>G71*('Pricing &amp; Assumptions'!$B$3-'Pricing &amp; Assumptions'!$B$9)*5</f>
        <v>4425000</v>
      </c>
      <c r="P71" s="89" t="s">
        <v>343</v>
      </c>
    </row>
    <row r="72">
      <c r="A72" s="89">
        <v>71.0</v>
      </c>
      <c r="B72" s="89" t="s">
        <v>255</v>
      </c>
      <c r="C72" s="89"/>
      <c r="D72" s="90">
        <v>400.0</v>
      </c>
      <c r="E72" s="91" t="s">
        <v>302</v>
      </c>
      <c r="F72" s="92">
        <v>0.5</v>
      </c>
      <c r="G72" s="95">
        <f t="shared" si="1"/>
        <v>200</v>
      </c>
      <c r="H72" s="96"/>
      <c r="I72" s="95">
        <f t="shared" si="2"/>
        <v>2213</v>
      </c>
      <c r="J72" s="95">
        <f>'Pricing &amp; Assumptions'!$B$9</f>
        <v>1180</v>
      </c>
      <c r="K72" s="95">
        <f t="shared" si="3"/>
        <v>442600</v>
      </c>
      <c r="L72" s="95">
        <f t="shared" si="4"/>
        <v>236000</v>
      </c>
      <c r="M72" s="95">
        <f t="shared" si="5"/>
        <v>206600</v>
      </c>
      <c r="N72" s="95">
        <f t="shared" si="6"/>
        <v>1033000</v>
      </c>
      <c r="O72" s="95">
        <f>G72*('Pricing &amp; Assumptions'!$B$3-'Pricing &amp; Assumptions'!$B$9)*5</f>
        <v>1180000</v>
      </c>
      <c r="P72" s="89" t="s">
        <v>343</v>
      </c>
    </row>
    <row r="73">
      <c r="A73" s="89">
        <v>72.0</v>
      </c>
      <c r="B73" s="89" t="s">
        <v>256</v>
      </c>
      <c r="C73" s="89"/>
      <c r="D73" s="90">
        <v>300.0</v>
      </c>
      <c r="E73" s="91" t="s">
        <v>302</v>
      </c>
      <c r="F73" s="92">
        <v>0.5</v>
      </c>
      <c r="G73" s="95">
        <f t="shared" si="1"/>
        <v>150</v>
      </c>
      <c r="H73" s="96"/>
      <c r="I73" s="95">
        <f t="shared" si="2"/>
        <v>2213</v>
      </c>
      <c r="J73" s="95">
        <f>'Pricing &amp; Assumptions'!$B$9</f>
        <v>1180</v>
      </c>
      <c r="K73" s="95">
        <f t="shared" si="3"/>
        <v>331950</v>
      </c>
      <c r="L73" s="95">
        <f t="shared" si="4"/>
        <v>177000</v>
      </c>
      <c r="M73" s="95">
        <f t="shared" si="5"/>
        <v>154950</v>
      </c>
      <c r="N73" s="95">
        <f t="shared" si="6"/>
        <v>774750</v>
      </c>
      <c r="O73" s="95">
        <f>G73*('Pricing &amp; Assumptions'!$B$3-'Pricing &amp; Assumptions'!$B$9)*5</f>
        <v>885000</v>
      </c>
      <c r="P73" s="89" t="s">
        <v>343</v>
      </c>
    </row>
    <row r="74">
      <c r="A74" s="89">
        <v>73.0</v>
      </c>
      <c r="B74" s="89" t="s">
        <v>257</v>
      </c>
      <c r="C74" s="89"/>
      <c r="D74" s="90">
        <v>1000.0</v>
      </c>
      <c r="E74" s="91" t="s">
        <v>302</v>
      </c>
      <c r="F74" s="92">
        <v>0.5</v>
      </c>
      <c r="G74" s="95">
        <f t="shared" si="1"/>
        <v>500</v>
      </c>
      <c r="H74" s="96"/>
      <c r="I74" s="95">
        <f t="shared" si="2"/>
        <v>2065</v>
      </c>
      <c r="J74" s="95">
        <f>'Pricing &amp; Assumptions'!$B$9</f>
        <v>1180</v>
      </c>
      <c r="K74" s="95">
        <f t="shared" si="3"/>
        <v>1032500</v>
      </c>
      <c r="L74" s="95">
        <f t="shared" si="4"/>
        <v>590000</v>
      </c>
      <c r="M74" s="95">
        <f t="shared" si="5"/>
        <v>442500</v>
      </c>
      <c r="N74" s="95">
        <f t="shared" si="6"/>
        <v>2212500</v>
      </c>
      <c r="O74" s="95">
        <f>G74*('Pricing &amp; Assumptions'!$B$3-'Pricing &amp; Assumptions'!$B$9)*5</f>
        <v>2950000</v>
      </c>
      <c r="P74" s="89" t="s">
        <v>343</v>
      </c>
    </row>
    <row r="75">
      <c r="A75" s="89">
        <v>74.0</v>
      </c>
      <c r="B75" s="89" t="s">
        <v>258</v>
      </c>
      <c r="C75" s="89" t="s">
        <v>41</v>
      </c>
      <c r="D75" s="106">
        <v>5015.0</v>
      </c>
      <c r="E75" s="91" t="s">
        <v>365</v>
      </c>
      <c r="F75" s="92">
        <v>0.5</v>
      </c>
      <c r="G75" s="95">
        <f t="shared" si="1"/>
        <v>2508</v>
      </c>
      <c r="H75" s="96">
        <v>1000.0</v>
      </c>
      <c r="I75" s="95">
        <f t="shared" si="2"/>
        <v>1475</v>
      </c>
      <c r="J75" s="95">
        <f>'Pricing &amp; Assumptions'!$B$9</f>
        <v>1180</v>
      </c>
      <c r="K75" s="95">
        <f t="shared" si="3"/>
        <v>3699300</v>
      </c>
      <c r="L75" s="95">
        <f t="shared" si="4"/>
        <v>2959440</v>
      </c>
      <c r="M75" s="95">
        <f t="shared" si="5"/>
        <v>739860</v>
      </c>
      <c r="N75" s="95">
        <f t="shared" si="6"/>
        <v>3699300</v>
      </c>
      <c r="O75" s="95">
        <f>G75*('Pricing &amp; Assumptions'!$B$3-'Pricing &amp; Assumptions'!$B$9)*5</f>
        <v>14797200</v>
      </c>
      <c r="P75" s="89" t="s">
        <v>366</v>
      </c>
    </row>
    <row r="76">
      <c r="A76" s="89">
        <v>75.0</v>
      </c>
      <c r="B76" s="89" t="s">
        <v>261</v>
      </c>
      <c r="C76" s="89"/>
      <c r="D76" s="90">
        <v>700.0</v>
      </c>
      <c r="E76" s="91" t="s">
        <v>302</v>
      </c>
      <c r="F76" s="92">
        <v>0.5</v>
      </c>
      <c r="G76" s="95">
        <f t="shared" si="1"/>
        <v>350</v>
      </c>
      <c r="H76" s="96"/>
      <c r="I76" s="95">
        <f t="shared" si="2"/>
        <v>2213</v>
      </c>
      <c r="J76" s="95">
        <f>'Pricing &amp; Assumptions'!$B$9</f>
        <v>1180</v>
      </c>
      <c r="K76" s="95">
        <f t="shared" si="3"/>
        <v>774550</v>
      </c>
      <c r="L76" s="95">
        <f t="shared" si="4"/>
        <v>413000</v>
      </c>
      <c r="M76" s="95">
        <f t="shared" si="5"/>
        <v>361550</v>
      </c>
      <c r="N76" s="95">
        <f t="shared" si="6"/>
        <v>1807750</v>
      </c>
      <c r="O76" s="95">
        <f>G76*('Pricing &amp; Assumptions'!$B$3-'Pricing &amp; Assumptions'!$B$9)*5</f>
        <v>2065000</v>
      </c>
      <c r="P76" s="89" t="s">
        <v>343</v>
      </c>
    </row>
    <row r="77">
      <c r="A77" s="89">
        <v>76.0</v>
      </c>
      <c r="B77" s="89" t="s">
        <v>262</v>
      </c>
      <c r="C77" s="89"/>
      <c r="D77" s="90">
        <v>4000.0</v>
      </c>
      <c r="E77" s="91" t="s">
        <v>302</v>
      </c>
      <c r="F77" s="92">
        <v>0.3</v>
      </c>
      <c r="G77" s="95">
        <f t="shared" si="1"/>
        <v>1200</v>
      </c>
      <c r="H77" s="96"/>
      <c r="I77" s="95">
        <f t="shared" si="2"/>
        <v>1770</v>
      </c>
      <c r="J77" s="95">
        <f>'Pricing &amp; Assumptions'!$B$9</f>
        <v>1180</v>
      </c>
      <c r="K77" s="95">
        <f t="shared" si="3"/>
        <v>2124000</v>
      </c>
      <c r="L77" s="95">
        <f t="shared" si="4"/>
        <v>1416000</v>
      </c>
      <c r="M77" s="95">
        <f t="shared" si="5"/>
        <v>708000</v>
      </c>
      <c r="N77" s="95">
        <f t="shared" si="6"/>
        <v>3540000</v>
      </c>
      <c r="O77" s="95">
        <f>G77*('Pricing &amp; Assumptions'!$B$3-'Pricing &amp; Assumptions'!$B$9)*5</f>
        <v>7080000</v>
      </c>
      <c r="P77" s="89" t="s">
        <v>343</v>
      </c>
    </row>
    <row r="78">
      <c r="A78" s="89">
        <v>77.0</v>
      </c>
      <c r="B78" s="89" t="s">
        <v>263</v>
      </c>
      <c r="C78" s="89"/>
      <c r="D78" s="90">
        <v>100.0</v>
      </c>
      <c r="E78" s="91" t="s">
        <v>302</v>
      </c>
      <c r="F78" s="92">
        <v>0.5</v>
      </c>
      <c r="G78" s="95">
        <f t="shared" si="1"/>
        <v>50</v>
      </c>
      <c r="H78" s="96"/>
      <c r="I78" s="95">
        <f t="shared" si="2"/>
        <v>2950</v>
      </c>
      <c r="J78" s="95">
        <f>'Pricing &amp; Assumptions'!$B$9</f>
        <v>1180</v>
      </c>
      <c r="K78" s="95">
        <f t="shared" si="3"/>
        <v>147500</v>
      </c>
      <c r="L78" s="95">
        <f t="shared" si="4"/>
        <v>59000</v>
      </c>
      <c r="M78" s="95">
        <f t="shared" si="5"/>
        <v>88500</v>
      </c>
      <c r="N78" s="95">
        <f t="shared" si="6"/>
        <v>442500</v>
      </c>
      <c r="O78" s="95">
        <f>G78*('Pricing &amp; Assumptions'!$B$3-'Pricing &amp; Assumptions'!$B$9)*5</f>
        <v>295000</v>
      </c>
      <c r="P78" s="89" t="s">
        <v>343</v>
      </c>
    </row>
    <row r="79">
      <c r="A79" s="89">
        <v>78.0</v>
      </c>
      <c r="B79" s="89" t="s">
        <v>264</v>
      </c>
      <c r="C79" s="89" t="s">
        <v>10</v>
      </c>
      <c r="D79" s="90">
        <v>250.0</v>
      </c>
      <c r="E79" s="91" t="s">
        <v>302</v>
      </c>
      <c r="F79" s="92">
        <v>0.7</v>
      </c>
      <c r="G79" s="95">
        <f t="shared" si="1"/>
        <v>175</v>
      </c>
      <c r="H79" s="96"/>
      <c r="I79" s="95">
        <f t="shared" si="2"/>
        <v>2213</v>
      </c>
      <c r="J79" s="95">
        <f>'Pricing &amp; Assumptions'!$B$9</f>
        <v>1180</v>
      </c>
      <c r="K79" s="95">
        <f t="shared" si="3"/>
        <v>387275</v>
      </c>
      <c r="L79" s="95">
        <f t="shared" si="4"/>
        <v>206500</v>
      </c>
      <c r="M79" s="95">
        <f t="shared" si="5"/>
        <v>180775</v>
      </c>
      <c r="N79" s="95">
        <f t="shared" si="6"/>
        <v>903875</v>
      </c>
      <c r="O79" s="95">
        <f>G79*('Pricing &amp; Assumptions'!$B$3-'Pricing &amp; Assumptions'!$B$9)*5</f>
        <v>1032500</v>
      </c>
      <c r="P79" s="89" t="s">
        <v>343</v>
      </c>
    </row>
    <row r="80">
      <c r="A80" s="89">
        <v>79.0</v>
      </c>
      <c r="B80" s="89" t="s">
        <v>265</v>
      </c>
      <c r="C80" s="89" t="s">
        <v>233</v>
      </c>
      <c r="D80" s="90">
        <v>300.0</v>
      </c>
      <c r="E80" s="91" t="s">
        <v>302</v>
      </c>
      <c r="F80" s="92">
        <v>0.7</v>
      </c>
      <c r="G80" s="95">
        <f t="shared" si="1"/>
        <v>210</v>
      </c>
      <c r="H80" s="96"/>
      <c r="I80" s="95">
        <f t="shared" si="2"/>
        <v>2213</v>
      </c>
      <c r="J80" s="95">
        <f>'Pricing &amp; Assumptions'!$B$9</f>
        <v>1180</v>
      </c>
      <c r="K80" s="95">
        <f t="shared" si="3"/>
        <v>464730</v>
      </c>
      <c r="L80" s="95">
        <f t="shared" si="4"/>
        <v>247800</v>
      </c>
      <c r="M80" s="95">
        <f t="shared" si="5"/>
        <v>216930</v>
      </c>
      <c r="N80" s="95">
        <f t="shared" si="6"/>
        <v>1084650</v>
      </c>
      <c r="O80" s="95">
        <f>G80*('Pricing &amp; Assumptions'!$B$3-'Pricing &amp; Assumptions'!$B$9)*5</f>
        <v>1239000</v>
      </c>
      <c r="P80" s="89" t="s">
        <v>343</v>
      </c>
    </row>
    <row r="81">
      <c r="A81" s="89">
        <v>80.0</v>
      </c>
      <c r="B81" s="89" t="s">
        <v>266</v>
      </c>
      <c r="C81" s="89"/>
      <c r="D81" s="90">
        <v>400.0</v>
      </c>
      <c r="E81" s="91" t="s">
        <v>302</v>
      </c>
      <c r="F81" s="92">
        <v>0.7</v>
      </c>
      <c r="G81" s="95">
        <f t="shared" si="1"/>
        <v>280</v>
      </c>
      <c r="H81" s="96"/>
      <c r="I81" s="95">
        <f t="shared" si="2"/>
        <v>2213</v>
      </c>
      <c r="J81" s="95">
        <f>'Pricing &amp; Assumptions'!$B$9</f>
        <v>1180</v>
      </c>
      <c r="K81" s="95">
        <f t="shared" si="3"/>
        <v>619640</v>
      </c>
      <c r="L81" s="95">
        <f t="shared" si="4"/>
        <v>330400</v>
      </c>
      <c r="M81" s="95">
        <f t="shared" si="5"/>
        <v>289240</v>
      </c>
      <c r="N81" s="95">
        <f t="shared" si="6"/>
        <v>1446200</v>
      </c>
      <c r="O81" s="95">
        <f>G81*('Pricing &amp; Assumptions'!$B$3-'Pricing &amp; Assumptions'!$B$9)*5</f>
        <v>1652000</v>
      </c>
      <c r="P81" s="89" t="s">
        <v>343</v>
      </c>
    </row>
    <row r="82">
      <c r="A82" s="89">
        <v>81.0</v>
      </c>
      <c r="B82" s="89" t="s">
        <v>267</v>
      </c>
      <c r="C82" s="89"/>
      <c r="D82" s="90">
        <v>350.0</v>
      </c>
      <c r="E82" s="91" t="s">
        <v>302</v>
      </c>
      <c r="F82" s="92">
        <v>0.7</v>
      </c>
      <c r="G82" s="95">
        <f t="shared" si="1"/>
        <v>245</v>
      </c>
      <c r="H82" s="96"/>
      <c r="I82" s="95">
        <f t="shared" si="2"/>
        <v>2213</v>
      </c>
      <c r="J82" s="95">
        <f>'Pricing &amp; Assumptions'!$B$9</f>
        <v>1180</v>
      </c>
      <c r="K82" s="95">
        <f t="shared" si="3"/>
        <v>542185</v>
      </c>
      <c r="L82" s="95">
        <f t="shared" si="4"/>
        <v>289100</v>
      </c>
      <c r="M82" s="95">
        <f t="shared" si="5"/>
        <v>253085</v>
      </c>
      <c r="N82" s="95">
        <f t="shared" si="6"/>
        <v>1265425</v>
      </c>
      <c r="O82" s="95">
        <f>G82*('Pricing &amp; Assumptions'!$B$3-'Pricing &amp; Assumptions'!$B$9)*5</f>
        <v>1445500</v>
      </c>
      <c r="P82" s="89" t="s">
        <v>343</v>
      </c>
    </row>
    <row r="83">
      <c r="A83" s="89">
        <v>82.0</v>
      </c>
      <c r="B83" s="89" t="s">
        <v>268</v>
      </c>
      <c r="C83" s="89"/>
      <c r="D83" s="90">
        <v>350.0</v>
      </c>
      <c r="E83" s="91" t="s">
        <v>302</v>
      </c>
      <c r="F83" s="92">
        <v>0.7</v>
      </c>
      <c r="G83" s="95">
        <f t="shared" si="1"/>
        <v>245</v>
      </c>
      <c r="H83" s="96"/>
      <c r="I83" s="95">
        <f t="shared" si="2"/>
        <v>2213</v>
      </c>
      <c r="J83" s="95">
        <f>'Pricing &amp; Assumptions'!$B$9</f>
        <v>1180</v>
      </c>
      <c r="K83" s="95">
        <f t="shared" si="3"/>
        <v>542185</v>
      </c>
      <c r="L83" s="95">
        <f t="shared" si="4"/>
        <v>289100</v>
      </c>
      <c r="M83" s="95">
        <f t="shared" si="5"/>
        <v>253085</v>
      </c>
      <c r="N83" s="95">
        <f t="shared" si="6"/>
        <v>1265425</v>
      </c>
      <c r="O83" s="95">
        <f>G83*('Pricing &amp; Assumptions'!$B$3-'Pricing &amp; Assumptions'!$B$9)*5</f>
        <v>1445500</v>
      </c>
      <c r="P83" s="89" t="s">
        <v>343</v>
      </c>
    </row>
    <row r="84">
      <c r="A84" s="89">
        <v>83.0</v>
      </c>
      <c r="B84" s="89" t="s">
        <v>269</v>
      </c>
      <c r="C84" s="89"/>
      <c r="D84" s="90">
        <v>250.0</v>
      </c>
      <c r="E84" s="91" t="s">
        <v>302</v>
      </c>
      <c r="F84" s="92">
        <v>0.7</v>
      </c>
      <c r="G84" s="95">
        <f t="shared" si="1"/>
        <v>175</v>
      </c>
      <c r="H84" s="96"/>
      <c r="I84" s="95">
        <f t="shared" si="2"/>
        <v>2213</v>
      </c>
      <c r="J84" s="95">
        <f>'Pricing &amp; Assumptions'!$B$9</f>
        <v>1180</v>
      </c>
      <c r="K84" s="95">
        <f t="shared" si="3"/>
        <v>387275</v>
      </c>
      <c r="L84" s="95">
        <f t="shared" si="4"/>
        <v>206500</v>
      </c>
      <c r="M84" s="95">
        <f t="shared" si="5"/>
        <v>180775</v>
      </c>
      <c r="N84" s="95">
        <f t="shared" si="6"/>
        <v>903875</v>
      </c>
      <c r="O84" s="95">
        <f>G84*('Pricing &amp; Assumptions'!$B$3-'Pricing &amp; Assumptions'!$B$9)*5</f>
        <v>1032500</v>
      </c>
      <c r="P84" s="89" t="s">
        <v>343</v>
      </c>
    </row>
    <row r="85">
      <c r="A85" s="89">
        <v>84.0</v>
      </c>
      <c r="B85" s="89" t="s">
        <v>270</v>
      </c>
      <c r="C85" s="89"/>
      <c r="D85" s="90">
        <v>700.0</v>
      </c>
      <c r="E85" s="91" t="s">
        <v>302</v>
      </c>
      <c r="F85" s="92">
        <v>0.5</v>
      </c>
      <c r="G85" s="95">
        <f t="shared" si="1"/>
        <v>350</v>
      </c>
      <c r="H85" s="96"/>
      <c r="I85" s="95">
        <f t="shared" si="2"/>
        <v>2213</v>
      </c>
      <c r="J85" s="95">
        <f>'Pricing &amp; Assumptions'!$B$9</f>
        <v>1180</v>
      </c>
      <c r="K85" s="95">
        <f t="shared" si="3"/>
        <v>774550</v>
      </c>
      <c r="L85" s="95">
        <f t="shared" si="4"/>
        <v>413000</v>
      </c>
      <c r="M85" s="95">
        <f t="shared" si="5"/>
        <v>361550</v>
      </c>
      <c r="N85" s="95">
        <f t="shared" si="6"/>
        <v>1807750</v>
      </c>
      <c r="O85" s="95">
        <f>G85*('Pricing &amp; Assumptions'!$B$3-'Pricing &amp; Assumptions'!$B$9)*5</f>
        <v>2065000</v>
      </c>
      <c r="P85" s="89" t="s">
        <v>343</v>
      </c>
    </row>
    <row r="86">
      <c r="A86" s="89">
        <v>85.0</v>
      </c>
      <c r="B86" s="89" t="s">
        <v>271</v>
      </c>
      <c r="C86" s="89"/>
      <c r="D86" s="90">
        <v>100.0</v>
      </c>
      <c r="E86" s="91" t="s">
        <v>302</v>
      </c>
      <c r="F86" s="92">
        <v>0.5</v>
      </c>
      <c r="G86" s="95">
        <f t="shared" si="1"/>
        <v>50</v>
      </c>
      <c r="H86" s="96"/>
      <c r="I86" s="95">
        <f t="shared" si="2"/>
        <v>2950</v>
      </c>
      <c r="J86" s="95">
        <f>'Pricing &amp; Assumptions'!$B$9</f>
        <v>1180</v>
      </c>
      <c r="K86" s="95">
        <f t="shared" si="3"/>
        <v>147500</v>
      </c>
      <c r="L86" s="95">
        <f t="shared" si="4"/>
        <v>59000</v>
      </c>
      <c r="M86" s="95">
        <f t="shared" si="5"/>
        <v>88500</v>
      </c>
      <c r="N86" s="95">
        <f t="shared" si="6"/>
        <v>442500</v>
      </c>
      <c r="O86" s="95">
        <f>G86*('Pricing &amp; Assumptions'!$B$3-'Pricing &amp; Assumptions'!$B$9)*5</f>
        <v>295000</v>
      </c>
      <c r="P86" s="89" t="s">
        <v>343</v>
      </c>
    </row>
    <row r="87">
      <c r="A87" s="89">
        <v>86.0</v>
      </c>
      <c r="B87" s="89" t="s">
        <v>272</v>
      </c>
      <c r="C87" s="89"/>
      <c r="D87" s="90">
        <v>300.0</v>
      </c>
      <c r="E87" s="91" t="s">
        <v>302</v>
      </c>
      <c r="F87" s="92">
        <v>0.5</v>
      </c>
      <c r="G87" s="95">
        <f t="shared" si="1"/>
        <v>150</v>
      </c>
      <c r="H87" s="96"/>
      <c r="I87" s="95">
        <f t="shared" si="2"/>
        <v>2213</v>
      </c>
      <c r="J87" s="95">
        <f>'Pricing &amp; Assumptions'!$B$9</f>
        <v>1180</v>
      </c>
      <c r="K87" s="95">
        <f t="shared" si="3"/>
        <v>331950</v>
      </c>
      <c r="L87" s="95">
        <f t="shared" si="4"/>
        <v>177000</v>
      </c>
      <c r="M87" s="95">
        <f t="shared" si="5"/>
        <v>154950</v>
      </c>
      <c r="N87" s="95">
        <f t="shared" si="6"/>
        <v>774750</v>
      </c>
      <c r="O87" s="95">
        <f>G87*('Pricing &amp; Assumptions'!$B$3-'Pricing &amp; Assumptions'!$B$9)*5</f>
        <v>885000</v>
      </c>
      <c r="P87" s="89" t="s">
        <v>343</v>
      </c>
    </row>
    <row r="88">
      <c r="A88" s="89">
        <v>87.0</v>
      </c>
      <c r="B88" s="89" t="s">
        <v>273</v>
      </c>
      <c r="C88" s="89"/>
      <c r="D88" s="90">
        <v>3000.0</v>
      </c>
      <c r="E88" s="91" t="s">
        <v>302</v>
      </c>
      <c r="F88" s="92">
        <v>0.5</v>
      </c>
      <c r="G88" s="95">
        <f t="shared" si="1"/>
        <v>1500</v>
      </c>
      <c r="H88" s="96"/>
      <c r="I88" s="95">
        <f t="shared" si="2"/>
        <v>1770</v>
      </c>
      <c r="J88" s="95">
        <f>'Pricing &amp; Assumptions'!$B$9</f>
        <v>1180</v>
      </c>
      <c r="K88" s="95">
        <f t="shared" si="3"/>
        <v>2655000</v>
      </c>
      <c r="L88" s="95">
        <f t="shared" si="4"/>
        <v>1770000</v>
      </c>
      <c r="M88" s="95">
        <f t="shared" si="5"/>
        <v>885000</v>
      </c>
      <c r="N88" s="95">
        <f t="shared" si="6"/>
        <v>4425000</v>
      </c>
      <c r="O88" s="95">
        <f>G88*('Pricing &amp; Assumptions'!$B$3-'Pricing &amp; Assumptions'!$B$9)*5</f>
        <v>8850000</v>
      </c>
      <c r="P88" s="89" t="s">
        <v>343</v>
      </c>
    </row>
    <row r="89">
      <c r="A89" s="89">
        <v>88.0</v>
      </c>
      <c r="B89" s="89" t="s">
        <v>274</v>
      </c>
      <c r="C89" s="89"/>
      <c r="D89" s="90">
        <v>500.0</v>
      </c>
      <c r="E89" s="91" t="s">
        <v>302</v>
      </c>
      <c r="F89" s="92">
        <v>0.5</v>
      </c>
      <c r="G89" s="95">
        <f t="shared" si="1"/>
        <v>250</v>
      </c>
      <c r="H89" s="96"/>
      <c r="I89" s="95">
        <f t="shared" si="2"/>
        <v>2213</v>
      </c>
      <c r="J89" s="95">
        <f>'Pricing &amp; Assumptions'!$B$9</f>
        <v>1180</v>
      </c>
      <c r="K89" s="95">
        <f t="shared" si="3"/>
        <v>553250</v>
      </c>
      <c r="L89" s="95">
        <f t="shared" si="4"/>
        <v>295000</v>
      </c>
      <c r="M89" s="95">
        <f t="shared" si="5"/>
        <v>258250</v>
      </c>
      <c r="N89" s="95">
        <f t="shared" si="6"/>
        <v>1291250</v>
      </c>
      <c r="O89" s="95">
        <f>G89*('Pricing &amp; Assumptions'!$B$3-'Pricing &amp; Assumptions'!$B$9)*5</f>
        <v>1475000</v>
      </c>
      <c r="P89" s="89" t="s">
        <v>343</v>
      </c>
    </row>
    <row r="90">
      <c r="A90" s="89">
        <v>89.0</v>
      </c>
      <c r="B90" s="89" t="s">
        <v>275</v>
      </c>
      <c r="C90" s="89"/>
      <c r="D90" s="90">
        <v>150.0</v>
      </c>
      <c r="E90" s="91" t="s">
        <v>302</v>
      </c>
      <c r="F90" s="92">
        <v>0.5</v>
      </c>
      <c r="G90" s="95">
        <f t="shared" si="1"/>
        <v>75</v>
      </c>
      <c r="H90" s="96"/>
      <c r="I90" s="95">
        <f t="shared" si="2"/>
        <v>2950</v>
      </c>
      <c r="J90" s="95">
        <f>'Pricing &amp; Assumptions'!$B$9</f>
        <v>1180</v>
      </c>
      <c r="K90" s="95">
        <f t="shared" si="3"/>
        <v>221250</v>
      </c>
      <c r="L90" s="95">
        <f t="shared" si="4"/>
        <v>88500</v>
      </c>
      <c r="M90" s="95">
        <f t="shared" si="5"/>
        <v>132750</v>
      </c>
      <c r="N90" s="95">
        <f t="shared" si="6"/>
        <v>663750</v>
      </c>
      <c r="O90" s="95">
        <f>G90*('Pricing &amp; Assumptions'!$B$3-'Pricing &amp; Assumptions'!$B$9)*5</f>
        <v>442500</v>
      </c>
      <c r="P90" s="89" t="s">
        <v>343</v>
      </c>
    </row>
    <row r="91">
      <c r="A91" s="89">
        <v>90.0</v>
      </c>
      <c r="B91" s="89" t="s">
        <v>276</v>
      </c>
      <c r="C91" s="89"/>
      <c r="D91" s="90">
        <v>800.0</v>
      </c>
      <c r="E91" s="91" t="s">
        <v>302</v>
      </c>
      <c r="F91" s="92">
        <v>0.5</v>
      </c>
      <c r="G91" s="95">
        <f t="shared" si="1"/>
        <v>400</v>
      </c>
      <c r="H91" s="96"/>
      <c r="I91" s="95">
        <f t="shared" si="2"/>
        <v>2213</v>
      </c>
      <c r="J91" s="95">
        <f>'Pricing &amp; Assumptions'!$B$9</f>
        <v>1180</v>
      </c>
      <c r="K91" s="95">
        <f t="shared" si="3"/>
        <v>885200</v>
      </c>
      <c r="L91" s="95">
        <f t="shared" si="4"/>
        <v>472000</v>
      </c>
      <c r="M91" s="95">
        <f t="shared" si="5"/>
        <v>413200</v>
      </c>
      <c r="N91" s="95">
        <f t="shared" si="6"/>
        <v>2066000</v>
      </c>
      <c r="O91" s="95">
        <f>G91*('Pricing &amp; Assumptions'!$B$3-'Pricing &amp; Assumptions'!$B$9)*5</f>
        <v>2360000</v>
      </c>
      <c r="P91" s="89" t="s">
        <v>343</v>
      </c>
    </row>
    <row r="92">
      <c r="A92" s="89">
        <v>91.0</v>
      </c>
      <c r="B92" s="89" t="s">
        <v>277</v>
      </c>
      <c r="C92" s="89" t="s">
        <v>41</v>
      </c>
      <c r="D92" s="90">
        <v>500.0</v>
      </c>
      <c r="E92" s="91" t="s">
        <v>302</v>
      </c>
      <c r="F92" s="92">
        <v>0.3</v>
      </c>
      <c r="G92" s="95">
        <f t="shared" si="1"/>
        <v>150</v>
      </c>
      <c r="H92" s="96">
        <v>150.0</v>
      </c>
      <c r="I92" s="95">
        <f t="shared" si="2"/>
        <v>2213</v>
      </c>
      <c r="J92" s="95">
        <f>'Pricing &amp; Assumptions'!$B$9</f>
        <v>1180</v>
      </c>
      <c r="K92" s="95">
        <f t="shared" si="3"/>
        <v>331950</v>
      </c>
      <c r="L92" s="95">
        <f t="shared" si="4"/>
        <v>177000</v>
      </c>
      <c r="M92" s="95">
        <f t="shared" si="5"/>
        <v>154950</v>
      </c>
      <c r="N92" s="95">
        <f t="shared" si="6"/>
        <v>774750</v>
      </c>
      <c r="O92" s="95">
        <f>G92*('Pricing &amp; Assumptions'!$B$3-'Pricing &amp; Assumptions'!$B$9)*5</f>
        <v>885000</v>
      </c>
      <c r="P92" s="89" t="s">
        <v>343</v>
      </c>
    </row>
    <row r="93">
      <c r="A93" s="107"/>
      <c r="B93" s="107" t="s">
        <v>367</v>
      </c>
      <c r="C93" s="107"/>
      <c r="D93" s="108">
        <f>SUM(D2:D92)</f>
        <v>165227</v>
      </c>
      <c r="E93" s="108"/>
      <c r="F93" s="109"/>
      <c r="G93" s="108">
        <f t="shared" ref="G93:H93" si="7">SUM(G2:G92)</f>
        <v>61482</v>
      </c>
      <c r="H93" s="108">
        <f t="shared" si="7"/>
        <v>1840</v>
      </c>
      <c r="I93" s="108"/>
      <c r="J93" s="108"/>
      <c r="K93" s="108">
        <f t="shared" ref="K93:O93" si="8">SUM(K2:K92)</f>
        <v>102939175</v>
      </c>
      <c r="L93" s="108">
        <f t="shared" si="8"/>
        <v>72548760</v>
      </c>
      <c r="M93" s="108">
        <f t="shared" si="8"/>
        <v>30390415</v>
      </c>
      <c r="N93" s="108">
        <f t="shared" si="8"/>
        <v>151952075</v>
      </c>
      <c r="O93" s="108">
        <f t="shared" si="8"/>
        <v>362743800</v>
      </c>
      <c r="P93" s="107"/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P$93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62.0"/>
    <col customWidth="1" min="2" max="2" width="48.0"/>
    <col customWidth="1" min="3" max="26" width="8.71"/>
  </cols>
  <sheetData>
    <row r="1">
      <c r="A1" s="59" t="s">
        <v>300</v>
      </c>
      <c r="B1" s="59" t="s">
        <v>301</v>
      </c>
    </row>
    <row r="2">
      <c r="A2" s="64" t="s">
        <v>303</v>
      </c>
      <c r="B2" s="64">
        <v>2950.0</v>
      </c>
    </row>
    <row r="3">
      <c r="A3" s="64" t="s">
        <v>304</v>
      </c>
      <c r="B3" s="64">
        <v>2360.0</v>
      </c>
    </row>
    <row r="4">
      <c r="A4" s="64" t="s">
        <v>305</v>
      </c>
      <c r="B4" s="64">
        <v>2213.0</v>
      </c>
    </row>
    <row r="5">
      <c r="A5" s="64" t="s">
        <v>306</v>
      </c>
      <c r="B5" s="64">
        <v>2065.0</v>
      </c>
    </row>
    <row r="6">
      <c r="A6" s="64" t="s">
        <v>307</v>
      </c>
      <c r="B6" s="64">
        <v>1770.0</v>
      </c>
    </row>
    <row r="7">
      <c r="A7" s="64" t="s">
        <v>309</v>
      </c>
      <c r="B7" s="64">
        <v>1475.0</v>
      </c>
    </row>
    <row r="8">
      <c r="A8" s="64" t="s">
        <v>310</v>
      </c>
      <c r="B8" s="64">
        <v>1180.0</v>
      </c>
    </row>
    <row r="9">
      <c r="A9" s="64" t="s">
        <v>311</v>
      </c>
      <c r="B9" s="64">
        <v>1180.0</v>
      </c>
    </row>
    <row r="11">
      <c r="A11" s="59" t="s">
        <v>312</v>
      </c>
    </row>
    <row r="12">
      <c r="A12" s="89" t="s">
        <v>313</v>
      </c>
    </row>
    <row r="13">
      <c r="A13" s="89" t="s">
        <v>315</v>
      </c>
    </row>
    <row r="14">
      <c r="A14" s="89" t="s">
        <v>317</v>
      </c>
    </row>
    <row r="15">
      <c r="A15" s="89" t="s">
        <v>318</v>
      </c>
    </row>
    <row r="16">
      <c r="A16" s="89" t="s">
        <v>319</v>
      </c>
    </row>
    <row r="17">
      <c r="A17" s="89" t="s">
        <v>321</v>
      </c>
    </row>
    <row r="19">
      <c r="A19" s="59" t="s">
        <v>323</v>
      </c>
    </row>
    <row r="20">
      <c r="A20" s="64" t="s">
        <v>324</v>
      </c>
      <c r="B20" s="97">
        <v>0.5</v>
      </c>
    </row>
    <row r="21">
      <c r="A21" s="64" t="s">
        <v>325</v>
      </c>
      <c r="B21" s="64" t="s">
        <v>326</v>
      </c>
    </row>
    <row r="22">
      <c r="A22" s="64" t="s">
        <v>327</v>
      </c>
      <c r="B22" s="64" t="s">
        <v>328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2:E12"/>
    <mergeCell ref="A13:E13"/>
    <mergeCell ref="A14:E14"/>
    <mergeCell ref="A15:E15"/>
    <mergeCell ref="A16:E16"/>
    <mergeCell ref="A17:E17"/>
  </mergeCells>
  <printOptions/>
  <pageMargins bottom="1.0" footer="0.0" header="0.0" left="0.75" right="0.75" top="1.0"/>
  <pageSetup orientation="landscape"/>
  <drawing r:id="rId1"/>
</worksheet>
</file>