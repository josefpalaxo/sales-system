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50fbd8001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ebb28a609d7e4b7d"/>
    <x:sheet xmlns:r="http://schemas.openxmlformats.org/officeDocument/2006/relationships" name="Assumptions" sheetId="2" r:id="R607a38054d824801"/>
    <x:sheet xmlns:r="http://schemas.openxmlformats.org/officeDocument/2006/relationships" name="Cost model" sheetId="3" r:id="Rb12bba6d1bf54872"/>
    <x:sheet xmlns:r="http://schemas.openxmlformats.org/officeDocument/2006/relationships" name="Customers" sheetId="4" r:id="Rc2fce21330e548ee"/>
    <x:sheet xmlns:r="http://schemas.openxmlformats.org/officeDocument/2006/relationships" name="Demand" sheetId="5" r:id="R0290424401e84bd3"/>
    <x:sheet xmlns:r="http://schemas.openxmlformats.org/officeDocument/2006/relationships" name="Entity scope" sheetId="6" r:id="Re397a0e5bc5a43b8"/>
    <x:sheet xmlns:r="http://schemas.openxmlformats.org/officeDocument/2006/relationships" name="Research" sheetId="7" r:id="Rdd9076c309584a01"/>
    <x:sheet xmlns:r="http://schemas.openxmlformats.org/officeDocument/2006/relationships" name="Checks" sheetId="8" r:id="R5c92a32acf7a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–&quot;"/>
    <x:numFmt numFmtId="201" formatCode="0.0%;(0.0%);&quot;–&quot;"/>
    <x:numFmt numFmtId="202" formatCode="#,##0.00;(#,##0.00);&quot;–&quot;"/>
    <x:numFmt numFmtId="203" formatCode="0.00%"/>
    <x:numFmt numFmtId="204" formatCode="#,##0.0"/>
  </x:numFmts>
  <x:fonts count="13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b/>
      <x:sz val="11"/>
      <x:color rgb="FF0000FF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1D0090"/>
      </x:patternFill>
    </x:fill>
    <x:fill>
      <x:patternFill patternType="solid">
        <x:fgColor rgb="FFF5EDFF"/>
      </x:patternFill>
    </x:fill>
  </x:fills>
  <x:borders count="3">
    <x:border/>
    <x:border>
      <x:bottom style="thin">
        <x:color rgb="FF7000FF"/>
      </x:bottom>
    </x:border>
    <x:border>
      <x:top style="thin">
        <x:color rgb="FF667085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9" fillId="2" borderId="0" xfId="0" applyNumberFormat="1" applyFont="1" applyFill="1" applyBorder="1" applyAlignment="1">
      <x:alignment vertical="center"/>
    </x:xf>
    <x:xf numFmtId="200" fontId="9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2" fontId="6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9" fillId="2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horizontal="center" vertical="center" wrapText="0"/>
    </x:xf>
    <x:xf numFmtId="202" fontId="3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6" fillId="4" borderId="0" xfId="0" applyNumberFormat="1" applyFont="1" applyFill="1" applyBorder="1" applyAlignment="1">
      <x:alignment vertical="center" wrapText="0"/>
    </x:xf>
    <x:xf numFmtId="200" fontId="1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d10617f2a4cb3" /><Relationship Type="http://schemas.openxmlformats.org/officeDocument/2006/relationships/theme" Target="/xl/theme/theme1.xml" Id="R48c9d807b9af466c" /><Relationship Type="http://schemas.openxmlformats.org/officeDocument/2006/relationships/sharedStrings" Target="/xl/sharedStrings.xml" Id="Rfc138399cae0493e" /><Relationship Type="http://schemas.openxmlformats.org/officeDocument/2006/relationships/worksheet" Target="/xl/worksheets/sheet1.xml" Id="Rebb28a609d7e4b7d" /><Relationship Type="http://schemas.openxmlformats.org/officeDocument/2006/relationships/worksheet" Target="/xl/worksheets/sheet2.xml" Id="R607a38054d824801" /><Relationship Type="http://schemas.openxmlformats.org/officeDocument/2006/relationships/worksheet" Target="/xl/worksheets/sheet3.xml" Id="Rb12bba6d1bf54872" /><Relationship Type="http://schemas.openxmlformats.org/officeDocument/2006/relationships/worksheet" Target="/xl/worksheets/sheet4.xml" Id="Rc2fce21330e548ee" /><Relationship Type="http://schemas.openxmlformats.org/officeDocument/2006/relationships/worksheet" Target="/xl/worksheets/sheet5.xml" Id="R0290424401e84bd3" /><Relationship Type="http://schemas.openxmlformats.org/officeDocument/2006/relationships/worksheet" Target="/xl/worksheets/sheet6.xml" Id="Re397a0e5bc5a43b8" /><Relationship Type="http://schemas.openxmlformats.org/officeDocument/2006/relationships/worksheet" Target="/xl/worksheets/sheet7.xml" Id="Rdd9076c309584a01" /><Relationship Type="http://schemas.openxmlformats.org/officeDocument/2006/relationships/worksheet" Target="/xl/worksheets/sheet8.xml" Id="R5c92a32acf7a4c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5dc7fd0f434fb1" /><Relationship Type="http://schemas.openxmlformats.org/officeDocument/2006/relationships/chart" Target="/xl/drawings/charts/chart2.xml" Id="Rdfb1e381c2b14f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Annual cost comparison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AED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'Executive'!$C$52:$C$56</c:f>
              <c:strCache>
                <c:ptCount val="0"/>
              </c:strCache>
            </c:strRef>
          </c:cat>
          <c:val>
            <c:numRef>
              <c:f>'Executive'!$D$52:$D$56</c:f>
              <c:numCache>
                <c:formatCode>0.0,,</c:formatCode>
                <c:ptCount val="0"/>
              </c:numCache>
            </c:numRef>
          </c:val>
        </c:ser>
        <c:ser>
          <c:idx val="1"/>
          <c:order val="1"/>
          <c:tx>
            <c:v>Central AED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'Executive'!$C$52:$C$56</c:f>
              <c:strCache>
                <c:ptCount val="0"/>
              </c:strCache>
            </c:strRef>
          </c:cat>
          <c:val>
            <c:numRef>
              <c:f>'Executive'!$E$52:$E$56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Cumulative comparative benefit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Cumulative benefit AED</c:v>
          </c:tx>
          <c:spPr>
            <a:solidFill xmlns:a="http://schemas.openxmlformats.org/drawingml/2006/main">
              <a:srgbClr val="1D0090"/>
            </a:solidFill>
          </c:spPr>
          <c:marker>
            <c:symbol val="none"/>
          </c:marker>
          <c:cat>
            <c:strRef>
              <c:f>'Executive'!$C$52:$C$56</c:f>
              <c:strCache>
                <c:ptCount val="0"/>
              </c:strCache>
            </c:strRef>
          </c:cat>
          <c:val>
            <c:numRef>
              <c:f>'Executive'!$F$52:$F$56</c:f>
              <c:numCache>
                <c:formatCode>#,##0;(#,##0);"–"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5dc7fd0f434fb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1e381c2b14f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61a31417f9492e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4" hidden="0" customWidth="1"/>
    <x:col min="4" max="4" width="3" hidden="0" customWidth="1"/>
    <x:col min="5" max="5" width="21" hidden="0" customWidth="1"/>
    <x:col min="6" max="6" width="21" hidden="0" customWidth="1"/>
    <x:col min="7" max="7" width="21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DDA central procurement business case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12" t="str">
        <x:v>Five-year comparison at matched capacity. Base growth and rollout are planning assumptions. AED, before tax and unpriced services.</x:v>
      </x:c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24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2"/>
      <x:c r="M7" s="60"/>
      <x:c r="N7" s="2"/>
    </x:row>
    <x:row r="8" ht="30" customHeight="1">
      <x:c r="A8" s="2"/>
      <x:c r="B8" s="2"/>
      <x:c r="C8" s="19" t="str">
        <x:v>Decision metric</x:v>
      </x:c>
      <x:c r="D8" s="19"/>
      <x:c r="E8" s="20" t="str">
        <x:v>Value</x:v>
      </x:c>
      <x:c r="F8" s="3"/>
      <x:c r="G8" s="3"/>
      <x:c r="H8" s="3"/>
      <x:c r="I8" s="3"/>
      <x:c r="J8" s="3"/>
      <x:c r="K8" s="3"/>
      <x:c r="L8" s="2"/>
      <x:c r="M8" s="60"/>
      <x:c r="N8" s="2"/>
    </x:row>
    <x:row r="9" ht="24" customHeight="1">
      <x:c r="A9" s="2"/>
      <x:c r="B9" s="2"/>
      <x:c r="C9" s="2" t="str">
        <x:v>Initial annual commitment</x:v>
      </x:c>
      <x:c r="D9" s="2"/>
      <x:c r="E9" s="3" t="n">
        <x:f>'Cost model'!E8</x:f>
        <x:v>10000</x:v>
      </x:c>
      <x:c r="F9" s="3"/>
      <x:c r="G9" s="3"/>
      <x:c r="H9" s="3"/>
      <x:c r="I9" s="3"/>
      <x:c r="J9" s="3"/>
      <x:c r="K9" s="3"/>
      <x:c r="L9" s="2"/>
      <x:c r="M9" s="60"/>
      <x:c r="N9" s="2"/>
    </x:row>
    <x:row r="10" ht="24" customHeight="1">
      <x:c r="A10" s="2"/>
      <x:c r="B10" s="2"/>
      <x:c r="C10" s="2" t="str">
        <x:v>Year 5 paid capacity</x:v>
      </x:c>
      <x:c r="D10" s="2"/>
      <x:c r="E10" s="3" t="n">
        <x:f>'Cost model'!I8</x:f>
        <x:v>12500</x:v>
      </x:c>
      <x:c r="F10" s="3"/>
      <x:c r="G10" s="3"/>
      <x:c r="H10" s="3"/>
      <x:c r="I10" s="3"/>
      <x:c r="J10" s="3"/>
      <x:c r="K10" s="3"/>
      <x:c r="L10" s="2"/>
      <x:c r="M10" s="60"/>
      <x:c r="N10" s="2"/>
    </x:row>
    <x:row r="11" ht="24" customHeight="1">
      <x:c r="A11" s="2"/>
      <x:c r="B11" s="2"/>
      <x:c r="C11" s="2" t="str">
        <x:v>Reduction vs DDA baseline</x:v>
      </x:c>
      <x:c r="D11" s="2"/>
      <x:c r="E11" s="44" t="n">
        <x:f>'Cost model'!E50</x:f>
        <x:v>0.5</x:v>
      </x:c>
      <x:c r="F11" s="3"/>
      <x:c r="G11" s="3"/>
      <x:c r="H11" s="3"/>
      <x:c r="I11" s="3"/>
      <x:c r="J11" s="3"/>
      <x:c r="K11" s="3"/>
      <x:c r="L11" s="2"/>
      <x:c r="M11" s="60"/>
      <x:c r="N11" s="2"/>
    </x:row>
    <x:row r="12" ht="24" customHeight="1">
      <x:c r="A12" s="2"/>
      <x:c r="B12" s="2"/>
      <x:c r="C12" s="2" t="str">
        <x:v>Reference discount vs list</x:v>
      </x:c>
      <x:c r="D12" s="2"/>
      <x:c r="E12" s="44" t="n">
        <x:f>'Cost model'!E51</x:f>
        <x:v>0.6</x:v>
      </x:c>
      <x:c r="F12" s="3"/>
      <x:c r="G12" s="3"/>
      <x:c r="H12" s="3"/>
      <x:c r="I12" s="3"/>
      <x:c r="J12" s="3"/>
      <x:c r="K12" s="3"/>
      <x:c r="L12" s="2"/>
      <x:c r="M12" s="60"/>
      <x:c r="N12" s="2"/>
    </x:row>
    <x:row r="13" ht="24" customHeight="1">
      <x:c r="A13" s="2"/>
      <x:c r="B13" s="2"/>
      <x:c r="C13" s="2" t="str">
        <x:v>Year 1 central modeled cost</x:v>
      </x:c>
      <x:c r="D13" s="2"/>
      <x:c r="E13" s="3" t="n">
        <x:f>'Cost model'!E32</x:f>
        <x:v>13308680</x:v>
      </x:c>
      <x:c r="F13" s="3"/>
      <x:c r="G13" s="3"/>
      <x:c r="H13" s="3"/>
      <x:c r="I13" s="3"/>
      <x:c r="J13" s="3"/>
      <x:c r="K13" s="3"/>
      <x:c r="L13" s="2"/>
      <x:c r="M13" s="60"/>
      <x:c r="N13" s="2"/>
    </x:row>
    <x:row r="14" ht="24" customHeight="1">
      <x:c r="A14" s="2"/>
      <x:c r="B14" s="2"/>
      <x:c r="C14" s="2" t="str">
        <x:v>Five-year central modeled cost</x:v>
      </x:c>
      <x:c r="D14" s="2"/>
      <x:c r="E14" s="3" t="n">
        <x:f>'Cost model'!K32</x:f>
        <x:v>74475900</x:v>
      </x:c>
      <x:c r="F14" s="3"/>
      <x:c r="G14" s="3"/>
      <x:c r="H14" s="3"/>
      <x:c r="I14" s="3"/>
      <x:c r="J14" s="3"/>
      <x:c r="K14" s="3"/>
      <x:c r="L14" s="2"/>
      <x:c r="M14" s="60"/>
      <x:c r="N14" s="2"/>
    </x:row>
    <x:row r="15" ht="24" customHeight="1">
      <x:c r="A15" s="2"/>
      <x:c r="B15" s="2"/>
      <x:c r="C15" s="2" t="str">
        <x:v>Five-year net comparative benefit</x:v>
      </x:c>
      <x:c r="D15" s="2"/>
      <x:c r="E15" s="3" t="n">
        <x:f>'Cost model'!K34</x:f>
        <x:v>73035900</x:v>
      </x:c>
      <x:c r="F15" s="3"/>
      <x:c r="G15" s="3"/>
      <x:c r="H15" s="3"/>
      <x:c r="I15" s="3"/>
      <x:c r="J15" s="3"/>
      <x:c r="K15" s="3"/>
      <x:c r="L15" s="2"/>
      <x:c r="M15" s="60"/>
      <x:c r="N15" s="2"/>
    </x:row>
    <x:row r="16" ht="24" customHeight="1">
      <x:c r="A16" s="2"/>
      <x:c r="B16" s="2"/>
      <x:c r="C16" s="2" t="str">
        <x:v>Five-year procurement ROI</x:v>
      </x:c>
      <x:c r="D16" s="2"/>
      <x:c r="E16" s="44" t="n">
        <x:f>'Cost model'!K37</x:f>
        <x:v>0.9806648862249399</x:v>
      </x:c>
      <x:c r="F16" s="3"/>
      <x:c r="G16" s="3"/>
      <x:c r="H16" s="3"/>
      <x:c r="I16" s="3"/>
      <x:c r="J16" s="3"/>
      <x:c r="K16" s="3"/>
      <x:c r="L16" s="2"/>
      <x:c r="M16" s="60"/>
      <x:c r="N16" s="2"/>
    </x:row>
    <x:row r="17" ht="24" customHeight="1">
      <x:c r="A17" s="2"/>
      <x:c r="B17" s="2"/>
      <x:c r="C17" s="2" t="str">
        <x:v>Initial seats awaiting allocation</x:v>
      </x:c>
      <x:c r="D17" s="2"/>
      <x:c r="E17" s="3" t="n">
        <x:f>'Demand'!E10</x:f>
        <x:v>8170</x:v>
      </x:c>
      <x:c r="F17" s="3"/>
      <x:c r="G17" s="3"/>
      <x:c r="H17" s="3"/>
      <x:c r="I17" s="3"/>
      <x:c r="J17" s="3"/>
      <x:c r="K17" s="3"/>
      <x:c r="L17" s="2"/>
      <x:c r="M17" s="60"/>
      <x:c r="N17" s="2"/>
    </x:row>
    <x:row r="18" ht="24" customHeight="1">
      <x:c r="A18" s="2"/>
      <x:c r="B18" s="2"/>
      <x:c r="C18" s="2" t="str">
        <x:v>Initial pool five-year recurring cost</x:v>
      </x:c>
      <x:c r="D18" s="2"/>
      <x:c r="E18" s="3" t="n">
        <x:f>'Cost model'!K54</x:f>
        <x:v>65643400</x:v>
      </x:c>
      <x:c r="F18" s="3"/>
      <x:c r="G18" s="3"/>
      <x:c r="H18" s="3"/>
      <x:c r="I18" s="3"/>
      <x:c r="J18" s="3"/>
      <x:c r="K18" s="3"/>
      <x:c r="L18" s="2"/>
      <x:c r="M18" s="60"/>
      <x:c r="N18" s="2"/>
    </x:row>
    <x:row r="19" ht="24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2"/>
      <x:c r="M19" s="60"/>
      <x:c r="N19" s="2"/>
    </x:row>
    <x:row r="20" ht="30" customHeight="1">
      <x:c r="A20" s="2"/>
      <x:c r="B20" s="2"/>
      <x:c r="C20" s="19" t="str">
        <x:v>Annual costs and benefit</x:v>
      </x:c>
      <x:c r="D20" s="19"/>
      <x:c r="E20" s="20" t="str">
        <x:v>Baseline</x:v>
      </x:c>
      <x:c r="F20" s="20" t="str">
        <x:v>Central</x:v>
      </x:c>
      <x:c r="G20" s="20" t="str">
        <x:v>Net benefit</x:v>
      </x:c>
      <x:c r="H20" s="3"/>
      <x:c r="I20" s="3"/>
      <x:c r="J20" s="3"/>
      <x:c r="K20" s="3"/>
      <x:c r="L20" s="2"/>
      <x:c r="M20" s="60"/>
      <x:c r="N20" s="2"/>
    </x:row>
    <x:row r="21" ht="24" customHeight="1">
      <x:c r="A21" s="2"/>
      <x:c r="B21" s="2"/>
      <x:c r="C21" s="2" t="str">
        <x:v>Year 1</x:v>
      </x:c>
      <x:c r="D21" s="2"/>
      <x:c r="E21" s="3" t="n">
        <x:f>'Cost model'!E23</x:f>
        <x:v>26257360</x:v>
      </x:c>
      <x:c r="F21" s="3" t="n">
        <x:f>'Cost model'!E32</x:f>
        <x:v>13308680</x:v>
      </x:c>
      <x:c r="G21" s="3" t="n">
        <x:f>'Cost model'!E34</x:f>
        <x:v>12948680</x:v>
      </x:c>
      <x:c r="H21" s="3"/>
      <x:c r="I21" s="3"/>
      <x:c r="J21" s="3"/>
      <x:c r="K21" s="3"/>
      <x:c r="L21" s="2"/>
      <x:c r="M21" s="60"/>
      <x:c r="N21" s="2"/>
    </x:row>
    <x:row r="22" ht="24" customHeight="1">
      <x:c r="A22" s="2"/>
      <x:c r="B22" s="2"/>
      <x:c r="C22" s="2" t="str">
        <x:v>Year 2</x:v>
      </x:c>
      <x:c r="D22" s="2"/>
      <x:c r="E22" s="3" t="n">
        <x:f>'Cost model'!F23</x:f>
        <x:v>27879860</x:v>
      </x:c>
      <x:c r="F22" s="3" t="n">
        <x:f>'Cost model'!F32</x:f>
        <x:v>14047930</x:v>
      </x:c>
      <x:c r="G22" s="3" t="n">
        <x:f>'Cost model'!F34</x:f>
        <x:v>13831930</x:v>
      </x:c>
      <x:c r="H22" s="3"/>
      <x:c r="I22" s="3"/>
      <x:c r="J22" s="3"/>
      <x:c r="K22" s="3"/>
      <x:c r="L22" s="2"/>
      <x:c r="M22" s="60"/>
      <x:c r="N22" s="2"/>
    </x:row>
    <x:row r="23" ht="24" customHeight="1">
      <x:c r="A23" s="2"/>
      <x:c r="B23" s="2"/>
      <x:c r="C23" s="2" t="str">
        <x:v>Year 3</x:v>
      </x:c>
      <x:c r="D23" s="2"/>
      <x:c r="E23" s="3" t="n">
        <x:f>'Cost model'!G23</x:f>
        <x:v>29502360</x:v>
      </x:c>
      <x:c r="F23" s="3" t="n">
        <x:f>'Cost model'!G32</x:f>
        <x:v>14895180</x:v>
      </x:c>
      <x:c r="G23" s="3" t="n">
        <x:f>'Cost model'!G34</x:f>
        <x:v>14607180</x:v>
      </x:c>
      <x:c r="H23" s="3"/>
      <x:c r="I23" s="3"/>
      <x:c r="J23" s="3"/>
      <x:c r="K23" s="3"/>
      <x:c r="L23" s="2"/>
      <x:c r="M23" s="60"/>
      <x:c r="N23" s="2"/>
    </x:row>
    <x:row r="24" ht="24" customHeight="1">
      <x:c r="A24" s="2"/>
      <x:c r="B24" s="2"/>
      <x:c r="C24" s="2" t="str">
        <x:v>Year 4</x:v>
      </x:c>
      <x:c r="D24" s="2"/>
      <x:c r="E24" s="3" t="n">
        <x:f>'Cost model'!H23</x:f>
        <x:v>31124860</x:v>
      </x:c>
      <x:c r="F24" s="3" t="n">
        <x:f>'Cost model'!H32</x:f>
        <x:v>15706430</x:v>
      </x:c>
      <x:c r="G24" s="3" t="n">
        <x:f>'Cost model'!H34</x:f>
        <x:v>15418430</x:v>
      </x:c>
      <x:c r="H24" s="3"/>
      <x:c r="I24" s="3"/>
      <x:c r="J24" s="3"/>
      <x:c r="K24" s="3"/>
      <x:c r="L24" s="2"/>
      <x:c r="M24" s="60"/>
      <x:c r="N24" s="2"/>
    </x:row>
    <x:row r="25" ht="24" customHeight="1">
      <x:c r="A25" s="2"/>
      <x:c r="B25" s="2"/>
      <x:c r="C25" s="2" t="str">
        <x:v>Year 5</x:v>
      </x:c>
      <x:c r="D25" s="2"/>
      <x:c r="E25" s="3" t="n">
        <x:f>'Cost model'!I23</x:f>
        <x:v>32747360</x:v>
      </x:c>
      <x:c r="F25" s="3" t="n">
        <x:f>'Cost model'!I32</x:f>
        <x:v>16517680</x:v>
      </x:c>
      <x:c r="G25" s="3" t="n">
        <x:f>'Cost model'!I34</x:f>
        <x:v>16229680</x:v>
      </x:c>
      <x:c r="H25" s="3"/>
      <x:c r="I25" s="3"/>
      <x:c r="J25" s="3"/>
      <x:c r="K25" s="3"/>
      <x:c r="L25" s="2"/>
      <x:c r="M25" s="60"/>
      <x:c r="N25" s="2"/>
    </x:row>
    <x:row r="26" ht="24" customHeight="1">
      <x:c r="A26" s="2"/>
      <x:c r="B26" s="2"/>
      <x:c r="C26" s="58" t="str">
        <x:v>Five years</x:v>
      </x:c>
      <x:c r="D26" s="58"/>
      <x:c r="E26" s="65" t="n">
        <x:f>'Cost model'!K23</x:f>
        <x:v>147511800</x:v>
      </x:c>
      <x:c r="F26" s="65" t="n">
        <x:f>'Cost model'!K32</x:f>
        <x:v>74475900</x:v>
      </x:c>
      <x:c r="G26" s="65" t="n">
        <x:f>'Cost model'!K34</x:f>
        <x:v>73035900</x:v>
      </x:c>
      <x:c r="H26" s="3"/>
      <x:c r="I26" s="3"/>
      <x:c r="J26" s="3"/>
      <x:c r="K26" s="3"/>
      <x:c r="L26" s="2"/>
      <x:c r="M26" s="60"/>
      <x:c r="N26" s="2"/>
    </x:row>
    <x:row r="27" ht="24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2"/>
      <x:c r="M27" s="60"/>
      <x:c r="N27" s="2"/>
    </x:row>
    <x:row r="28" ht="24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2"/>
      <x:c r="M28" s="60"/>
      <x:c r="N28" s="2"/>
    </x:row>
    <x:row r="29" ht="30" customHeight="1">
      <x:c r="A29" s="2"/>
      <x:c r="B29" s="2"/>
      <x:c r="C29" s="19" t="str">
        <x:v>Adoption and price protection</x:v>
      </x:c>
      <x:c r="D29" s="19"/>
      <x:c r="E29" s="20" t="str">
        <x:v>Value</x:v>
      </x:c>
      <x:c r="F29" s="3"/>
      <x:c r="G29" s="3"/>
      <x:c r="H29" s="3"/>
      <x:c r="I29" s="3"/>
      <x:c r="J29" s="3"/>
      <x:c r="K29" s="3"/>
      <x:c r="L29" s="2"/>
      <x:c r="M29" s="60"/>
      <x:c r="N29" s="2"/>
    </x:row>
    <x:row r="30" ht="24" customHeight="1">
      <x:c r="A30" s="2"/>
      <x:c r="B30" s="2"/>
      <x:c r="C30" s="2" t="str">
        <x:v>Year 1 break-even deployed users</x:v>
      </x:c>
      <x:c r="D30" s="2"/>
      <x:c r="E30" s="3" t="n">
        <x:f>'Cost model'!E42</x:f>
        <x:v>5013</x:v>
      </x:c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2" t="str">
        <x:v>Year 1 deployed users assumed</x:v>
      </x:c>
      <x:c r="D31" s="2"/>
      <x:c r="E31" s="3" t="n">
        <x:f>'Cost model'!E11</x:f>
        <x:v>10000</x:v>
      </x:c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" t="str">
        <x:v>Five-year demand-adjusted benefit</x:v>
      </x:c>
      <x:c r="D32" s="2"/>
      <x:c r="E32" s="3" t="n">
        <x:f>'Cost model'!K40</x:f>
        <x:v>73035900.00000001</x:v>
      </x:c>
      <x:c r="F32" s="3"/>
      <x:c r="G32" s="3"/>
      <x:c r="H32" s="3"/>
      <x:c r="I32" s="3"/>
      <x:c r="J32" s="3"/>
      <x:c r="K32" s="3"/>
      <x:c r="L32" s="2"/>
      <x:c r="M32" s="60"/>
      <x:c r="N32" s="2"/>
    </x:row>
    <x:row r="33" ht="24" customHeight="1">
      <x:c r="A33" s="2"/>
      <x:c r="B33" s="2"/>
      <x:c r="C33" s="2" t="str">
        <x:v>Five-year extra escalation avoided</x:v>
      </x:c>
      <x:c r="D33" s="2"/>
      <x:c r="E33" s="3" t="n">
        <x:f>'Cost model'!K46</x:f>
        <x:v>9629286.601461608</x:v>
      </x:c>
      <x:c r="F33" s="3"/>
      <x:c r="G33" s="3"/>
      <x:c r="H33" s="3"/>
      <x:c r="I33" s="3"/>
      <x:c r="J33" s="3"/>
      <x:c r="K33" s="3"/>
      <x:c r="L33" s="2"/>
      <x:c r="M33" s="60"/>
      <x:c r="N33" s="2"/>
    </x:row>
    <x:row r="34" ht="24" customHeight="1">
      <x:c r="A34" s="2"/>
      <x:c r="B34" s="2"/>
      <x:c r="C34" s="2" t="str">
        <x:v>Escalation sensitivity assumption</x:v>
      </x:c>
      <x:c r="D34" s="2"/>
      <x:c r="E34" s="44" t="n">
        <x:f>'Assumptions'!E18</x:f>
        <x:v>0.03</x:v>
      </x:c>
      <x:c r="F34" s="3"/>
      <x:c r="G34" s="3"/>
      <x:c r="H34" s="3"/>
      <x:c r="I34" s="3"/>
      <x:c r="J34" s="3"/>
      <x:c r="K34" s="3"/>
      <x:c r="L34" s="2"/>
      <x:c r="M34" s="60"/>
      <x:c r="N34" s="2"/>
    </x:row>
    <x:row r="35" ht="24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2"/>
      <x:c r="M35" s="60"/>
      <x:c r="N35" s="2"/>
    </x:row>
    <x:row r="36" ht="24" customHeight="1">
      <x:c r="A36" s="2"/>
      <x:c r="B36" s="2"/>
      <x:c r="C36" s="2"/>
      <x:c r="D36" s="2"/>
      <x:c r="E36" s="3"/>
      <x:c r="F36" s="3"/>
      <x:c r="G36" s="3"/>
      <x:c r="H36" s="3"/>
      <x:c r="I36" s="3"/>
      <x:c r="J36" s="3"/>
      <x:c r="K36" s="3"/>
      <x:c r="L36" s="2"/>
      <x:c r="M36" s="60"/>
      <x:c r="N36" s="2"/>
    </x:row>
    <x:row r="37" ht="24" customHeight="1">
      <x:c r="A37" s="2"/>
      <x:c r="B37" s="2"/>
      <x:c r="C37" s="12" t="str">
        <x:v>The 50% saving compares identical capacity and support treatment. It does not claim that entities currently spend the baseline total.</x:v>
      </x:c>
      <x:c r="D37" s="2"/>
      <x:c r="E37" s="3"/>
      <x:c r="F37" s="3"/>
      <x:c r="G37" s="3"/>
      <x:c r="H37" s="3"/>
      <x:c r="I37" s="3"/>
      <x:c r="J37" s="3"/>
      <x:c r="K37" s="3"/>
      <x:c r="L37" s="2"/>
      <x:c r="M37" s="60"/>
      <x:c r="N37" s="2"/>
    </x:row>
    <x:row r="38" ht="24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2"/>
      <x:c r="M38" s="60"/>
      <x:c r="N38" s="2"/>
    </x:row>
    <x:row r="39" ht="24" customHeight="1">
      <x:c r="A39" s="2"/>
      <x:c r="B39" s="2"/>
      <x:c r="C39" s="12" t="str">
        <x:v>Base assumption: 10,000 to 12,500 paid users by Year 5, 1,260 on-premise users retained, 40 new entities onboarded over five years.</x:v>
      </x:c>
      <x:c r="D39" s="2"/>
      <x:c r="E39" s="3"/>
      <x:c r="F39" s="3"/>
      <x:c r="G39" s="3"/>
      <x:c r="H39" s="3"/>
      <x:c r="I39" s="3"/>
      <x:c r="J39" s="3"/>
      <x:c r="K39" s="3"/>
      <x:c r="L39" s="2"/>
      <x:c r="M39" s="60"/>
      <x:c r="N39" s="2"/>
    </x:row>
    <x:row r="40" ht="24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2"/>
      <x:c r="M40" s="60"/>
      <x:c r="N40" s="2"/>
    </x:row>
    <x:row r="41" ht="24" customHeight="1">
      <x:c r="A41" s="2"/>
      <x:c r="B41" s="2"/>
      <x:c r="C41" s="12" t="str">
        <x:v>Existing customers cover 1,830 project users. Survey demand overlaps are unknown. New entity allocations require validation.</x:v>
      </x:c>
      <x:c r="D41" s="2"/>
      <x:c r="E41" s="3"/>
      <x:c r="F41" s="3"/>
      <x:c r="G41" s="3"/>
      <x:c r="H41" s="3"/>
      <x:c r="I41" s="3"/>
      <x:c r="J41" s="3"/>
      <x:c r="K41" s="3"/>
      <x:c r="L41" s="2"/>
      <x:c r="M41" s="60"/>
      <x:c r="N41" s="2"/>
    </x:row>
    <x:row r="42" ht="24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2"/>
      <x:c r="M42" s="60"/>
      <x:c r="N42" s="2"/>
    </x:row>
    <x:row r="43" ht="24" customHeight="1">
      <x:c r="A43" s="2"/>
      <x:c r="B43" s="2"/>
      <x:c r="C43" s="12" t="str">
        <x:v>No indexation protects unit prices. Growth increases the annual bill. The 3% escalation illustration is excluded from headline savings.</x:v>
      </x:c>
      <x:c r="D43" s="2"/>
      <x:c r="E43" s="3"/>
      <x:c r="F43" s="3"/>
      <x:c r="G43" s="3"/>
      <x:c r="H43" s="3"/>
      <x:c r="I43" s="3"/>
      <x:c r="J43" s="3"/>
      <x:c r="K43" s="3"/>
      <x:c r="L43" s="2"/>
      <x:c r="M43" s="60"/>
      <x:c r="N43" s="2"/>
    </x:row>
    <x:row r="44" ht="24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2"/>
      <x:c r="M44" s="60"/>
      <x:c r="N44" s="2"/>
    </x:row>
    <x:row r="45" ht="24" customHeight="1">
      <x:c r="A45" s="2"/>
      <x:c r="B45" s="2"/>
      <x:c r="C45" s="12" t="str">
        <x:v>Procurement ROI = five-year net comparative benefit / central modeled program cost. Unpriced services can reduce this return.</x:v>
      </x:c>
      <x:c r="D45" s="2"/>
      <x:c r="E45" s="3"/>
      <x:c r="F45" s="3"/>
      <x:c r="G45" s="3"/>
      <x:c r="H45" s="3"/>
      <x:c r="I45" s="3"/>
      <x:c r="J45" s="3"/>
      <x:c r="K45" s="3"/>
      <x:c r="L45" s="2"/>
      <x:c r="M45" s="60"/>
      <x:c r="N45" s="2"/>
    </x:row>
    <x:row r="46" ht="24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2"/>
      <x:c r="M46" s="60"/>
      <x:c r="N46" s="2"/>
    </x:row>
    <x:row r="47" ht="24" customHeight="1">
      <x:c r="A47" s="2"/>
      <x:c r="B47" s="2"/>
      <x:c r="C47" s="12" t="str">
        <x:v>Use Assumptions E4 to select Base, Slower adoption or Earlier growth. Review the amber assumptions before budget approval.</x:v>
      </x:c>
      <x:c r="D47" s="2"/>
      <x:c r="E47" s="3"/>
      <x:c r="F47" s="3"/>
      <x:c r="G47" s="3"/>
      <x:c r="H47" s="3"/>
      <x:c r="I47" s="3"/>
      <x:c r="J47" s="3"/>
      <x:c r="K47" s="3"/>
      <x:c r="L47" s="2"/>
      <x:c r="M47" s="60"/>
      <x:c r="N47" s="2"/>
    </x:row>
    <x:row r="48" ht="24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2"/>
      <x:c r="M48" s="60"/>
      <x:c r="N48" s="2"/>
    </x:row>
    <x:row r="49" ht="24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2"/>
      <x:c r="M49" s="60"/>
      <x:c r="N49" s="2"/>
    </x:row>
    <x:row r="50" ht="24" customHeight="1">
      <x:c r="A50" s="2"/>
      <x:c r="B50" s="2"/>
      <x:c r="C50" s="2"/>
      <x:c r="D50" s="2"/>
      <x:c r="E50" s="3"/>
      <x:c r="F50" s="3"/>
      <x:c r="G50" s="3"/>
      <x:c r="H50" s="3"/>
      <x:c r="I50" s="3"/>
      <x:c r="J50" s="3"/>
      <x:c r="K50" s="3"/>
      <x:c r="L50" s="2"/>
      <x:c r="M50" s="60"/>
      <x:c r="N50" s="2"/>
    </x:row>
    <x:row r="51" ht="30" customHeight="1">
      <x:c r="A51" s="2"/>
      <x:c r="B51" s="2"/>
      <x:c r="C51" s="19" t="str">
        <x:v>Chart data</x:v>
      </x:c>
      <x:c r="D51" s="19" t="str">
        <x:v>Baseline AED</x:v>
      </x:c>
      <x:c r="E51" s="20" t="str">
        <x:v>Central AED</x:v>
      </x:c>
      <x:c r="F51" s="20" t="str">
        <x:v>Cumulative benefit AED</x:v>
      </x:c>
      <x:c r="G51" s="20" t="str">
        <x:v>Paid users</x:v>
      </x:c>
      <x:c r="H51" s="20" t="str">
        <x:v>Deployed users</x:v>
      </x:c>
      <x:c r="I51" s="3"/>
      <x:c r="J51" s="3"/>
      <x:c r="K51" s="3"/>
      <x:c r="L51" s="2"/>
      <x:c r="M51" s="60"/>
      <x:c r="N51" s="2"/>
    </x:row>
    <x:row r="52" ht="24" customHeight="1">
      <x:c r="A52" s="2"/>
      <x:c r="B52" s="2"/>
      <x:c r="C52" s="2" t="str">
        <x:v>Year 1</x:v>
      </x:c>
      <x:c r="D52" s="2" t="n">
        <x:f>'Cost model'!E23</x:f>
        <x:v>26257360</x:v>
      </x:c>
      <x:c r="E52" s="3" t="n">
        <x:f>'Cost model'!E32</x:f>
        <x:v>13308680</x:v>
      </x:c>
      <x:c r="F52" s="3" t="n">
        <x:f>'Cost model'!E35</x:f>
        <x:v>12948680</x:v>
      </x:c>
      <x:c r="G52" s="3" t="n">
        <x:f>'Cost model'!E8</x:f>
        <x:v>10000</x:v>
      </x:c>
      <x:c r="H52" s="3" t="n">
        <x:f>'Cost model'!E11</x:f>
        <x:v>10000</x:v>
      </x:c>
      <x:c r="I52" s="3"/>
      <x:c r="J52" s="3"/>
      <x:c r="K52" s="3"/>
      <x:c r="L52" s="2"/>
      <x:c r="M52" s="60"/>
      <x:c r="N52" s="2"/>
    </x:row>
    <x:row r="53" ht="24" customHeight="1">
      <x:c r="A53" s="2"/>
      <x:c r="B53" s="2"/>
      <x:c r="C53" s="2" t="str">
        <x:v>Year 2</x:v>
      </x:c>
      <x:c r="D53" s="2" t="n">
        <x:f>'Cost model'!F23</x:f>
        <x:v>27879860</x:v>
      </x:c>
      <x:c r="E53" s="3" t="n">
        <x:f>'Cost model'!F32</x:f>
        <x:v>14047930</x:v>
      </x:c>
      <x:c r="F53" s="3" t="n">
        <x:f>'Cost model'!F35</x:f>
        <x:v>26780610</x:v>
      </x:c>
      <x:c r="G53" s="3" t="n">
        <x:f>'Cost model'!F8</x:f>
        <x:v>10625</x:v>
      </x:c>
      <x:c r="H53" s="3" t="n">
        <x:f>'Cost model'!F11</x:f>
        <x:v>10625</x:v>
      </x:c>
      <x:c r="I53" s="3"/>
      <x:c r="J53" s="3"/>
      <x:c r="K53" s="3"/>
      <x:c r="L53" s="2"/>
      <x:c r="M53" s="60"/>
      <x:c r="N53" s="2"/>
    </x:row>
    <x:row r="54" ht="24" customHeight="1">
      <x:c r="A54" s="2"/>
      <x:c r="B54" s="2"/>
      <x:c r="C54" s="2" t="str">
        <x:v>Year 3</x:v>
      </x:c>
      <x:c r="D54" s="2" t="n">
        <x:f>'Cost model'!G23</x:f>
        <x:v>29502360</x:v>
      </x:c>
      <x:c r="E54" s="3" t="n">
        <x:f>'Cost model'!G32</x:f>
        <x:v>14895180</x:v>
      </x:c>
      <x:c r="F54" s="3" t="n">
        <x:f>'Cost model'!G35</x:f>
        <x:v>41387790</x:v>
      </x:c>
      <x:c r="G54" s="3" t="n">
        <x:f>'Cost model'!G8</x:f>
        <x:v>11250</x:v>
      </x:c>
      <x:c r="H54" s="3" t="n">
        <x:f>'Cost model'!G11</x:f>
        <x:v>11250</x:v>
      </x:c>
      <x:c r="I54" s="3"/>
      <x:c r="J54" s="3"/>
      <x:c r="K54" s="3"/>
      <x:c r="L54" s="2"/>
      <x:c r="M54" s="60"/>
      <x:c r="N54" s="2"/>
    </x:row>
    <x:row r="55" ht="24" customHeight="1">
      <x:c r="A55" s="2"/>
      <x:c r="B55" s="2"/>
      <x:c r="C55" s="2" t="str">
        <x:v>Year 4</x:v>
      </x:c>
      <x:c r="D55" s="2" t="n">
        <x:f>'Cost model'!H23</x:f>
        <x:v>31124860</x:v>
      </x:c>
      <x:c r="E55" s="3" t="n">
        <x:f>'Cost model'!H32</x:f>
        <x:v>15706430</x:v>
      </x:c>
      <x:c r="F55" s="3" t="n">
        <x:f>'Cost model'!H35</x:f>
        <x:v>56806220</x:v>
      </x:c>
      <x:c r="G55" s="3" t="n">
        <x:f>'Cost model'!H8</x:f>
        <x:v>11875</x:v>
      </x:c>
      <x:c r="H55" s="3" t="n">
        <x:f>'Cost model'!H11</x:f>
        <x:v>11875</x:v>
      </x:c>
      <x:c r="I55" s="3"/>
      <x:c r="J55" s="3"/>
      <x:c r="K55" s="3"/>
      <x:c r="L55" s="2"/>
      <x:c r="M55" s="60"/>
      <x:c r="N55" s="2"/>
    </x:row>
    <x:row r="56" ht="24" customHeight="1">
      <x:c r="A56" s="2"/>
      <x:c r="B56" s="2"/>
      <x:c r="C56" s="2" t="str">
        <x:v>Year 5</x:v>
      </x:c>
      <x:c r="D56" s="2" t="n">
        <x:f>'Cost model'!I23</x:f>
        <x:v>32747360</x:v>
      </x:c>
      <x:c r="E56" s="3" t="n">
        <x:f>'Cost model'!I32</x:f>
        <x:v>16517680</x:v>
      </x:c>
      <x:c r="F56" s="3" t="n">
        <x:f>'Cost model'!I35</x:f>
        <x:v>73035900</x:v>
      </x:c>
      <x:c r="G56" s="3" t="n">
        <x:f>'Cost model'!I8</x:f>
        <x:v>12500</x:v>
      </x:c>
      <x:c r="H56" s="3" t="n">
        <x:f>'Cost model'!I11</x:f>
        <x:v>12500</x:v>
      </x:c>
      <x:c r="I56" s="3"/>
      <x:c r="J56" s="3"/>
      <x:c r="K56" s="3"/>
      <x:c r="L56" s="2"/>
      <x:c r="M56" s="60"/>
      <x:c r="N56" s="2"/>
    </x:row>
    <x:row r="57" ht="24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4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2"/>
      <x:c r="M65" s="60"/>
      <x:c r="N65" s="2"/>
    </x:row>
    <x:row r="66" ht="24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2"/>
      <x:c r="M66" s="60"/>
      <x:c r="N66" s="2"/>
    </x:row>
    <x:row r="67" ht="24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pageMargins left="0.7" right="0.7" top="0.75" bottom="0.75" header="0.3" footer="0.3"/>
  <x:drawing xmlns:r="http://schemas.openxmlformats.org/officeDocument/2006/relationships" r:id="R7561a31417f9492e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Commercial terms and planning assumptions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10" t="n">
        <x:v>1</x:v>
      </x:c>
      <x:c r="F4" s="8"/>
      <x:c r="G4" s="3" t="str">
        <x:v>1 Base   2 Slower adoption   3 Earlier growth</x:v>
      </x:c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11" t="str">
        <x:f>CHOOSE(E4,"Base","Slower adoption","Earlier growth")</x:f>
        <x:v>Base</x:v>
      </x:c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12" t="str">
        <x:v>Blue numbers are editable. Amber cells are planning assumptions. Green formulas link sheets. Amounts are AED before tax.</x:v>
      </x:c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Commercial input</x:v>
      </x:c>
      <x:c r="D7" s="19" t="str">
        <x:v>Unit</x:v>
      </x:c>
      <x:c r="E7" s="20" t="str">
        <x:v>Value</x:v>
      </x:c>
      <x:c r="F7" s="3"/>
      <x:c r="G7" s="3"/>
      <x:c r="H7" s="3"/>
      <x:c r="I7" s="3"/>
      <x:c r="J7" s="3"/>
      <x:c r="K7" s="3"/>
      <x:c r="L7" s="2"/>
      <x:c r="M7" s="60"/>
      <x:c r="N7" s="2"/>
    </x:row>
    <x:row r="8" ht="24" customHeight="1">
      <x:c r="A8" s="2"/>
      <x:c r="B8" s="2"/>
      <x:c r="C8" s="2" t="str">
        <x:v>Regular Basic Price</x:v>
      </x:c>
      <x:c r="D8" s="2" t="str">
        <x:v>AED/user/year</x:v>
      </x:c>
      <x:c r="E8" s="21" t="n">
        <x:v>2950</x:v>
      </x:c>
      <x:c r="F8" s="3"/>
      <x:c r="G8" s="3"/>
      <x:c r="H8" s="3"/>
      <x:c r="I8" s="3"/>
      <x:c r="J8" s="3"/>
      <x:c r="K8" s="3"/>
      <x:c r="L8" s="2"/>
      <x:c r="M8" s="60" t="str">
        <x:v>S01. Reference only.</x:v>
      </x:c>
      <x:c r="N8" s="2"/>
    </x:row>
    <x:row r="9" ht="24" customHeight="1">
      <x:c r="A9" s="2"/>
      <x:c r="B9" s="2"/>
      <x:c r="C9" s="2" t="str">
        <x:v>DDA Shared Service baseline</x:v>
      </x:c>
      <x:c r="D9" s="2" t="str">
        <x:v>AED/user/year</x:v>
      </x:c>
      <x:c r="E9" s="21" t="n">
        <x:v>2360</x:v>
      </x:c>
      <x:c r="F9" s="3"/>
      <x:c r="G9" s="3"/>
      <x:c r="H9" s="3"/>
      <x:c r="I9" s="3"/>
      <x:c r="J9" s="3"/>
      <x:c r="K9" s="3"/>
      <x:c r="L9" s="2"/>
      <x:c r="M9" s="60" t="str">
        <x:v>S06. Main comparison baseline, not actual current spending.</x:v>
      </x:c>
      <x:c r="N9" s="2"/>
    </x:row>
    <x:row r="10" ht="24" customHeight="1">
      <x:c r="A10" s="2"/>
      <x:c r="B10" s="2"/>
      <x:c r="C10" s="2" t="str">
        <x:v>Central subscription</x:v>
      </x:c>
      <x:c r="D10" s="2" t="str">
        <x:v>AED/user/year</x:v>
      </x:c>
      <x:c r="E10" s="21" t="n">
        <x:v>1180</x:v>
      </x:c>
      <x:c r="F10" s="3"/>
      <x:c r="G10" s="3"/>
      <x:c r="H10" s="3"/>
      <x:c r="I10" s="3"/>
      <x:c r="J10" s="3"/>
      <x:c r="K10" s="3"/>
      <x:c r="L10" s="2"/>
      <x:c r="M10" s="60" t="str">
        <x:v>S08. Offer for initial 10,000 annual commitment.</x:v>
      </x:c>
      <x:c r="N10" s="2"/>
    </x:row>
    <x:row r="11" ht="24" customHeight="1">
      <x:c r="A11" s="2"/>
      <x:c r="B11" s="2"/>
      <x:c r="C11" s="2" t="str">
        <x:v>Hosted standard support</x:v>
      </x:c>
      <x:c r="D11" s="2" t="str">
        <x:v>% of subscription</x:v>
      </x:c>
      <x:c r="E11" s="22" t="n">
        <x:v>0.1</x:v>
      </x:c>
      <x:c r="F11" s="3"/>
      <x:c r="G11" s="3"/>
      <x:c r="H11" s="3"/>
      <x:c r="I11" s="3"/>
      <x:c r="J11" s="3"/>
      <x:c r="K11" s="3"/>
      <x:c r="L11" s="2"/>
      <x:c r="M11" s="60" t="str">
        <x:v>S08/S09. Same percentage in both comparisons. 8×5 support.</x:v>
      </x:c>
      <x:c r="N11" s="2"/>
    </x:row>
    <x:row r="12" ht="24" customHeight="1">
      <x:c r="A12" s="2"/>
      <x:c r="B12" s="2"/>
      <x:c r="C12" s="2" t="str">
        <x:v>On-premise support</x:v>
      </x:c>
      <x:c r="D12" s="2" t="str">
        <x:v>% of subscription</x:v>
      </x:c>
      <x:c r="E12" s="22" t="n">
        <x:v>0.2</x:v>
      </x:c>
      <x:c r="F12" s="3"/>
      <x:c r="G12" s="3"/>
      <x:c r="H12" s="3"/>
      <x:c r="I12" s="3"/>
      <x:c r="J12" s="3"/>
      <x:c r="K12" s="3"/>
      <x:c r="L12" s="2"/>
      <x:c r="M12" s="60" t="str">
        <x:v>S10. Replaces 10% and old support charges.</x:v>
      </x:c>
      <x:c r="N12" s="2"/>
    </x:row>
    <x:row r="13" ht="24" customHeight="1">
      <x:c r="A13" s="2"/>
      <x:c r="B13" s="2"/>
      <x:c r="C13" s="2" t="str">
        <x:v>Onboarding per new entity</x:v>
      </x:c>
      <x:c r="D13" s="2" t="str">
        <x:v>AED once</x:v>
      </x:c>
      <x:c r="E13" s="21" t="n">
        <x:v>18000</x:v>
      </x:c>
      <x:c r="F13" s="3"/>
      <x:c r="G13" s="3"/>
      <x:c r="H13" s="3"/>
      <x:c r="I13" s="3"/>
      <x:c r="J13" s="3"/>
      <x:c r="K13" s="3"/>
      <x:c r="L13" s="2"/>
      <x:c r="M13" s="60" t="str">
        <x:v>S08. New entities only. Existing customer migration excluded.</x:v>
      </x:c>
      <x:c r="N13" s="2"/>
    </x:row>
    <x:row r="14" ht="24" customHeight="1">
      <x:c r="A14" s="2"/>
      <x:c r="B14" s="2"/>
      <x:c r="C14" s="2" t="str">
        <x:v>Initial annual commitment</x:v>
      </x:c>
      <x:c r="D14" s="2" t="str">
        <x:v>Users</x:v>
      </x:c>
      <x:c r="E14" s="21" t="n">
        <x:v>10000</x:v>
      </x:c>
      <x:c r="F14" s="3"/>
      <x:c r="G14" s="3"/>
      <x:c r="H14" s="3"/>
      <x:c r="I14" s="3"/>
      <x:c r="J14" s="3"/>
      <x:c r="K14" s="3"/>
      <x:c r="L14" s="2"/>
      <x:c r="M14" s="60" t="str">
        <x:v>S07. Includes existing customers and RTA.</x:v>
      </x:c>
      <x:c r="N14" s="2"/>
    </x:row>
    <x:row r="15" ht="24" customHeight="1">
      <x:c r="A15" s="2"/>
      <x:c r="B15" s="2"/>
      <x:c r="C15" s="2" t="str">
        <x:v>Contract duration</x:v>
      </x:c>
      <x:c r="D15" s="2" t="str">
        <x:v>Years</x:v>
      </x:c>
      <x:c r="E15" s="21" t="n">
        <x:v>5</x:v>
      </x:c>
      <x:c r="F15" s="3"/>
      <x:c r="G15" s="3"/>
      <x:c r="H15" s="3"/>
      <x:c r="I15" s="3"/>
      <x:c r="J15" s="3"/>
      <x:c r="K15" s="3"/>
      <x:c r="L15" s="2"/>
      <x:c r="M15" s="60" t="str">
        <x:v>S07. Annual billing with five-year commitment.</x:v>
      </x:c>
      <x:c r="N15" s="2"/>
    </x:row>
    <x:row r="16" ht="24" customHeight="1">
      <x:c r="A16" s="2"/>
      <x:c r="B16" s="2"/>
      <x:c r="C16" s="2" t="str">
        <x:v>Central annual indexation</x:v>
      </x:c>
      <x:c r="D16" s="2" t="str">
        <x:v>%</x:v>
      </x:c>
      <x:c r="E16" s="22" t="n">
        <x:v>0</x:v>
      </x:c>
      <x:c r="F16" s="3"/>
      <x:c r="G16" s="3"/>
      <x:c r="H16" s="3"/>
      <x:c r="I16" s="3"/>
      <x:c r="J16" s="3"/>
      <x:c r="K16" s="3"/>
      <x:c r="L16" s="2"/>
      <x:c r="M16" s="60" t="str">
        <x:v>S07. No indexation for five years.</x:v>
      </x:c>
      <x:c r="N16" s="2"/>
    </x:row>
    <x:row r="17" ht="24" customHeight="1">
      <x:c r="A17" s="2"/>
      <x:c r="B17" s="2"/>
      <x:c r="C17" s="2" t="str">
        <x:v>Baseline annual escalation</x:v>
      </x:c>
      <x:c r="D17" s="2" t="str">
        <x:v>%</x:v>
      </x:c>
      <x:c r="E17" s="23" t="n">
        <x:v>0</x:v>
      </x:c>
      <x:c r="F17" s="3"/>
      <x:c r="G17" s="3"/>
      <x:c r="H17" s="3"/>
      <x:c r="I17" s="3"/>
      <x:c r="J17" s="3"/>
      <x:c r="K17" s="3"/>
      <x:c r="L17" s="2"/>
      <x:c r="M17" s="60" t="str">
        <x:v>Planning assumption. No contractual increase supplied. Headline uses zero.</x:v>
      </x:c>
      <x:c r="N17" s="2"/>
    </x:row>
    <x:row r="18" ht="24" customHeight="1">
      <x:c r="A18" s="2"/>
      <x:c r="B18" s="2"/>
      <x:c r="C18" s="2" t="str">
        <x:v>Illustrative escalation sensitivity</x:v>
      </x:c>
      <x:c r="D18" s="2" t="str">
        <x:v>%</x:v>
      </x:c>
      <x:c r="E18" s="23" t="n">
        <x:v>0.03</x:v>
      </x:c>
      <x:c r="F18" s="3"/>
      <x:c r="G18" s="3"/>
      <x:c r="H18" s="3"/>
      <x:c r="I18" s="3"/>
      <x:c r="J18" s="3"/>
      <x:c r="K18" s="3"/>
      <x:c r="L18" s="2"/>
      <x:c r="M18" s="60" t="str">
        <x:v>Hypothetical 3% alternative. Extra avoided escalation shown separately.</x:v>
      </x:c>
      <x:c r="N18" s="2"/>
    </x:row>
    <x:row r="19" ht="24" customHeight="1">
      <x:c r="A19" s="2"/>
      <x:c r="B19" s="2"/>
      <x:c r="C19" s="2" t="str">
        <x:v>Existing on-premise users</x:v>
      </x:c>
      <x:c r="D19" s="2" t="str">
        <x:v>Users</x:v>
      </x:c>
      <x:c r="E19" s="7" t="n">
        <x:f>SUMIF('Customers'!$E$8:$E$16,"On-Premise",'Customers'!$F$8:$F$16)</x:f>
        <x:v>1260</x:v>
      </x:c>
      <x:c r="F19" s="3"/>
      <x:c r="G19" s="3"/>
      <x:c r="H19" s="3"/>
      <x:c r="I19" s="3"/>
      <x:c r="J19" s="3"/>
      <x:c r="K19" s="3"/>
      <x:c r="L19" s="2"/>
      <x:c r="M19" s="60" t="str">
        <x:v>S03. Sum of four project user counts. Assumed retained on-premise from Year 1.</x:v>
      </x:c>
      <x:c r="N19" s="2"/>
    </x:row>
    <x:row r="20" ht="24" customHeight="1">
      <x:c r="A20" s="2"/>
      <x:c r="B20" s="2"/>
      <x:c r="C20" s="2" t="str">
        <x:v>Existing users included</x:v>
      </x:c>
      <x:c r="D20" s="2" t="str">
        <x:v>Users</x:v>
      </x:c>
      <x:c r="E20" s="7" t="n">
        <x:f>SUM('Customers'!F8:F16)</x:f>
        <x:v>1830</x:v>
      </x:c>
      <x:c r="F20" s="3"/>
      <x:c r="G20" s="3"/>
      <x:c r="H20" s="3"/>
      <x:c r="I20" s="3"/>
      <x:c r="J20" s="3"/>
      <x:c r="K20" s="3"/>
      <x:c r="L20" s="2"/>
      <x:c r="M20" s="60" t="str">
        <x:v>S03/S07. Project users, not verified unique active people.</x:v>
      </x:c>
      <x:c r="N20" s="2"/>
    </x:row>
    <x:row r="21" ht="24" customHeight="1">
      <x:c r="A21" s="2"/>
      <x:c r="B21" s="2"/>
      <x:c r="C21" s="2" t="str">
        <x:v>Unit reference denominator</x:v>
      </x:c>
      <x:c r="D21" s="2" t="str">
        <x:v>Employees</x:v>
      </x:c>
      <x:c r="E21" s="21" t="n">
        <x:v>76000</x:v>
      </x:c>
      <x:c r="F21" s="3"/>
      <x:c r="G21" s="3"/>
      <x:c r="H21" s="3"/>
      <x:c r="I21" s="3"/>
      <x:c r="J21" s="3"/>
      <x:c r="K21" s="3"/>
      <x:c r="L21" s="2"/>
      <x:c r="M21" s="60" t="str">
        <x:v>R01. Lower reference point for reported over 76,000 Smart Employee users in May 2025.</x:v>
      </x:c>
      <x:c r="N21" s="2"/>
    </x:row>
    <x:row r="22" ht="24" customHeight="1">
      <x:c r="A22" s="2"/>
      <x:c r="B22" s="2"/>
      <x:c r="C22" s="2" t="str">
        <x:v>Growth-seat price assumption</x:v>
      </x:c>
      <x:c r="D22" s="2" t="str">
        <x:v>AED/user/year</x:v>
      </x:c>
      <x:c r="E22" s="24" t="n">
        <x:v>1180</x:v>
      </x:c>
      <x:c r="F22" s="3"/>
      <x:c r="G22" s="3"/>
      <x:c r="H22" s="3"/>
      <x:c r="I22" s="3"/>
      <x:c r="J22" s="3"/>
      <x:c r="K22" s="3"/>
      <x:c r="L22" s="2"/>
      <x:c r="M22" s="60" t="str">
        <x:v>Planning assumption. Extension of price lock to added seats needs confirmation.</x:v>
      </x:c>
      <x:c r="N22" s="2"/>
    </x:row>
    <x:row r="23" ht="24" customHeight="1">
      <x:c r="A23" s="2"/>
      <x:c r="B23" s="2"/>
      <x:c r="C23" s="2" t="str">
        <x:v>Baseline onboarding allowance</x:v>
      </x:c>
      <x:c r="D23" s="2" t="str">
        <x:v>AED/new entity</x:v>
      </x:c>
      <x:c r="E23" s="24" t="n">
        <x:v>0</x:v>
      </x:c>
      <x:c r="F23" s="3"/>
      <x:c r="G23" s="3"/>
      <x:c r="H23" s="3"/>
      <x:c r="I23" s="3"/>
      <x:c r="J23" s="3"/>
      <x:c r="K23" s="3"/>
      <x:c r="L23" s="2"/>
      <x:c r="M23" s="60" t="str">
        <x:v>Comparison convention only. Unpriced baseline implementation is excluded.</x:v>
      </x:c>
      <x:c r="N23" s="2"/>
    </x:row>
    <x:row r="24" ht="24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2"/>
      <x:c r="M24" s="60"/>
      <x:c r="N24" s="2"/>
    </x:row>
    <x:row r="25" ht="30" customHeight="1">
      <x:c r="A25" s="2"/>
      <x:c r="B25" s="2"/>
      <x:c r="C25" s="19" t="str">
        <x:v>Planning driver</x:v>
      </x:c>
      <x:c r="D25" s="19" t="str">
        <x:v>Unit</x:v>
      </x:c>
      <x:c r="E25" s="20" t="str">
        <x:v>Year 1</x:v>
      </x:c>
      <x:c r="F25" s="20" t="str">
        <x:v>Year 2</x:v>
      </x:c>
      <x:c r="G25" s="20" t="str">
        <x:v>Year 3</x:v>
      </x:c>
      <x:c r="H25" s="20" t="str">
        <x:v>Year 4</x:v>
      </x:c>
      <x:c r="I25" s="20" t="str">
        <x:v>Year 5</x:v>
      </x:c>
      <x:c r="J25" s="3"/>
      <x:c r="K25" s="3"/>
      <x:c r="L25" s="2"/>
      <x:c r="M25" s="60"/>
      <x:c r="N25" s="2"/>
    </x:row>
    <x:row r="26" ht="24" customHeight="1">
      <x:c r="A26" s="2"/>
      <x:c r="B26" s="2"/>
      <x:c r="C26" s="25" t="str">
        <x:v>Cumulative purchased-seat growth</x:v>
      </x:c>
      <x:c r="D26" s="25" t="str">
        <x:v>%</x:v>
      </x:c>
      <x:c r="E26" s="29" t="n">
        <x:f>IF(ISNUMBER(CHOOSE($E$4,E27,E28,E29)),CHOOSE($E$4,E27,E28,E29),NA())</x:f>
        <x:v>0</x:v>
      </x:c>
      <x:c r="F26" s="29" t="n">
        <x:f>IF(ISNUMBER(CHOOSE($E$4,F27,F28,F29)),CHOOSE($E$4,F27,F28,F29),NA())</x:f>
        <x:v>0.0625</x:v>
      </x:c>
      <x:c r="G26" s="29" t="n">
        <x:f>IF(ISNUMBER(CHOOSE($E$4,G27,G28,G29)),CHOOSE($E$4,G27,G28,G29),NA())</x:f>
        <x:v>0.125</x:v>
      </x:c>
      <x:c r="H26" s="29" t="n">
        <x:f>IF(ISNUMBER(CHOOSE($E$4,H27,H28,H29)),CHOOSE($E$4,H27,H28,H29),NA())</x:f>
        <x:v>0.1875</x:v>
      </x:c>
      <x:c r="I26" s="29" t="n">
        <x:f>IF(ISNUMBER(CHOOSE($E$4,I27,I28,I29)),CHOOSE($E$4,I27,I28,I29),NA())</x:f>
        <x:v>0.25</x:v>
      </x:c>
      <x:c r="J26" s="3"/>
      <x:c r="K26" s="3"/>
      <x:c r="L26" s="2"/>
      <x:c r="M26" s="60" t="str">
        <x:v>25% cumulative agreed. Linear timing to Year 5 is a planning assumption; earlier growth reaches Year 3.</x:v>
      </x:c>
      <x:c r="N26" s="2"/>
    </x:row>
    <x:row r="27" ht="24" customHeight="1">
      <x:c r="A27" s="2"/>
      <x:c r="B27" s="2"/>
      <x:c r="C27" s="2" t="str">
        <x:v>Base</x:v>
      </x:c>
      <x:c r="D27" s="2" t="str">
        <x:v>%</x:v>
      </x:c>
      <x:c r="E27" s="23" t="n">
        <x:v>0</x:v>
      </x:c>
      <x:c r="F27" s="23" t="n">
        <x:v>0.0625</x:v>
      </x:c>
      <x:c r="G27" s="23" t="n">
        <x:v>0.125</x:v>
      </x:c>
      <x:c r="H27" s="23" t="n">
        <x:v>0.1875</x:v>
      </x:c>
      <x:c r="I27" s="23" t="n">
        <x:v>0.25</x:v>
      </x:c>
      <x:c r="J27" s="3"/>
      <x:c r="K27" s="3"/>
      <x:c r="L27" s="2"/>
      <x:c r="M27" s="60"/>
      <x:c r="N27" s="2"/>
    </x:row>
    <x:row r="28" ht="24" customHeight="1">
      <x:c r="A28" s="2"/>
      <x:c r="B28" s="2"/>
      <x:c r="C28" s="2" t="str">
        <x:v>Slower adoption</x:v>
      </x:c>
      <x:c r="D28" s="2" t="str">
        <x:v>%</x:v>
      </x:c>
      <x:c r="E28" s="23" t="n">
        <x:v>0</x:v>
      </x:c>
      <x:c r="F28" s="23" t="n">
        <x:v>0.0625</x:v>
      </x:c>
      <x:c r="G28" s="23" t="n">
        <x:v>0.125</x:v>
      </x:c>
      <x:c r="H28" s="23" t="n">
        <x:v>0.1875</x:v>
      </x:c>
      <x:c r="I28" s="23" t="n">
        <x:v>0.25</x:v>
      </x:c>
      <x:c r="J28" s="3"/>
      <x:c r="K28" s="3"/>
      <x:c r="L28" s="2"/>
      <x:c r="M28" s="60"/>
      <x:c r="N28" s="2"/>
    </x:row>
    <x:row r="29" ht="24" customHeight="1">
      <x:c r="A29" s="2"/>
      <x:c r="B29" s="2"/>
      <x:c r="C29" s="2" t="str">
        <x:v>Earlier growth</x:v>
      </x:c>
      <x:c r="D29" s="2" t="str">
        <x:v>%</x:v>
      </x:c>
      <x:c r="E29" s="23" t="n">
        <x:v>0</x:v>
      </x:c>
      <x:c r="F29" s="23" t="n">
        <x:v>0.125</x:v>
      </x:c>
      <x:c r="G29" s="23" t="n">
        <x:v>0.25</x:v>
      </x:c>
      <x:c r="H29" s="23" t="n">
        <x:v>0.25</x:v>
      </x:c>
      <x:c r="I29" s="23" t="n">
        <x:v>0.25</x:v>
      </x:c>
      <x:c r="J29" s="3"/>
      <x:c r="K29" s="3"/>
      <x:c r="L29" s="2"/>
      <x:c r="M29" s="60"/>
      <x:c r="N29" s="2"/>
    </x:row>
    <x:row r="30" ht="24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5" t="str">
        <x:v>Deployed share of paid capacity</x:v>
      </x:c>
      <x:c r="D32" s="25" t="str">
        <x:v>%</x:v>
      </x:c>
      <x:c r="E32" s="29" t="n">
        <x:f>IF(ISNUMBER(CHOOSE($E$4,E33,E34,E35)),CHOOSE($E$4,E33,E34,E35),NA())</x:f>
        <x:v>1</x:v>
      </x:c>
      <x:c r="F32" s="29" t="n">
        <x:f>IF(ISNUMBER(CHOOSE($E$4,F33,F34,F35)),CHOOSE($E$4,F33,F34,F35),NA())</x:f>
        <x:v>1</x:v>
      </x:c>
      <x:c r="G32" s="29" t="n">
        <x:f>IF(ISNUMBER(CHOOSE($E$4,G33,G34,G35)),CHOOSE($E$4,G33,G34,G35),NA())</x:f>
        <x:v>1</x:v>
      </x:c>
      <x:c r="H32" s="29" t="n">
        <x:f>IF(ISNUMBER(CHOOSE($E$4,H33,H34,H35)),CHOOSE($E$4,H33,H34,H35),NA())</x:f>
        <x:v>1</x:v>
      </x:c>
      <x:c r="I32" s="29" t="n">
        <x:f>IF(ISNUMBER(CHOOSE($E$4,I33,I34,I35)),CHOOSE($E$4,I33,I34,I35),NA())</x:f>
        <x:v>1</x:v>
      </x:c>
      <x:c r="J32" s="3"/>
      <x:c r="K32" s="3"/>
      <x:c r="L32" s="2"/>
      <x:c r="M32" s="60" t="str">
        <x:v>Illustrative adoption only. Base tests matched capacity, not a verified deployment forecast. Slow case tests underuse.</x:v>
      </x:c>
      <x:c r="N32" s="2"/>
    </x:row>
    <x:row r="33" ht="24" customHeight="1">
      <x:c r="A33" s="2"/>
      <x:c r="B33" s="2"/>
      <x:c r="C33" s="2" t="str">
        <x:v>Base</x:v>
      </x:c>
      <x:c r="D33" s="2" t="str">
        <x:v>%</x:v>
      </x:c>
      <x:c r="E33" s="23" t="n">
        <x:v>1</x:v>
      </x:c>
      <x:c r="F33" s="23" t="n">
        <x:v>1</x:v>
      </x:c>
      <x:c r="G33" s="23" t="n">
        <x:v>1</x:v>
      </x:c>
      <x:c r="H33" s="23" t="n">
        <x:v>1</x:v>
      </x:c>
      <x:c r="I33" s="23" t="n">
        <x:v>1</x:v>
      </x:c>
      <x:c r="J33" s="3"/>
      <x:c r="K33" s="3"/>
      <x:c r="L33" s="2"/>
      <x:c r="M33" s="60"/>
      <x:c r="N33" s="2"/>
    </x:row>
    <x:row r="34" ht="24" customHeight="1">
      <x:c r="A34" s="2"/>
      <x:c r="B34" s="2"/>
      <x:c r="C34" s="2" t="str">
        <x:v>Slower adoption</x:v>
      </x:c>
      <x:c r="D34" s="2" t="str">
        <x:v>%</x:v>
      </x:c>
      <x:c r="E34" s="23" t="n">
        <x:v>0.6</x:v>
      </x:c>
      <x:c r="F34" s="23" t="n">
        <x:v>0.75</x:v>
      </x:c>
      <x:c r="G34" s="23" t="n">
        <x:v>0.85</x:v>
      </x:c>
      <x:c r="H34" s="23" t="n">
        <x:v>0.95</x:v>
      </x:c>
      <x:c r="I34" s="23" t="n">
        <x:v>1</x:v>
      </x:c>
      <x:c r="J34" s="3"/>
      <x:c r="K34" s="3"/>
      <x:c r="L34" s="2"/>
      <x:c r="M34" s="60"/>
      <x:c r="N34" s="2"/>
    </x:row>
    <x:row r="35" ht="24" customHeight="1">
      <x:c r="A35" s="2"/>
      <x:c r="B35" s="2"/>
      <x:c r="C35" s="2" t="str">
        <x:v>Earlier growth</x:v>
      </x:c>
      <x:c r="D35" s="2" t="str">
        <x:v>%</x:v>
      </x:c>
      <x:c r="E35" s="23" t="n">
        <x:v>1</x:v>
      </x:c>
      <x:c r="F35" s="23" t="n">
        <x:v>1</x:v>
      </x:c>
      <x:c r="G35" s="23" t="n">
        <x:v>1</x:v>
      </x:c>
      <x:c r="H35" s="23" t="n">
        <x:v>1</x:v>
      </x:c>
      <x:c r="I35" s="23" t="n">
        <x:v>1</x:v>
      </x:c>
      <x:c r="J35" s="3"/>
      <x:c r="K35" s="3"/>
      <x:c r="L35" s="2"/>
      <x:c r="M35" s="60"/>
      <x:c r="N35" s="2"/>
    </x:row>
    <x:row r="36" ht="24" customHeight="1">
      <x:c r="A36" s="2"/>
      <x:c r="B36" s="2"/>
      <x:c r="C36" s="2"/>
      <x:c r="D36" s="2"/>
      <x:c r="E36" s="3"/>
      <x:c r="F36" s="3"/>
      <x:c r="G36" s="3"/>
      <x:c r="H36" s="3"/>
      <x:c r="I36" s="3"/>
      <x:c r="J36" s="3"/>
      <x:c r="K36" s="3"/>
      <x:c r="L36" s="2"/>
      <x:c r="M36" s="60"/>
      <x:c r="N36" s="2"/>
    </x:row>
    <x:row r="37" ht="24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2"/>
      <x:c r="M37" s="60"/>
      <x:c r="N37" s="2"/>
    </x:row>
    <x:row r="38" ht="24" customHeight="1">
      <x:c r="A38" s="2"/>
      <x:c r="B38" s="2"/>
      <x:c r="C38" s="25" t="str">
        <x:v>New entities onboarded in year</x:v>
      </x:c>
      <x:c r="D38" s="25" t="str">
        <x:v>Entities</x:v>
      </x:c>
      <x:c r="E38" s="28" t="n">
        <x:f>IF(ISNUMBER(CHOOSE($E$4,E39,E40,E41)),CHOOSE($E$4,E39,E40,E41),NA())</x:f>
        <x:v>10</x:v>
      </x:c>
      <x:c r="F38" s="28" t="n">
        <x:f>IF(ISNUMBER(CHOOSE($E$4,F39,F40,F41)),CHOOSE($E$4,F39,F40,F41),NA())</x:f>
        <x:v>6</x:v>
      </x:c>
      <x:c r="G38" s="28" t="n">
        <x:f>IF(ISNUMBER(CHOOSE($E$4,G39,G40,G41)),CHOOSE($E$4,G39,G40,G41),NA())</x:f>
        <x:v>8</x:v>
      </x:c>
      <x:c r="H38" s="28" t="n">
        <x:f>IF(ISNUMBER(CHOOSE($E$4,H39,H40,H41)),CHOOSE($E$4,H39,H40,H41),NA())</x:f>
        <x:v>8</x:v>
      </x:c>
      <x:c r="I38" s="28" t="n">
        <x:f>IF(ISNUMBER(CHOOSE($E$4,I39,I40,I41)),CHOOSE($E$4,I39,I40,I41),NA())</x:f>
        <x:v>8</x:v>
      </x:c>
      <x:c r="J38" s="3"/>
      <x:c r="K38" s="3"/>
      <x:c r="L38" s="2"/>
      <x:c r="M38" s="60" t="str">
        <x:v>Illustrative schedule, 40 new entities in total. Survey 10 current / 6 future interest does not establish this schedule.</x:v>
      </x:c>
      <x:c r="N38" s="2"/>
    </x:row>
    <x:row r="39" ht="24" customHeight="1">
      <x:c r="A39" s="2"/>
      <x:c r="B39" s="2"/>
      <x:c r="C39" s="2" t="str">
        <x:v>Base</x:v>
      </x:c>
      <x:c r="D39" s="2" t="str">
        <x:v>Entities</x:v>
      </x:c>
      <x:c r="E39" s="24" t="n">
        <x:v>10</x:v>
      </x:c>
      <x:c r="F39" s="24" t="n">
        <x:v>6</x:v>
      </x:c>
      <x:c r="G39" s="24" t="n">
        <x:v>8</x:v>
      </x:c>
      <x:c r="H39" s="24" t="n">
        <x:v>8</x:v>
      </x:c>
      <x:c r="I39" s="24" t="n">
        <x:v>8</x:v>
      </x:c>
      <x:c r="J39" s="3"/>
      <x:c r="K39" s="3"/>
      <x:c r="L39" s="2"/>
      <x:c r="M39" s="60"/>
      <x:c r="N39" s="2"/>
    </x:row>
    <x:row r="40" ht="24" customHeight="1">
      <x:c r="A40" s="2"/>
      <x:c r="B40" s="2"/>
      <x:c r="C40" s="2" t="str">
        <x:v>Slower adoption</x:v>
      </x:c>
      <x:c r="D40" s="2" t="str">
        <x:v>Entities</x:v>
      </x:c>
      <x:c r="E40" s="24" t="n">
        <x:v>6</x:v>
      </x:c>
      <x:c r="F40" s="24" t="n">
        <x:v>6</x:v>
      </x:c>
      <x:c r="G40" s="24" t="n">
        <x:v>8</x:v>
      </x:c>
      <x:c r="H40" s="24" t="n">
        <x:v>10</x:v>
      </x:c>
      <x:c r="I40" s="24" t="n">
        <x:v>10</x:v>
      </x:c>
      <x:c r="J40" s="3"/>
      <x:c r="K40" s="3"/>
      <x:c r="L40" s="2"/>
      <x:c r="M40" s="60"/>
      <x:c r="N40" s="2"/>
    </x:row>
    <x:row r="41" ht="24" customHeight="1">
      <x:c r="A41" s="2"/>
      <x:c r="B41" s="2"/>
      <x:c r="C41" s="2" t="str">
        <x:v>Earlier growth</x:v>
      </x:c>
      <x:c r="D41" s="2" t="str">
        <x:v>Entities</x:v>
      </x:c>
      <x:c r="E41" s="24" t="n">
        <x:v>16</x:v>
      </x:c>
      <x:c r="F41" s="24" t="n">
        <x:v>12</x:v>
      </x:c>
      <x:c r="G41" s="24" t="n">
        <x:v>6</x:v>
      </x:c>
      <x:c r="H41" s="24" t="n">
        <x:v>3</x:v>
      </x:c>
      <x:c r="I41" s="24" t="n">
        <x:v>3</x:v>
      </x:c>
      <x:c r="J41" s="3"/>
      <x:c r="K41" s="3"/>
      <x:c r="L41" s="2"/>
      <x:c r="M41" s="60"/>
      <x:c r="N41" s="2"/>
    </x:row>
    <x:row r="42" ht="24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2"/>
      <x:c r="M42" s="60"/>
      <x:c r="N42" s="2"/>
    </x:row>
    <x:row r="43" ht="24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2"/>
      <x:c r="M43" s="60"/>
      <x:c r="N43" s="2"/>
    </x:row>
    <x:row r="44" ht="24" customHeight="1">
      <x:c r="A44" s="2"/>
      <x:c r="B44" s="2"/>
      <x:c r="C44" s="25" t="str">
        <x:v>Legacy overlap charged in year</x:v>
      </x:c>
      <x:c r="D44" s="25" t="str">
        <x:v>Fraction</x:v>
      </x:c>
      <x:c r="E44" s="29" t="n">
        <x:f>IF(ISNUMBER(CHOOSE($E$4,E45,E46,E47)),CHOOSE($E$4,E45,E46,E47),NA())</x:f>
        <x:v>0</x:v>
      </x:c>
      <x:c r="F44" s="29" t="n">
        <x:f>IF(ISNUMBER(CHOOSE($E$4,F45,F46,F47)),CHOOSE($E$4,F45,F46,F47),NA())</x:f>
        <x:v>0</x:v>
      </x:c>
      <x:c r="G44" s="29" t="n">
        <x:f>IF(ISNUMBER(CHOOSE($E$4,G45,G46,G47)),CHOOSE($E$4,G45,G46,G47),NA())</x:f>
        <x:v>0</x:v>
      </x:c>
      <x:c r="H44" s="29" t="n">
        <x:f>IF(ISNUMBER(CHOOSE($E$4,H45,H46,H47)),CHOOSE($E$4,H45,H46,H47),NA())</x:f>
        <x:v>0</x:v>
      </x:c>
      <x:c r="I44" s="29" t="n">
        <x:f>IF(ISNUMBER(CHOOSE($E$4,I45,I46,I47)),CHOOSE($E$4,I45,I46,I47),NA())</x:f>
        <x:v>0</x:v>
      </x:c>
      <x:c r="J44" s="3"/>
      <x:c r="K44" s="3"/>
      <x:c r="L44" s="2"/>
      <x:c r="M44" s="60" t="str">
        <x:v>Zero assumes migration at Year 1 start. Slow case includes one quarter of known reported annual charges. No refund assumed.</x:v>
      </x:c>
      <x:c r="N44" s="2"/>
    </x:row>
    <x:row r="45" ht="24" customHeight="1">
      <x:c r="A45" s="2"/>
      <x:c r="B45" s="2"/>
      <x:c r="C45" s="2" t="str">
        <x:v>Base</x:v>
      </x:c>
      <x:c r="D45" s="2" t="str">
        <x:v>Fraction</x:v>
      </x:c>
      <x:c r="E45" s="23" t="n">
        <x:v>0</x:v>
      </x:c>
      <x:c r="F45" s="23" t="n">
        <x:v>0</x:v>
      </x:c>
      <x:c r="G45" s="23" t="n">
        <x:v>0</x:v>
      </x:c>
      <x:c r="H45" s="23" t="n">
        <x:v>0</x:v>
      </x:c>
      <x:c r="I45" s="23" t="n">
        <x:v>0</x:v>
      </x:c>
      <x:c r="J45" s="3"/>
      <x:c r="K45" s="3"/>
      <x:c r="L45" s="2"/>
      <x:c r="M45" s="60"/>
      <x:c r="N45" s="2"/>
    </x:row>
    <x:row r="46" ht="24" customHeight="1">
      <x:c r="A46" s="2"/>
      <x:c r="B46" s="2"/>
      <x:c r="C46" s="2" t="str">
        <x:v>Slower adoption</x:v>
      </x:c>
      <x:c r="D46" s="2" t="str">
        <x:v>Fraction</x:v>
      </x:c>
      <x:c r="E46" s="23" t="n">
        <x:v>0.25</x:v>
      </x:c>
      <x:c r="F46" s="23" t="n">
        <x:v>0</x:v>
      </x:c>
      <x:c r="G46" s="23" t="n">
        <x:v>0</x:v>
      </x:c>
      <x:c r="H46" s="23" t="n">
        <x:v>0</x:v>
      </x:c>
      <x:c r="I46" s="23" t="n">
        <x:v>0</x:v>
      </x:c>
      <x:c r="J46" s="3"/>
      <x:c r="K46" s="3"/>
      <x:c r="L46" s="2"/>
      <x:c r="M46" s="60"/>
      <x:c r="N46" s="2"/>
    </x:row>
    <x:row r="47" ht="24" customHeight="1">
      <x:c r="A47" s="2"/>
      <x:c r="B47" s="2"/>
      <x:c r="C47" s="2" t="str">
        <x:v>Earlier growth</x:v>
      </x:c>
      <x:c r="D47" s="2" t="str">
        <x:v>Fraction</x:v>
      </x:c>
      <x:c r="E47" s="23" t="n">
        <x:v>0</x:v>
      </x:c>
      <x:c r="F47" s="23" t="n">
        <x:v>0</x:v>
      </x:c>
      <x:c r="G47" s="23" t="n">
        <x:v>0</x:v>
      </x:c>
      <x:c r="H47" s="23" t="n">
        <x:v>0</x:v>
      </x:c>
      <x:c r="I47" s="23" t="n">
        <x:v>0</x:v>
      </x:c>
      <x:c r="J47" s="3"/>
      <x:c r="K47" s="3"/>
      <x:c r="L47" s="2"/>
      <x:c r="M47" s="60"/>
      <x:c r="N47" s="2"/>
    </x:row>
    <x:row r="48" ht="24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2"/>
      <x:c r="M48" s="60"/>
      <x:c r="N48" s="2"/>
    </x:row>
    <x:row r="49" ht="24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2"/>
      <x:c r="M49" s="60"/>
      <x:c r="N49" s="2"/>
    </x:row>
    <x:row r="50" ht="24" customHeight="1">
      <x:c r="A50" s="2"/>
      <x:c r="B50" s="2"/>
      <x:c r="C50" s="25" t="str">
        <x:v>Additional scenario costs included</x:v>
      </x:c>
      <x:c r="D50" s="25" t="str">
        <x:v>AED</x:v>
      </x:c>
      <x:c r="E50" s="28" t="n">
        <x:f>IF(ISNUMBER(CHOOSE($E$4,E51,E52,E53)),CHOOSE($E$4,E51,E52,E53),NA())</x:f>
        <x:v>0</x:v>
      </x:c>
      <x:c r="F50" s="28" t="n">
        <x:f>IF(ISNUMBER(CHOOSE($E$4,F51,F52,F53)),CHOOSE($E$4,F51,F52,F53),NA())</x:f>
        <x:v>0</x:v>
      </x:c>
      <x:c r="G50" s="28" t="n">
        <x:f>IF(ISNUMBER(CHOOSE($E$4,G51,G52,G53)),CHOOSE($E$4,G51,G52,G53),NA())</x:f>
        <x:v>0</x:v>
      </x:c>
      <x:c r="H50" s="28" t="n">
        <x:f>IF(ISNUMBER(CHOOSE($E$4,H51,H52,H53)),CHOOSE($E$4,H51,H52,H53),NA())</x:f>
        <x:v>0</x:v>
      </x:c>
      <x:c r="I50" s="28" t="n">
        <x:f>IF(ISNUMBER(CHOOSE($E$4,I51,I52,I53)),CHOOSE($E$4,I51,I52,I53),NA())</x:f>
        <x:v>0</x:v>
      </x:c>
      <x:c r="J50" s="3"/>
      <x:c r="K50" s="3"/>
      <x:c r="L50" s="2"/>
      <x:c r="M50" s="60" t="str">
        <x:v>Zero means no extra allowance included, not that unknown services are free. Enter agreed migration, integration or operating costs.</x:v>
      </x:c>
      <x:c r="N50" s="2"/>
    </x:row>
    <x:row r="51" ht="24" customHeight="1">
      <x:c r="A51" s="2"/>
      <x:c r="B51" s="2"/>
      <x:c r="C51" s="2" t="str">
        <x:v>Base</x:v>
      </x:c>
      <x:c r="D51" s="2" t="str">
        <x:v>AED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v>0</x:v>
      </x:c>
      <x:c r="J51" s="3"/>
      <x:c r="K51" s="3"/>
      <x:c r="L51" s="2"/>
      <x:c r="M51" s="60"/>
      <x:c r="N51" s="2"/>
    </x:row>
    <x:row r="52" ht="24" customHeight="1">
      <x:c r="A52" s="2"/>
      <x:c r="B52" s="2"/>
      <x:c r="C52" s="2" t="str">
        <x:v>Slower adoption</x:v>
      </x:c>
      <x:c r="D52" s="2" t="str">
        <x:v>AED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v>0</x:v>
      </x:c>
      <x:c r="J52" s="3"/>
      <x:c r="K52" s="3"/>
      <x:c r="L52" s="2"/>
      <x:c r="M52" s="60"/>
      <x:c r="N52" s="2"/>
    </x:row>
    <x:row r="53" ht="24" customHeight="1">
      <x:c r="A53" s="2"/>
      <x:c r="B53" s="2"/>
      <x:c r="C53" s="2" t="str">
        <x:v>Earlier growth</x:v>
      </x:c>
      <x:c r="D53" s="2" t="str">
        <x:v>AED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v>0</x:v>
      </x:c>
      <x:c r="J53" s="3"/>
      <x:c r="K53" s="3"/>
      <x:c r="L53" s="2"/>
      <x:c r="M53" s="60"/>
      <x:c r="N53" s="2"/>
    </x:row>
    <x:row r="54" ht="24" customHeight="1">
      <x:c r="A54" s="2"/>
      <x:c r="B54" s="2"/>
      <x:c r="C54" s="2"/>
      <x:c r="D54" s="2"/>
      <x:c r="E54" s="3"/>
      <x:c r="F54" s="3"/>
      <x:c r="G54" s="3"/>
      <x:c r="H54" s="3"/>
      <x:c r="I54" s="3"/>
      <x:c r="J54" s="3"/>
      <x:c r="K54" s="3"/>
      <x:c r="L54" s="2"/>
      <x:c r="M54" s="60"/>
      <x:c r="N54" s="2"/>
    </x:row>
    <x:row r="55" ht="24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2"/>
      <x:c r="M55" s="60"/>
      <x:c r="N55" s="2"/>
    </x:row>
    <x:row r="56" ht="25" customHeight="1">
      <x:c r="A56" s="2"/>
      <x:c r="B56" s="2"/>
      <x:c r="C56" s="30" t="str">
        <x:v>Offer scope and unpriced items</x:v>
      </x:c>
      <x:c r="D56" s="30"/>
      <x:c r="E56" s="31"/>
      <x:c r="F56" s="31"/>
      <x:c r="G56" s="31"/>
      <x:c r="H56" s="31"/>
      <x:c r="I56" s="31"/>
      <x:c r="J56" s="31"/>
      <x:c r="K56" s="31"/>
      <x:c r="L56" s="2"/>
      <x:c r="M56" s="60"/>
      <x:c r="N56" s="2"/>
    </x:row>
    <x:row r="57" ht="24" customHeight="1">
      <x:c r="A57" s="2"/>
      <x:c r="B57" s="2"/>
      <x:c r="C57" s="2" t="str">
        <x:v>Included</x:v>
      </x:c>
      <x:c r="D57" s="2"/>
      <x:c r="E57" s="3" t="str">
        <x:v>Digital Sovereign Sign, unlimited manual transactions, unlimited external recipients, hosting and branding.</x:v>
      </x:c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 t="str">
        <x:v>Separately purchased</x:v>
      </x:c>
      <x:c r="D58" s="2"/>
      <x:c r="E58" s="3" t="str">
        <x:v>Automated/API transactions, Sovereign Collaboration, AI services, Evidence based Archiving for Standalone Documents and files.</x:v>
      </x:c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 t="str">
        <x:v>Unpriced and excluded</x:v>
      </x:c>
      <x:c r="D59" s="2"/>
      <x:c r="E59" s="3" t="str">
        <x:v>Tax, additional migration/integration/training and internal operation costs unless entered in the additional allowance.</x:v>
      </x:c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 t="str">
        <x:v>Terms to confirm</x:v>
      </x:c>
      <x:c r="D60" s="2"/>
      <x:c r="E60" s="3" t="str">
        <x:v>Growth-seat price protection, migration dates, prepaid credits, baseline scope equivalence and tax treatment.</x:v>
      </x:c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 t="str">
        <x:v>ROI convention</x:v>
      </x:c>
      <x:c r="D61" s="2"/>
      <x:c r="E61" s="3" t="str">
        <x:v>Five-year net comparative benefit ÷ central modeled program cost. This is a procurement return, not project IRR or productivity ROI.</x:v>
      </x:c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 t="str">
        <x:v>Savings definition</x:v>
      </x:c>
      <x:c r="D62" s="2"/>
      <x:c r="E62" s="3" t="str">
        <x:v>Like-for-like baseline cost less central subscription, support, new-entity onboarding, modeled overlap and included allowances.</x:v>
      </x:c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5" customHeight="1">
      <x:c r="A65" s="2"/>
      <x:c r="B65" s="2"/>
      <x:c r="C65" s="30" t="str">
        <x:v>Supplied tier schedule for reference</x:v>
      </x:c>
      <x:c r="D65" s="30"/>
      <x:c r="E65" s="31"/>
      <x:c r="F65" s="31"/>
      <x:c r="G65" s="31"/>
      <x:c r="H65" s="31"/>
      <x:c r="I65" s="31"/>
      <x:c r="J65" s="31"/>
      <x:c r="K65" s="31"/>
      <x:c r="L65" s="2"/>
      <x:c r="M65" s="60"/>
      <x:c r="N65" s="2"/>
    </x:row>
    <x:row r="66" ht="30" customHeight="1">
      <x:c r="A66" s="2"/>
      <x:c r="B66" s="2"/>
      <x:c r="C66" s="19" t="str">
        <x:v>Supplied pricing band</x:v>
      </x:c>
      <x:c r="D66" s="19" t="str">
        <x:v>Unit</x:v>
      </x:c>
      <x:c r="E66" s="20" t="str">
        <x:v>AED per user/year</x:v>
      </x:c>
      <x:c r="F66" s="3"/>
      <x:c r="G66" s="3"/>
      <x:c r="H66" s="3"/>
      <x:c r="I66" s="3"/>
      <x:c r="J66" s="3"/>
      <x:c r="K66" s="3"/>
      <x:c r="L66" s="2"/>
      <x:c r="M66" s="60" t="str">
        <x:v>S01. General tier eligibility for independent purchasing remains open. Central model uses the explicit 10,000-user offer.</x:v>
      </x:c>
      <x:c r="N66" s="2"/>
    </x:row>
    <x:row r="67" ht="24" customHeight="1">
      <x:c r="A67" s="2"/>
      <x:c r="B67" s="2"/>
      <x:c r="C67" s="2" t="str">
        <x:v>100–499</x:v>
      </x:c>
      <x:c r="D67" s="2" t="str">
        <x:v>AED/user/year</x:v>
      </x:c>
      <x:c r="E67" s="3" t="n">
        <x:v>2213</x:v>
      </x:c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 t="str">
        <x:v>500–999</x:v>
      </x:c>
      <x:c r="D68" s="2" t="str">
        <x:v>AED/user/year</x:v>
      </x:c>
      <x:c r="E68" s="3" t="n">
        <x:v>2065</x:v>
      </x:c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 t="str">
        <x:v>1,000–1,999</x:v>
      </x:c>
      <x:c r="D69" s="2" t="str">
        <x:v>AED/user/year</x:v>
      </x:c>
      <x:c r="E69" s="3" t="n">
        <x:v>1770</x:v>
      </x:c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 t="str">
        <x:v>2,000–2,999</x:v>
      </x:c>
      <x:c r="D70" s="2" t="str">
        <x:v>AED/user/year</x:v>
      </x:c>
      <x:c r="E70" s="3" t="n">
        <x:v>1475</x:v>
      </x:c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 t="str">
        <x:v>3,000+</x:v>
      </x:c>
      <x:c r="D71" s="2" t="str">
        <x:v>AED/user/year</x:v>
      </x:c>
      <x:c r="E71" s="3" t="n">
        <x:v>1180</x:v>
      </x:c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dataValidations count="1">
    <x:dataValidation type="whole" operator="between" sqref="E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Five year costs and comparative returns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Cost or driver</x:v>
      </x:c>
      <x:c r="D7" s="19" t="str">
        <x:v>Unit</x:v>
      </x:c>
      <x:c r="E7" s="20" t="str">
        <x:v>Year 1</x:v>
      </x:c>
      <x:c r="F7" s="20" t="str">
        <x:v>Year 2</x:v>
      </x:c>
      <x:c r="G7" s="20" t="str">
        <x:v>Year 3</x:v>
      </x:c>
      <x:c r="H7" s="20" t="str">
        <x:v>Year 4</x:v>
      </x:c>
      <x:c r="I7" s="20" t="str">
        <x:v>Year 5</x:v>
      </x:c>
      <x:c r="J7" s="20"/>
      <x:c r="K7" s="20" t="str">
        <x:v>Five years</x:v>
      </x:c>
      <x:c r="L7" s="2"/>
      <x:c r="M7" s="60"/>
      <x:c r="N7" s="2"/>
    </x:row>
    <x:row r="8" ht="24" customHeight="1">
      <x:c r="A8" s="2"/>
      <x:c r="B8" s="2"/>
      <x:c r="C8" s="2" t="str">
        <x:v>Paid central capacity</x:v>
      </x:c>
      <x:c r="D8" s="2" t="str">
        <x:v>Users</x:v>
      </x:c>
      <x:c r="E8" s="7" t="n">
        <x:f>ROUND('Assumptions'!$E$14*(1+'Assumptions'!E26),0)</x:f>
        <x:v>10000</x:v>
      </x:c>
      <x:c r="F8" s="7" t="n">
        <x:f>ROUND('Assumptions'!$E$14*(1+'Assumptions'!F26),0)</x:f>
        <x:v>10625</x:v>
      </x:c>
      <x:c r="G8" s="7" t="n">
        <x:f>ROUND('Assumptions'!$E$14*(1+'Assumptions'!G26),0)</x:f>
        <x:v>11250</x:v>
      </x:c>
      <x:c r="H8" s="7" t="n">
        <x:f>ROUND('Assumptions'!$E$14*(1+'Assumptions'!H26),0)</x:f>
        <x:v>11875</x:v>
      </x:c>
      <x:c r="I8" s="7" t="n">
        <x:f>ROUND('Assumptions'!$E$14*(1+'Assumptions'!I26),0)</x:f>
        <x:v>12500</x:v>
      </x:c>
      <x:c r="J8" s="3"/>
      <x:c r="K8" s="11" t="n">
        <x:f>SUM(E8:I8)</x:f>
        <x:v>56250</x:v>
      </x:c>
      <x:c r="L8" s="2"/>
      <x:c r="M8" s="60" t="str">
        <x:v>Five-year quantities are user-years, not distinct people. Added seats assumed hosted.</x:v>
      </x:c>
      <x:c r="N8" s="2"/>
    </x:row>
    <x:row r="9" ht="24" customHeight="1">
      <x:c r="A9" s="2"/>
      <x:c r="B9" s="2"/>
      <x:c r="C9" s="2" t="str">
        <x:v>On-premise users</x:v>
      </x:c>
      <x:c r="D9" s="2" t="str">
        <x:v>Users</x:v>
      </x:c>
      <x:c r="E9" s="7" t="n">
        <x:f>'Assumptions'!$E$19</x:f>
        <x:v>1260</x:v>
      </x:c>
      <x:c r="F9" s="7" t="n">
        <x:f>'Assumptions'!$E$19</x:f>
        <x:v>1260</x:v>
      </x:c>
      <x:c r="G9" s="7" t="n">
        <x:f>'Assumptions'!$E$19</x:f>
        <x:v>1260</x:v>
      </x:c>
      <x:c r="H9" s="7" t="n">
        <x:f>'Assumptions'!$E$19</x:f>
        <x:v>1260</x:v>
      </x:c>
      <x:c r="I9" s="7" t="n">
        <x:f>'Assumptions'!$E$19</x:f>
        <x:v>1260</x:v>
      </x:c>
      <x:c r="J9" s="3"/>
      <x:c r="K9" s="11" t="n">
        <x:f>SUM(E9:I9)</x:f>
        <x:v>6300</x:v>
      </x:c>
      <x:c r="L9" s="2"/>
      <x:c r="M9" s="60"/>
      <x:c r="N9" s="2"/>
    </x:row>
    <x:row r="10" ht="24" customHeight="1">
      <x:c r="A10" s="2"/>
      <x:c r="B10" s="2"/>
      <x:c r="C10" s="2" t="str">
        <x:v>Hosted paid capacity</x:v>
      </x:c>
      <x:c r="D10" s="2" t="str">
        <x:v>Users</x:v>
      </x:c>
      <x:c r="E10" s="11" t="n">
        <x:f>E8-E9</x:f>
        <x:v>8740</x:v>
      </x:c>
      <x:c r="F10" s="11" t="n">
        <x:f>F8-F9</x:f>
        <x:v>9365</x:v>
      </x:c>
      <x:c r="G10" s="11" t="n">
        <x:f>G8-G9</x:f>
        <x:v>9990</x:v>
      </x:c>
      <x:c r="H10" s="11" t="n">
        <x:f>H8-H9</x:f>
        <x:v>10615</x:v>
      </x:c>
      <x:c r="I10" s="11" t="n">
        <x:f>I8-I9</x:f>
        <x:v>11240</x:v>
      </x:c>
      <x:c r="J10" s="3"/>
      <x:c r="K10" s="11" t="n">
        <x:f>SUM(E10:I10)</x:f>
        <x:v>49950</x:v>
      </x:c>
      <x:c r="L10" s="2"/>
      <x:c r="M10" s="60"/>
      <x:c r="N10" s="2"/>
    </x:row>
    <x:row r="11" ht="24" customHeight="1">
      <x:c r="A11" s="2"/>
      <x:c r="B11" s="2"/>
      <x:c r="C11" s="2" t="str">
        <x:v>Deployed users assumed</x:v>
      </x:c>
      <x:c r="D11" s="2" t="str">
        <x:v>Users</x:v>
      </x:c>
      <x:c r="E11" s="7" t="n">
        <x:f>ROUND(E8*'Assumptions'!E32,0)</x:f>
        <x:v>10000</x:v>
      </x:c>
      <x:c r="F11" s="7" t="n">
        <x:f>ROUND(F8*'Assumptions'!F32,0)</x:f>
        <x:v>10625</x:v>
      </x:c>
      <x:c r="G11" s="7" t="n">
        <x:f>ROUND(G8*'Assumptions'!G32,0)</x:f>
        <x:v>11250</x:v>
      </x:c>
      <x:c r="H11" s="7" t="n">
        <x:f>ROUND(H8*'Assumptions'!H32,0)</x:f>
        <x:v>11875</x:v>
      </x:c>
      <x:c r="I11" s="7" t="n">
        <x:f>ROUND(I8*'Assumptions'!I32,0)</x:f>
        <x:v>12500</x:v>
      </x:c>
      <x:c r="J11" s="3"/>
      <x:c r="K11" s="11" t="n">
        <x:f>SUM(E11:I11)</x:f>
        <x:v>56250</x:v>
      </x:c>
      <x:c r="L11" s="2"/>
      <x:c r="M11" s="60" t="str">
        <x:v>Assumed full-year deployment. Existing on-premise allocation remains in all cases.</x:v>
      </x:c>
      <x:c r="N11" s="2"/>
    </x:row>
    <x:row r="12" ht="24" customHeight="1">
      <x:c r="A12" s="2"/>
      <x:c r="B12" s="2"/>
      <x:c r="C12" s="2" t="str">
        <x:v>Unused paid seats</x:v>
      </x:c>
      <x:c r="D12" s="2" t="str">
        <x:v>Users</x:v>
      </x:c>
      <x:c r="E12" s="11" t="n">
        <x:f>E8-E11</x:f>
        <x:v>0</x:v>
      </x:c>
      <x:c r="F12" s="11" t="n">
        <x:f>F8-F11</x:f>
        <x:v>0</x:v>
      </x:c>
      <x:c r="G12" s="11" t="n">
        <x:f>G8-G11</x:f>
        <x:v>0</x:v>
      </x:c>
      <x:c r="H12" s="11" t="n">
        <x:f>H8-H11</x:f>
        <x:v>0</x:v>
      </x:c>
      <x:c r="I12" s="11" t="n">
        <x:f>I8-I11</x:f>
        <x:v>0</x:v>
      </x:c>
      <x:c r="J12" s="3"/>
      <x:c r="K12" s="11" t="n">
        <x:f>SUM(E12:I12)</x:f>
        <x:v>0</x:v>
      </x:c>
      <x:c r="L12" s="2"/>
      <x:c r="M12" s="60"/>
      <x:c r="N12" s="2"/>
    </x:row>
    <x:row r="13" ht="24" customHeight="1">
      <x:c r="A13" s="2"/>
      <x:c r="B13" s="2"/>
      <x:c r="C13" s="2" t="str">
        <x:v>New entities onboarded</x:v>
      </x:c>
      <x:c r="D13" s="2" t="str">
        <x:v>Entities</x:v>
      </x:c>
      <x:c r="E13" s="7" t="n">
        <x:f>'Assumptions'!E38</x:f>
        <x:v>10</x:v>
      </x:c>
      <x:c r="F13" s="7" t="n">
        <x:f>'Assumptions'!F38</x:f>
        <x:v>6</x:v>
      </x:c>
      <x:c r="G13" s="7" t="n">
        <x:f>'Assumptions'!G38</x:f>
        <x:v>8</x:v>
      </x:c>
      <x:c r="H13" s="7" t="n">
        <x:f>'Assumptions'!H38</x:f>
        <x:v>8</x:v>
      </x:c>
      <x:c r="I13" s="7" t="n">
        <x:f>'Assumptions'!I38</x:f>
        <x:v>8</x:v>
      </x:c>
      <x:c r="J13" s="3"/>
      <x:c r="K13" s="11" t="n">
        <x:f>SUM(E13:I13)</x:f>
        <x:v>40</x:v>
      </x:c>
      <x:c r="L13" s="2"/>
      <x:c r="M13" s="60"/>
      <x:c r="N13" s="2"/>
    </x:row>
    <x:row r="14" ht="25" customHeight="1">
      <x:c r="A14" s="2"/>
      <x:c r="B14" s="2"/>
      <x:c r="C14" s="30" t="str">
        <x:v>Unit rates</x:v>
      </x:c>
      <x:c r="D14" s="30"/>
      <x:c r="E14" s="31"/>
      <x:c r="F14" s="31"/>
      <x:c r="G14" s="31"/>
      <x:c r="H14" s="31"/>
      <x:c r="I14" s="31"/>
      <x:c r="J14" s="31"/>
      <x:c r="K14" s="31"/>
      <x:c r="L14" s="2"/>
      <x:c r="M14" s="60"/>
      <x:c r="N14" s="2"/>
    </x:row>
    <x:row r="15" ht="24" customHeight="1">
      <x:c r="A15" s="2"/>
      <x:c r="B15" s="2"/>
      <x:c r="C15" s="2" t="str">
        <x:v>Baseline subscription unit rate</x:v>
      </x:c>
      <x:c r="D15" s="2" t="str">
        <x:v>AED/user</x:v>
      </x:c>
      <x:c r="E15" s="7" t="n">
        <x:f>'Assumptions'!$E$9*(1+'Assumptions'!$E$17)^0</x:f>
        <x:v>2360</x:v>
      </x:c>
      <x:c r="F15" s="7" t="n">
        <x:f>'Assumptions'!$E$9*(1+'Assumptions'!$E$17)^1</x:f>
        <x:v>2360</x:v>
      </x:c>
      <x:c r="G15" s="7" t="n">
        <x:f>'Assumptions'!$E$9*(1+'Assumptions'!$E$17)^2</x:f>
        <x:v>2360</x:v>
      </x:c>
      <x:c r="H15" s="7" t="n">
        <x:f>'Assumptions'!$E$9*(1+'Assumptions'!$E$17)^3</x:f>
        <x:v>2360</x:v>
      </x:c>
      <x:c r="I15" s="7" t="n">
        <x:f>'Assumptions'!$E$9*(1+'Assumptions'!$E$17)^4</x:f>
        <x:v>2360</x:v>
      </x:c>
      <x:c r="J15" s="3"/>
      <x:c r="K15" s="3"/>
      <x:c r="L15" s="2"/>
      <x:c r="M15" s="60"/>
      <x:c r="N15" s="2"/>
    </x:row>
    <x:row r="16" ht="24" customHeight="1">
      <x:c r="A16" s="2"/>
      <x:c r="B16" s="2"/>
      <x:c r="C16" s="2" t="str">
        <x:v>Initial central unit rate</x:v>
      </x:c>
      <x:c r="D16" s="2" t="str">
        <x:v>AED/user</x:v>
      </x:c>
      <x:c r="E16" s="7" t="n">
        <x:f>'Assumptions'!$E$10*(1+'Assumptions'!$E$16)^0</x:f>
        <x:v>1180</x:v>
      </x:c>
      <x:c r="F16" s="7" t="n">
        <x:f>'Assumptions'!$E$10*(1+'Assumptions'!$E$16)^1</x:f>
        <x:v>1180</x:v>
      </x:c>
      <x:c r="G16" s="7" t="n">
        <x:f>'Assumptions'!$E$10*(1+'Assumptions'!$E$16)^2</x:f>
        <x:v>1180</x:v>
      </x:c>
      <x:c r="H16" s="7" t="n">
        <x:f>'Assumptions'!$E$10*(1+'Assumptions'!$E$16)^3</x:f>
        <x:v>1180</x:v>
      </x:c>
      <x:c r="I16" s="7" t="n">
        <x:f>'Assumptions'!$E$10*(1+'Assumptions'!$E$16)^4</x:f>
        <x:v>1180</x:v>
      </x:c>
      <x:c r="J16" s="3"/>
      <x:c r="K16" s="3"/>
      <x:c r="L16" s="2"/>
      <x:c r="M16" s="60"/>
      <x:c r="N16" s="2"/>
    </x:row>
    <x:row r="17" ht="24" customHeight="1">
      <x:c r="A17" s="2"/>
      <x:c r="B17" s="2"/>
      <x:c r="C17" s="2" t="str">
        <x:v>Added-seat unit rate</x:v>
      </x:c>
      <x:c r="D17" s="2" t="str">
        <x:v>AED/user</x:v>
      </x:c>
      <x:c r="E17" s="7" t="n">
        <x:f>'Assumptions'!$E$22</x:f>
        <x:v>1180</x:v>
      </x:c>
      <x:c r="F17" s="7" t="n">
        <x:f>'Assumptions'!$E$22</x:f>
        <x:v>1180</x:v>
      </x:c>
      <x:c r="G17" s="7" t="n">
        <x:f>'Assumptions'!$E$22</x:f>
        <x:v>1180</x:v>
      </x:c>
      <x:c r="H17" s="7" t="n">
        <x:f>'Assumptions'!$E$22</x:f>
        <x:v>1180</x:v>
      </x:c>
      <x:c r="I17" s="7" t="n">
        <x:f>'Assumptions'!$E$22</x:f>
        <x:v>1180</x:v>
      </x:c>
      <x:c r="J17" s="3"/>
      <x:c r="K17" s="3"/>
      <x:c r="L17" s="2"/>
      <x:c r="M17" s="60"/>
      <x:c r="N17" s="2"/>
    </x:row>
    <x:row r="18" ht="25" customHeight="1">
      <x:c r="A18" s="2"/>
      <x:c r="B18" s="2"/>
      <x:c r="C18" s="30" t="str">
        <x:v>Matched independent purchase baseline</x:v>
      </x:c>
      <x:c r="D18" s="30"/>
      <x:c r="E18" s="31"/>
      <x:c r="F18" s="31"/>
      <x:c r="G18" s="31"/>
      <x:c r="H18" s="31"/>
      <x:c r="I18" s="31"/>
      <x:c r="J18" s="31"/>
      <x:c r="K18" s="31"/>
      <x:c r="L18" s="2"/>
      <x:c r="M18" s="60"/>
      <x:c r="N18" s="2"/>
    </x:row>
    <x:row r="19" ht="24" customHeight="1">
      <x:c r="A19" s="2"/>
      <x:c r="B19" s="2"/>
      <x:c r="C19" s="2" t="str">
        <x:v>Baseline subscription</x:v>
      </x:c>
      <x:c r="D19" s="2" t="str">
        <x:v>AED</x:v>
      </x:c>
      <x:c r="E19" s="11" t="n">
        <x:f>E8*E15</x:f>
        <x:v>23600000</x:v>
      </x:c>
      <x:c r="F19" s="11" t="n">
        <x:f>F8*F15</x:f>
        <x:v>25075000</x:v>
      </x:c>
      <x:c r="G19" s="11" t="n">
        <x:f>G8*G15</x:f>
        <x:v>26550000</x:v>
      </x:c>
      <x:c r="H19" s="11" t="n">
        <x:f>H8*H15</x:f>
        <x:v>28025000</x:v>
      </x:c>
      <x:c r="I19" s="11" t="n">
        <x:f>I8*I15</x:f>
        <x:v>29500000</x:v>
      </x:c>
      <x:c r="J19" s="3"/>
      <x:c r="K19" s="11" t="n">
        <x:f>SUM(E19:I19)</x:f>
        <x:v>132750000</x:v>
      </x:c>
      <x:c r="L19" s="2"/>
      <x:c r="M19" s="60"/>
      <x:c r="N19" s="2"/>
    </x:row>
    <x:row r="20" ht="24" customHeight="1">
      <x:c r="A20" s="2"/>
      <x:c r="B20" s="2"/>
      <x:c r="C20" s="2" t="str">
        <x:v>Baseline hosted support</x:v>
      </x:c>
      <x:c r="D20" s="2" t="str">
        <x:v>AED</x:v>
      </x:c>
      <x:c r="E20" s="7" t="n">
        <x:f>E10*E15*'Assumptions'!$E$11</x:f>
        <x:v>2062640</x:v>
      </x:c>
      <x:c r="F20" s="7" t="n">
        <x:f>F10*F15*'Assumptions'!$E$11</x:f>
        <x:v>2210140</x:v>
      </x:c>
      <x:c r="G20" s="7" t="n">
        <x:f>G10*G15*'Assumptions'!$E$11</x:f>
        <x:v>2357640</x:v>
      </x:c>
      <x:c r="H20" s="7" t="n">
        <x:f>H10*H15*'Assumptions'!$E$11</x:f>
        <x:v>2505140</x:v>
      </x:c>
      <x:c r="I20" s="7" t="n">
        <x:f>I10*I15*'Assumptions'!$E$11</x:f>
        <x:v>2652640</x:v>
      </x:c>
      <x:c r="J20" s="3"/>
      <x:c r="K20" s="11" t="n">
        <x:f>SUM(E20:I20)</x:f>
        <x:v>11788200</x:v>
      </x:c>
      <x:c r="L20" s="2"/>
      <x:c r="M20" s="60"/>
      <x:c r="N20" s="2"/>
    </x:row>
    <x:row r="21" ht="24" customHeight="1">
      <x:c r="A21" s="2"/>
      <x:c r="B21" s="2"/>
      <x:c r="C21" s="2" t="str">
        <x:v>Baseline on-premise support</x:v>
      </x:c>
      <x:c r="D21" s="2" t="str">
        <x:v>AED</x:v>
      </x:c>
      <x:c r="E21" s="7" t="n">
        <x:f>E9*E15*'Assumptions'!$E$12</x:f>
        <x:v>594720</x:v>
      </x:c>
      <x:c r="F21" s="7" t="n">
        <x:f>F9*F15*'Assumptions'!$E$12</x:f>
        <x:v>594720</x:v>
      </x:c>
      <x:c r="G21" s="7" t="n">
        <x:f>G9*G15*'Assumptions'!$E$12</x:f>
        <x:v>594720</x:v>
      </x:c>
      <x:c r="H21" s="7" t="n">
        <x:f>H9*H15*'Assumptions'!$E$12</x:f>
        <x:v>594720</x:v>
      </x:c>
      <x:c r="I21" s="7" t="n">
        <x:f>I9*I15*'Assumptions'!$E$12</x:f>
        <x:v>594720</x:v>
      </x:c>
      <x:c r="J21" s="3"/>
      <x:c r="K21" s="11" t="n">
        <x:f>SUM(E21:I21)</x:f>
        <x:v>2973600</x:v>
      </x:c>
      <x:c r="L21" s="2"/>
      <x:c r="M21" s="60"/>
      <x:c r="N21" s="2"/>
    </x:row>
    <x:row r="22" ht="24" customHeight="1">
      <x:c r="A22" s="2"/>
      <x:c r="B22" s="2"/>
      <x:c r="C22" s="2" t="str">
        <x:v>Baseline onboarding allowance</x:v>
      </x:c>
      <x:c r="D22" s="2" t="str">
        <x:v>AED</x:v>
      </x:c>
      <x:c r="E22" s="7" t="n">
        <x:f>E13*'Assumptions'!$E$23</x:f>
        <x:v>0</x:v>
      </x:c>
      <x:c r="F22" s="7" t="n">
        <x:f>F13*'Assumptions'!$E$23</x:f>
        <x:v>0</x:v>
      </x:c>
      <x:c r="G22" s="7" t="n">
        <x:f>G13*'Assumptions'!$E$23</x:f>
        <x:v>0</x:v>
      </x:c>
      <x:c r="H22" s="7" t="n">
        <x:f>H13*'Assumptions'!$E$23</x:f>
        <x:v>0</x:v>
      </x:c>
      <x:c r="I22" s="7" t="n">
        <x:f>I13*'Assumptions'!$E$23</x:f>
        <x:v>0</x:v>
      </x:c>
      <x:c r="J22" s="3"/>
      <x:c r="K22" s="11" t="n">
        <x:f>SUM(E22:I22)</x:f>
        <x:v>0</x:v>
      </x:c>
      <x:c r="L22" s="2"/>
      <x:c r="M22" s="60"/>
      <x:c r="N22" s="2"/>
    </x:row>
    <x:row r="23" ht="24" customHeight="1">
      <x:c r="A23" s="2"/>
      <x:c r="B23" s="2"/>
      <x:c r="C23" s="48" t="str">
        <x:v>Matched baseline total</x:v>
      </x:c>
      <x:c r="D23" s="48" t="str">
        <x:v>AED</x:v>
      </x:c>
      <x:c r="E23" s="49" t="n">
        <x:f>SUM(E19:E22)</x:f>
        <x:v>26257360</x:v>
      </x:c>
      <x:c r="F23" s="49" t="n">
        <x:f>SUM(F19:F22)</x:f>
        <x:v>27879860</x:v>
      </x:c>
      <x:c r="G23" s="49" t="n">
        <x:f>SUM(G19:G22)</x:f>
        <x:v>29502360</x:v>
      </x:c>
      <x:c r="H23" s="49" t="n">
        <x:f>SUM(H19:H22)</x:f>
        <x:v>31124860</x:v>
      </x:c>
      <x:c r="I23" s="49" t="n">
        <x:f>SUM(I19:I22)</x:f>
        <x:v>32747360</x:v>
      </x:c>
      <x:c r="J23" s="50"/>
      <x:c r="K23" s="49" t="n">
        <x:f>SUM(E23:I23)</x:f>
        <x:v>147511800</x:v>
      </x:c>
      <x:c r="L23" s="2"/>
      <x:c r="M23" s="60" t="str">
        <x:v>Comparable capacity at the agreed baseline. Does not represent current actual government spending.</x:v>
      </x:c>
      <x:c r="N23" s="2"/>
    </x:row>
    <x:row r="24" ht="25" customHeight="1">
      <x:c r="A24" s="2"/>
      <x:c r="B24" s="2"/>
      <x:c r="C24" s="30" t="str">
        <x:v>Central program</x:v>
      </x:c>
      <x:c r="D24" s="30"/>
      <x:c r="E24" s="31"/>
      <x:c r="F24" s="31"/>
      <x:c r="G24" s="31"/>
      <x:c r="H24" s="31"/>
      <x:c r="I24" s="31"/>
      <x:c r="J24" s="31"/>
      <x:c r="K24" s="31"/>
      <x:c r="L24" s="2"/>
      <x:c r="M24" s="60"/>
      <x:c r="N24" s="2"/>
    </x:row>
    <x:row r="25" ht="24" customHeight="1">
      <x:c r="A25" s="2"/>
      <x:c r="B25" s="2"/>
      <x:c r="C25" s="2" t="str">
        <x:v>Central subscription</x:v>
      </x:c>
      <x:c r="D25" s="2" t="str">
        <x:v>AED</x:v>
      </x:c>
      <x:c r="E25" s="7" t="n">
        <x:f>'Assumptions'!$E$14*E16+(E8-'Assumptions'!$E$14)*E17</x:f>
        <x:v>11800000</x:v>
      </x:c>
      <x:c r="F25" s="7" t="n">
        <x:f>'Assumptions'!$E$14*F16+(F8-'Assumptions'!$E$14)*F17</x:f>
        <x:v>12537500</x:v>
      </x:c>
      <x:c r="G25" s="7" t="n">
        <x:f>'Assumptions'!$E$14*G16+(G8-'Assumptions'!$E$14)*G17</x:f>
        <x:v>13275000</x:v>
      </x:c>
      <x:c r="H25" s="7" t="n">
        <x:f>'Assumptions'!$E$14*H16+(H8-'Assumptions'!$E$14)*H17</x:f>
        <x:v>14012500</x:v>
      </x:c>
      <x:c r="I25" s="7" t="n">
        <x:f>'Assumptions'!$E$14*I16+(I8-'Assumptions'!$E$14)*I17</x:f>
        <x:v>14750000</x:v>
      </x:c>
      <x:c r="J25" s="3"/>
      <x:c r="K25" s="11" t="n">
        <x:f>SUM(E25:I25)</x:f>
        <x:v>66375000</x:v>
      </x:c>
      <x:c r="L25" s="2"/>
      <x:c r="M25" s="60"/>
      <x:c r="N25" s="2"/>
    </x:row>
    <x:row r="26" ht="24" customHeight="1">
      <x:c r="A26" s="2"/>
      <x:c r="B26" s="2"/>
      <x:c r="C26" s="2" t="str">
        <x:v>Central hosted support</x:v>
      </x:c>
      <x:c r="D26" s="2" t="str">
        <x:v>AED</x:v>
      </x:c>
      <x:c r="E26" s="7" t="n">
        <x:f>(('Assumptions'!$E$14-E9)*E16+(E8-'Assumptions'!$E$14)*E17)*'Assumptions'!$E$11</x:f>
        <x:v>1031320</x:v>
      </x:c>
      <x:c r="F26" s="7" t="n">
        <x:f>(('Assumptions'!$E$14-F9)*F16+(F8-'Assumptions'!$E$14)*F17)*'Assumptions'!$E$11</x:f>
        <x:v>1105070</x:v>
      </x:c>
      <x:c r="G26" s="7" t="n">
        <x:f>(('Assumptions'!$E$14-G9)*G16+(G8-'Assumptions'!$E$14)*G17)*'Assumptions'!$E$11</x:f>
        <x:v>1178820</x:v>
      </x:c>
      <x:c r="H26" s="7" t="n">
        <x:f>(('Assumptions'!$E$14-H9)*H16+(H8-'Assumptions'!$E$14)*H17)*'Assumptions'!$E$11</x:f>
        <x:v>1252570</x:v>
      </x:c>
      <x:c r="I26" s="7" t="n">
        <x:f>(('Assumptions'!$E$14-I9)*I16+(I8-'Assumptions'!$E$14)*I17)*'Assumptions'!$E$11</x:f>
        <x:v>1326320</x:v>
      </x:c>
      <x:c r="J26" s="3"/>
      <x:c r="K26" s="11" t="n">
        <x:f>SUM(E26:I26)</x:f>
        <x:v>5894100</x:v>
      </x:c>
      <x:c r="L26" s="2"/>
      <x:c r="M26" s="60"/>
      <x:c r="N26" s="2"/>
    </x:row>
    <x:row r="27" ht="24" customHeight="1">
      <x:c r="A27" s="2"/>
      <x:c r="B27" s="2"/>
      <x:c r="C27" s="2" t="str">
        <x:v>Central on-premise support</x:v>
      </x:c>
      <x:c r="D27" s="2" t="str">
        <x:v>AED</x:v>
      </x:c>
      <x:c r="E27" s="7" t="n">
        <x:f>E9*E16*'Assumptions'!$E$12</x:f>
        <x:v>297360</x:v>
      </x:c>
      <x:c r="F27" s="7" t="n">
        <x:f>F9*F16*'Assumptions'!$E$12</x:f>
        <x:v>297360</x:v>
      </x:c>
      <x:c r="G27" s="7" t="n">
        <x:f>G9*G16*'Assumptions'!$E$12</x:f>
        <x:v>297360</x:v>
      </x:c>
      <x:c r="H27" s="7" t="n">
        <x:f>H9*H16*'Assumptions'!$E$12</x:f>
        <x:v>297360</x:v>
      </x:c>
      <x:c r="I27" s="7" t="n">
        <x:f>I9*I16*'Assumptions'!$E$12</x:f>
        <x:v>297360</x:v>
      </x:c>
      <x:c r="J27" s="3"/>
      <x:c r="K27" s="11" t="n">
        <x:f>SUM(E27:I27)</x:f>
        <x:v>1486800</x:v>
      </x:c>
      <x:c r="L27" s="2"/>
      <x:c r="M27" s="60"/>
      <x:c r="N27" s="2"/>
    </x:row>
    <x:row r="28" ht="24" customHeight="1">
      <x:c r="A28" s="2"/>
      <x:c r="B28" s="2"/>
      <x:c r="C28" s="48" t="str">
        <x:v>Central recurring cost</x:v>
      </x:c>
      <x:c r="D28" s="48" t="str">
        <x:v>AED</x:v>
      </x:c>
      <x:c r="E28" s="49" t="n">
        <x:f>SUM(E25:E27)</x:f>
        <x:v>13128680</x:v>
      </x:c>
      <x:c r="F28" s="49" t="n">
        <x:f>SUM(F25:F27)</x:f>
        <x:v>13939930</x:v>
      </x:c>
      <x:c r="G28" s="49" t="n">
        <x:f>SUM(G25:G27)</x:f>
        <x:v>14751180</x:v>
      </x:c>
      <x:c r="H28" s="49" t="n">
        <x:f>SUM(H25:H27)</x:f>
        <x:v>15562430</x:v>
      </x:c>
      <x:c r="I28" s="49" t="n">
        <x:f>SUM(I25:I27)</x:f>
        <x:v>16373680</x:v>
      </x:c>
      <x:c r="J28" s="50"/>
      <x:c r="K28" s="49" t="n">
        <x:f>SUM(E28:I28)</x:f>
        <x:v>73755900</x:v>
      </x:c>
      <x:c r="L28" s="2"/>
      <x:c r="M28" s="60"/>
      <x:c r="N28" s="2"/>
    </x:row>
    <x:row r="29" ht="24" customHeight="1">
      <x:c r="A29" s="2"/>
      <x:c r="B29" s="2"/>
      <x:c r="C29" s="2" t="str">
        <x:v>New-entity onboarding</x:v>
      </x:c>
      <x:c r="D29" s="2" t="str">
        <x:v>AED</x:v>
      </x:c>
      <x:c r="E29" s="7" t="n">
        <x:f>E13*'Assumptions'!$E$13</x:f>
        <x:v>180000</x:v>
      </x:c>
      <x:c r="F29" s="7" t="n">
        <x:f>F13*'Assumptions'!$E$13</x:f>
        <x:v>108000</x:v>
      </x:c>
      <x:c r="G29" s="7" t="n">
        <x:f>G13*'Assumptions'!$E$13</x:f>
        <x:v>144000</x:v>
      </x:c>
      <x:c r="H29" s="7" t="n">
        <x:f>H13*'Assumptions'!$E$13</x:f>
        <x:v>144000</x:v>
      </x:c>
      <x:c r="I29" s="7" t="n">
        <x:f>I13*'Assumptions'!$E$13</x:f>
        <x:v>144000</x:v>
      </x:c>
      <x:c r="J29" s="3"/>
      <x:c r="K29" s="11" t="n">
        <x:f>SUM(E29:I29)</x:f>
        <x:v>720000</x:v>
      </x:c>
      <x:c r="L29" s="2"/>
      <x:c r="M29" s="60"/>
      <x:c r="N29" s="2"/>
    </x:row>
    <x:row r="30" ht="24" customHeight="1">
      <x:c r="A30" s="2"/>
      <x:c r="B30" s="2"/>
      <x:c r="C30" s="2" t="str">
        <x:v>Legacy overlap allowance</x:v>
      </x:c>
      <x:c r="D30" s="2" t="str">
        <x:v>AED</x:v>
      </x:c>
      <x:c r="E30" s="7" t="n">
        <x:f>'Customers'!$K$18*'Assumptions'!E44</x:f>
        <x:v>0</x:v>
      </x:c>
      <x:c r="F30" s="7" t="n">
        <x:f>'Customers'!$K$18*'Assumptions'!F44</x:f>
        <x:v>0</x:v>
      </x:c>
      <x:c r="G30" s="7" t="n">
        <x:f>'Customers'!$K$18*'Assumptions'!G44</x:f>
        <x:v>0</x:v>
      </x:c>
      <x:c r="H30" s="7" t="n">
        <x:f>'Customers'!$K$18*'Assumptions'!H44</x:f>
        <x:v>0</x:v>
      </x:c>
      <x:c r="I30" s="7" t="n">
        <x:f>'Customers'!$K$18*'Assumptions'!I44</x:f>
        <x:v>0</x:v>
      </x:c>
      <x:c r="J30" s="3"/>
      <x:c r="K30" s="11" t="n">
        <x:f>SUM(E30:I30)</x:f>
        <x:v>0</x:v>
      </x:c>
      <x:c r="L30" s="2"/>
      <x:c r="M30" s="60"/>
      <x:c r="N30" s="2"/>
    </x:row>
    <x:row r="31" ht="24" customHeight="1">
      <x:c r="A31" s="2"/>
      <x:c r="B31" s="2"/>
      <x:c r="C31" s="2" t="str">
        <x:v>Other included scenario costs</x:v>
      </x:c>
      <x:c r="D31" s="2" t="str">
        <x:v>AED</x:v>
      </x:c>
      <x:c r="E31" s="7" t="n">
        <x:f>'Assumptions'!E50</x:f>
        <x:v>0</x:v>
      </x:c>
      <x:c r="F31" s="7" t="n">
        <x:f>'Assumptions'!F50</x:f>
        <x:v>0</x:v>
      </x:c>
      <x:c r="G31" s="7" t="n">
        <x:f>'Assumptions'!G50</x:f>
        <x:v>0</x:v>
      </x:c>
      <x:c r="H31" s="7" t="n">
        <x:f>'Assumptions'!H50</x:f>
        <x:v>0</x:v>
      </x:c>
      <x:c r="I31" s="7" t="n">
        <x:f>'Assumptions'!I50</x:f>
        <x:v>0</x:v>
      </x:c>
      <x:c r="J31" s="3"/>
      <x:c r="K31" s="11" t="n">
        <x:f>SUM(E31:I31)</x:f>
        <x:v>0</x:v>
      </x:c>
      <x:c r="L31" s="2"/>
      <x:c r="M31" s="60"/>
      <x:c r="N31" s="2"/>
    </x:row>
    <x:row r="32" ht="24" customHeight="1">
      <x:c r="A32" s="2"/>
      <x:c r="B32" s="2"/>
      <x:c r="C32" s="48" t="str">
        <x:v>Central modeled program cost</x:v>
      </x:c>
      <x:c r="D32" s="48" t="str">
        <x:v>AED</x:v>
      </x:c>
      <x:c r="E32" s="49" t="n">
        <x:f>SUM(E28:E31)</x:f>
        <x:v>13308680</x:v>
      </x:c>
      <x:c r="F32" s="49" t="n">
        <x:f>SUM(F28:F31)</x:f>
        <x:v>14047930</x:v>
      </x:c>
      <x:c r="G32" s="49" t="n">
        <x:f>SUM(G28:G31)</x:f>
        <x:v>14895180</x:v>
      </x:c>
      <x:c r="H32" s="49" t="n">
        <x:f>SUM(H28:H31)</x:f>
        <x:v>15706430</x:v>
      </x:c>
      <x:c r="I32" s="49" t="n">
        <x:f>SUM(I28:I31)</x:f>
        <x:v>16517680</x:v>
      </x:c>
      <x:c r="J32" s="50"/>
      <x:c r="K32" s="49" t="n">
        <x:f>SUM(E32:I32)</x:f>
        <x:v>74475900</x:v>
      </x:c>
      <x:c r="L32" s="2"/>
      <x:c r="M32" s="60" t="str">
        <x:v>Modeled costs only. Unpriced services and tax excluded. Legacy allowance uses incomplete historical charges.</x:v>
      </x:c>
      <x:c r="N32" s="2"/>
    </x:row>
    <x:row r="33" ht="25" customHeight="1">
      <x:c r="A33" s="2"/>
      <x:c r="B33" s="2"/>
      <x:c r="C33" s="30" t="str">
        <x:v>Five-year value</x:v>
      </x:c>
      <x:c r="D33" s="30"/>
      <x:c r="E33" s="31"/>
      <x:c r="F33" s="31"/>
      <x:c r="G33" s="31"/>
      <x:c r="H33" s="31"/>
      <x:c r="I33" s="31"/>
      <x:c r="J33" s="31"/>
      <x:c r="K33" s="31"/>
      <x:c r="L33" s="2"/>
      <x:c r="M33" s="60"/>
      <x:c r="N33" s="2"/>
    </x:row>
    <x:row r="34" ht="24" customHeight="1">
      <x:c r="A34" s="2"/>
      <x:c r="B34" s="2"/>
      <x:c r="C34" s="48" t="str">
        <x:v>Net comparative benefit</x:v>
      </x:c>
      <x:c r="D34" s="48" t="str">
        <x:v>AED</x:v>
      </x:c>
      <x:c r="E34" s="49" t="n">
        <x:f>E23-E32</x:f>
        <x:v>12948680</x:v>
      </x:c>
      <x:c r="F34" s="49" t="n">
        <x:f>F23-F32</x:f>
        <x:v>13831930</x:v>
      </x:c>
      <x:c r="G34" s="49" t="n">
        <x:f>G23-G32</x:f>
        <x:v>14607180</x:v>
      </x:c>
      <x:c r="H34" s="49" t="n">
        <x:f>H23-H32</x:f>
        <x:v>15418430</x:v>
      </x:c>
      <x:c r="I34" s="49" t="n">
        <x:f>I23-I32</x:f>
        <x:v>16229680</x:v>
      </x:c>
      <x:c r="J34" s="50"/>
      <x:c r="K34" s="49" t="n">
        <x:f>SUM(E34:I34)</x:f>
        <x:v>73035900</x:v>
      </x:c>
      <x:c r="L34" s="2"/>
      <x:c r="M34" s="60"/>
      <x:c r="N34" s="2"/>
    </x:row>
    <x:row r="35" ht="24" customHeight="1">
      <x:c r="A35" s="2"/>
      <x:c r="B35" s="2"/>
      <x:c r="C35" s="48" t="str">
        <x:v>Cumulative comparative benefit</x:v>
      </x:c>
      <x:c r="D35" s="48" t="str">
        <x:v>AED</x:v>
      </x:c>
      <x:c r="E35" s="49" t="n">
        <x:f>E34</x:f>
        <x:v>12948680</x:v>
      </x:c>
      <x:c r="F35" s="49" t="n">
        <x:f>E35+F34</x:f>
        <x:v>26780610</x:v>
      </x:c>
      <x:c r="G35" s="49" t="n">
        <x:f>F35+G34</x:f>
        <x:v>41387790</x:v>
      </x:c>
      <x:c r="H35" s="49" t="n">
        <x:f>G35+H34</x:f>
        <x:v>56806220</x:v>
      </x:c>
      <x:c r="I35" s="49" t="n">
        <x:f>H35+I34</x:f>
        <x:v>73035900</x:v>
      </x:c>
      <x:c r="J35" s="50"/>
      <x:c r="K35" s="49" t="n">
        <x:f>I35</x:f>
        <x:v>73035900</x:v>
      </x:c>
      <x:c r="L35" s="2"/>
      <x:c r="M35" s="60"/>
      <x:c r="N35" s="2"/>
    </x:row>
    <x:row r="36" ht="24" customHeight="1">
      <x:c r="A36" s="2"/>
      <x:c r="B36" s="2"/>
      <x:c r="C36" s="2" t="str">
        <x:v>Net saving as % of baseline</x:v>
      </x:c>
      <x:c r="D36" s="2" t="str">
        <x:v>%</x:v>
      </x:c>
      <x:c r="E36" s="43" t="n">
        <x:f>E34/E23</x:f>
        <x:v>0.49314477921618927</x:v>
      </x:c>
      <x:c r="F36" s="43" t="n">
        <x:f>F34/F23</x:f>
        <x:v>0.49612623592801397</x:v>
      </x:c>
      <x:c r="G36" s="43" t="n">
        <x:f>G34/G23</x:f>
        <x:v>0.49511903454503303</x:v>
      </x:c>
      <x:c r="H36" s="43" t="n">
        <x:f>H34/H23</x:f>
        <x:v>0.4953734731658231</x:v>
      </x:c>
      <x:c r="I36" s="43" t="n">
        <x:f>I34/I23</x:f>
        <x:v>0.49560269896565706</x:v>
      </x:c>
      <x:c r="J36" s="44"/>
      <x:c r="K36" s="43" t="n">
        <x:f>K34/K23</x:f>
        <x:v>0.49511903454503303</x:v>
      </x:c>
      <x:c r="L36" s="2"/>
      <x:c r="M36" s="60"/>
      <x:c r="N36" s="2"/>
    </x:row>
    <x:row r="37" ht="24" customHeight="1">
      <x:c r="A37" s="2"/>
      <x:c r="B37" s="2"/>
      <x:c r="C37" s="2" t="str">
        <x:v>Procurement ROI on central cost</x:v>
      </x:c>
      <x:c r="D37" s="2" t="str">
        <x:v>%</x:v>
      </x:c>
      <x:c r="E37" s="43" t="n">
        <x:f>E34/E32</x:f>
        <x:v>0.97294998452138</x:v>
      </x:c>
      <x:c r="F37" s="43" t="n">
        <x:f>F34/F32</x:f>
        <x:v>0.9846240691689095</x:v>
      </x:c>
      <x:c r="G37" s="43" t="n">
        <x:f>G34/G32</x:f>
        <x:v>0.9806648862249399</x:v>
      </x:c>
      <x:c r="H37" s="43" t="n">
        <x:f>H34/H32</x:f>
        <x:v>0.9816635607200364</x:v>
      </x:c>
      <x:c r="I37" s="43" t="n">
        <x:f>I34/I32</x:f>
        <x:v>0.9825641373364783</x:v>
      </x:c>
      <x:c r="J37" s="44"/>
      <x:c r="K37" s="43" t="n">
        <x:f>K34/K32</x:f>
        <x:v>0.9806648862249399</x:v>
      </x:c>
      <x:c r="L37" s="2"/>
      <x:c r="M37" s="60" t="str">
        <x:v>Net comparative benefit / central modeled program cost, undiscounted. Definition proposed for review.</x:v>
      </x:c>
      <x:c r="N37" s="2"/>
    </x:row>
    <x:row r="38" ht="25" customHeight="1">
      <x:c r="A38" s="2"/>
      <x:c r="B38" s="2"/>
      <x:c r="C38" s="30" t="str">
        <x:v>Adoption exposure</x:v>
      </x:c>
      <x:c r="D38" s="30"/>
      <x:c r="E38" s="31"/>
      <x:c r="F38" s="31"/>
      <x:c r="G38" s="31"/>
      <x:c r="H38" s="31"/>
      <x:c r="I38" s="31"/>
      <x:c r="J38" s="31"/>
      <x:c r="K38" s="31"/>
      <x:c r="L38" s="2"/>
      <x:c r="M38" s="60"/>
      <x:c r="N38" s="2"/>
    </x:row>
    <x:row r="39" ht="24" customHeight="1">
      <x:c r="A39" s="2"/>
      <x:c r="B39" s="2"/>
      <x:c r="C39" s="2" t="str">
        <x:v>Baseline for deployed users only</x:v>
      </x:c>
      <x:c r="D39" s="2" t="str">
        <x:v>AED</x:v>
      </x:c>
      <x:c r="E39" s="7" t="n">
        <x:f>E9*E15*(1+'Assumptions'!$E$12)+(E11-E9)*E15*(1+'Assumptions'!$E$11)+E22</x:f>
        <x:v>26257360</x:v>
      </x:c>
      <x:c r="F39" s="7" t="n">
        <x:f>F9*F15*(1+'Assumptions'!$E$12)+(F11-F9)*F15*(1+'Assumptions'!$E$11)+F22</x:f>
        <x:v>27879860.000000004</x:v>
      </x:c>
      <x:c r="G39" s="7" t="n">
        <x:f>G9*G15*(1+'Assumptions'!$E$12)+(G11-G9)*G15*(1+'Assumptions'!$E$11)+G22</x:f>
        <x:v>29502360.000000004</x:v>
      </x:c>
      <x:c r="H39" s="7" t="n">
        <x:f>H9*H15*(1+'Assumptions'!$E$12)+(H11-H9)*H15*(1+'Assumptions'!$E$11)+H22</x:f>
        <x:v>31124860.000000004</x:v>
      </x:c>
      <x:c r="I39" s="7" t="n">
        <x:f>I9*I15*(1+'Assumptions'!$E$12)+(I11-I9)*I15*(1+'Assumptions'!$E$11)+I22</x:f>
        <x:v>32747360.000000004</x:v>
      </x:c>
      <x:c r="J39" s="3"/>
      <x:c r="K39" s="11" t="n">
        <x:f>SUM(E39:I39)</x:f>
        <x:v>147511800</x:v>
      </x:c>
      <x:c r="L39" s="2"/>
      <x:c r="M39" s="60" t="str">
        <x:v>Demand-adjusted benchmark still uses AED 2,360. It is not a reconstruction of actual customer contracts.</x:v>
      </x:c>
      <x:c r="N39" s="2"/>
    </x:row>
    <x:row r="40" ht="24" customHeight="1">
      <x:c r="A40" s="2"/>
      <x:c r="B40" s="2"/>
      <x:c r="C40" s="2" t="str">
        <x:v>Benefit vs deployed-user baseline</x:v>
      </x:c>
      <x:c r="D40" s="2" t="str">
        <x:v>AED</x:v>
      </x:c>
      <x:c r="E40" s="11" t="n">
        <x:f>E39-E32</x:f>
        <x:v>12948680</x:v>
      </x:c>
      <x:c r="F40" s="11" t="n">
        <x:f>F39-F32</x:f>
        <x:v>13831930.000000004</x:v>
      </x:c>
      <x:c r="G40" s="11" t="n">
        <x:f>G39-G32</x:f>
        <x:v>14607180.000000004</x:v>
      </x:c>
      <x:c r="H40" s="11" t="n">
        <x:f>H39-H32</x:f>
        <x:v>15418430.000000004</x:v>
      </x:c>
      <x:c r="I40" s="11" t="n">
        <x:f>I39-I32</x:f>
        <x:v>16229680.000000004</x:v>
      </x:c>
      <x:c r="J40" s="3"/>
      <x:c r="K40" s="11" t="n">
        <x:f>SUM(E40:I40)</x:f>
        <x:v>73035900.00000001</x:v>
      </x:c>
      <x:c r="L40" s="2"/>
      <x:c r="M40" s="60"/>
      <x:c r="N40" s="2"/>
    </x:row>
    <x:row r="41" ht="24" customHeight="1">
      <x:c r="A41" s="2"/>
      <x:c r="B41" s="2"/>
      <x:c r="C41" s="2" t="str">
        <x:v>Unused subscription and support</x:v>
      </x:c>
      <x:c r="D41" s="2" t="str">
        <x:v>AED</x:v>
      </x:c>
      <x:c r="E41" s="7" t="n">
        <x:f>E12*E16*(1+'Assumptions'!$E$11)</x:f>
        <x:v>0</x:v>
      </x:c>
      <x:c r="F41" s="7" t="n">
        <x:f>F12*F16*(1+'Assumptions'!$E$11)</x:f>
        <x:v>0</x:v>
      </x:c>
      <x:c r="G41" s="7" t="n">
        <x:f>G12*G16*(1+'Assumptions'!$E$11)</x:f>
        <x:v>0</x:v>
      </x:c>
      <x:c r="H41" s="7" t="n">
        <x:f>H12*H16*(1+'Assumptions'!$E$11)</x:f>
        <x:v>0</x:v>
      </x:c>
      <x:c r="I41" s="7" t="n">
        <x:f>I12*I16*(1+'Assumptions'!$E$11)</x:f>
        <x:v>0</x:v>
      </x:c>
      <x:c r="J41" s="3"/>
      <x:c r="K41" s="11" t="n">
        <x:f>SUM(E41:I41)</x:f>
        <x:v>0</x:v>
      </x:c>
      <x:c r="L41" s="2"/>
      <x:c r="M41" s="60" t="str">
        <x:v>Unused seats valued at the initial central hosted rate. Added-seat rate differences are excluded from this exposure measure.</x:v>
      </x:c>
      <x:c r="N41" s="2"/>
    </x:row>
    <x:row r="42" ht="24" customHeight="1">
      <x:c r="A42" s="2"/>
      <x:c r="B42" s="2"/>
      <x:c r="C42" s="2" t="str">
        <x:v>Break-even deployed users</x:v>
      </x:c>
      <x:c r="D42" s="2" t="str">
        <x:v>Users</x:v>
      </x:c>
      <x:c r="E42" s="7" t="n">
        <x:f>ROUNDUP((E32-E22-E9*E15*('Assumptions'!$E$12-'Assumptions'!$E$11))/(E15*(1+'Assumptions'!$E$11)),0)</x:f>
        <x:v>5013</x:v>
      </x:c>
      <x:c r="F42" s="7" t="n">
        <x:f>ROUNDUP((F32-F22-F9*F15*('Assumptions'!$E$12-'Assumptions'!$E$11))/(F15*(1+'Assumptions'!$E$11)),0)</x:f>
        <x:v>5297</x:v>
      </x:c>
      <x:c r="G42" s="7" t="n">
        <x:f>ROUNDUP((G32-G22-G9*G15*('Assumptions'!$E$12-'Assumptions'!$E$11))/(G15*(1+'Assumptions'!$E$11)),0)</x:f>
        <x:v>5624</x:v>
      </x:c>
      <x:c r="H42" s="7" t="n">
        <x:f>ROUNDUP((H32-H22-H9*H15*('Assumptions'!$E$12-'Assumptions'!$E$11))/(H15*(1+'Assumptions'!$E$11)),0)</x:f>
        <x:v>5936</x:v>
      </x:c>
      <x:c r="I42" s="7" t="n">
        <x:f>ROUNDUP((I32-I22-I9*I15*('Assumptions'!$E$12-'Assumptions'!$E$11))/(I15*(1+'Assumptions'!$E$11)),0)</x:f>
        <x:v>6249</x:v>
      </x:c>
      <x:c r="J42" s="3"/>
      <x:c r="K42" s="3"/>
      <x:c r="L42" s="2"/>
      <x:c r="M42" s="60" t="str">
        <x:v>Minimum deployed users including retained on-premise users, at matched baseline rates and modeled costs.</x:v>
      </x:c>
      <x:c r="N42" s="2"/>
    </x:row>
    <x:row r="43" ht="25" customHeight="1">
      <x:c r="A43" s="2"/>
      <x:c r="B43" s="2"/>
      <x:c r="C43" s="30" t="str">
        <x:v>Separate price-lock sensitivity</x:v>
      </x:c>
      <x:c r="D43" s="30"/>
      <x:c r="E43" s="31"/>
      <x:c r="F43" s="31"/>
      <x:c r="G43" s="31"/>
      <x:c r="H43" s="31"/>
      <x:c r="I43" s="31"/>
      <x:c r="J43" s="31"/>
      <x:c r="K43" s="31"/>
      <x:c r="L43" s="2"/>
      <x:c r="M43" s="60"/>
      <x:c r="N43" s="2"/>
    </x:row>
    <x:row r="44" ht="24" customHeight="1">
      <x:c r="A44" s="2"/>
      <x:c r="B44" s="2"/>
      <x:c r="C44" s="2" t="str">
        <x:v>Flat baseline recurring cost</x:v>
      </x:c>
      <x:c r="D44" s="2" t="str">
        <x:v>AED</x:v>
      </x:c>
      <x:c r="E44" s="7" t="n">
        <x:f>E8*'Assumptions'!$E$9+E10*'Assumptions'!$E$9*'Assumptions'!$E$11+E9*'Assumptions'!$E$9*'Assumptions'!$E$12</x:f>
        <x:v>26257360</x:v>
      </x:c>
      <x:c r="F44" s="7" t="n">
        <x:f>F8*'Assumptions'!$E$9+F10*'Assumptions'!$E$9*'Assumptions'!$E$11+F9*'Assumptions'!$E$9*'Assumptions'!$E$12</x:f>
        <x:v>27879860</x:v>
      </x:c>
      <x:c r="G44" s="7" t="n">
        <x:f>G8*'Assumptions'!$E$9+G10*'Assumptions'!$E$9*'Assumptions'!$E$11+G9*'Assumptions'!$E$9*'Assumptions'!$E$12</x:f>
        <x:v>29502360</x:v>
      </x:c>
      <x:c r="H44" s="7" t="n">
        <x:f>H8*'Assumptions'!$E$9+H10*'Assumptions'!$E$9*'Assumptions'!$E$11+H9*'Assumptions'!$E$9*'Assumptions'!$E$12</x:f>
        <x:v>31124860</x:v>
      </x:c>
      <x:c r="I44" s="7" t="n">
        <x:f>I8*'Assumptions'!$E$9+I10*'Assumptions'!$E$9*'Assumptions'!$E$11+I9*'Assumptions'!$E$9*'Assumptions'!$E$12</x:f>
        <x:v>32747360</x:v>
      </x:c>
      <x:c r="J44" s="3"/>
      <x:c r="K44" s="11" t="n">
        <x:f>SUM(E44:I44)</x:f>
        <x:v>147511800</x:v>
      </x:c>
      <x:c r="L44" s="2"/>
      <x:c r="M44" s="60"/>
      <x:c r="N44" s="2"/>
    </x:row>
    <x:row r="45" ht="24" customHeight="1">
      <x:c r="A45" s="2"/>
      <x:c r="B45" s="2"/>
      <x:c r="C45" s="2" t="str">
        <x:v>Illustrative escalated baseline</x:v>
      </x:c>
      <x:c r="D45" s="2" t="str">
        <x:v>AED</x:v>
      </x:c>
      <x:c r="E45" s="7" t="n">
        <x:f>E44*(1+'Assumptions'!$E$18)^0</x:f>
        <x:v>26257360</x:v>
      </x:c>
      <x:c r="F45" s="7" t="n">
        <x:f>F44*(1+'Assumptions'!$E$18)^1</x:f>
        <x:v>28716255.8</x:v>
      </x:c>
      <x:c r="G45" s="7" t="n">
        <x:f>G44*(1+'Assumptions'!$E$18)^2</x:f>
        <x:v>31299053.724</x:v>
      </x:c>
      <x:c r="H45" s="7" t="n">
        <x:f>H44*(1+'Assumptions'!$E$18)^3</x:f>
        <x:v>34010974.89322</x:v>
      </x:c>
      <x:c r="I45" s="7" t="n">
        <x:f>I44*(1+'Assumptions'!$E$18)^4</x:f>
        <x:v>36857442.18424161</x:v>
      </x:c>
      <x:c r="J45" s="3"/>
      <x:c r="K45" s="11" t="n">
        <x:f>SUM(E45:I45)</x:f>
        <x:v>157141086.6014616</x:v>
      </x:c>
      <x:c r="L45" s="2"/>
      <x:c r="M45" s="60"/>
      <x:c r="N45" s="2"/>
    </x:row>
    <x:row r="46" ht="24" customHeight="1">
      <x:c r="A46" s="2"/>
      <x:c r="B46" s="2"/>
      <x:c r="C46" s="2" t="str">
        <x:v>Extra avoided escalation</x:v>
      </x:c>
      <x:c r="D46" s="2" t="str">
        <x:v>AED</x:v>
      </x:c>
      <x:c r="E46" s="11" t="n">
        <x:f>E45-E44</x:f>
        <x:v>0</x:v>
      </x:c>
      <x:c r="F46" s="11" t="n">
        <x:f>F45-F44</x:f>
        <x:v>836395.8000000007</x:v>
      </x:c>
      <x:c r="G46" s="11" t="n">
        <x:f>G45-G44</x:f>
        <x:v>1796693.7239999995</x:v>
      </x:c>
      <x:c r="H46" s="11" t="n">
        <x:f>H45-H44</x:f>
        <x:v>2886114.89322</x:v>
      </x:c>
      <x:c r="I46" s="11" t="n">
        <x:f>I45-I44</x:f>
        <x:v>4110082.184241608</x:v>
      </x:c>
      <x:c r="J46" s="3"/>
      <x:c r="K46" s="11" t="n">
        <x:f>SUM(E46:I46)</x:f>
        <x:v>9629286.601461608</x:v>
      </x:c>
      <x:c r="L46" s="2"/>
      <x:c r="M46" s="60" t="str">
        <x:v>Hypothetical avoided baseline escalation. Already included in row 47. Never add twice.</x:v>
      </x:c>
      <x:c r="N46" s="2"/>
    </x:row>
    <x:row r="47" ht="24" customHeight="1">
      <x:c r="A47" s="2"/>
      <x:c r="B47" s="2"/>
      <x:c r="C47" s="2" t="str">
        <x:v>Benefit with illustrative escalation</x:v>
      </x:c>
      <x:c r="D47" s="2" t="str">
        <x:v>AED</x:v>
      </x:c>
      <x:c r="E47" s="11" t="n">
        <x:f>E45+E22-E32</x:f>
        <x:v>12948680</x:v>
      </x:c>
      <x:c r="F47" s="11" t="n">
        <x:f>F45+F22-F32</x:f>
        <x:v>14668325.8</x:v>
      </x:c>
      <x:c r="G47" s="11" t="n">
        <x:f>G45+G22-G32</x:f>
        <x:v>16403873.724</x:v>
      </x:c>
      <x:c r="H47" s="11" t="n">
        <x:f>H45+H22-H32</x:f>
        <x:v>18304544.89322</x:v>
      </x:c>
      <x:c r="I47" s="11" t="n">
        <x:f>I45+I22-I32</x:f>
        <x:v>20339762.184241608</x:v>
      </x:c>
      <x:c r="J47" s="3"/>
      <x:c r="K47" s="11" t="n">
        <x:f>SUM(E47:I47)</x:f>
        <x:v>82665186.60146162</x:v>
      </x:c>
      <x:c r="L47" s="2"/>
      <x:c r="M47" s="60"/>
      <x:c r="N47" s="2"/>
    </x:row>
    <x:row r="48" ht="25" customHeight="1">
      <x:c r="A48" s="2"/>
      <x:c r="B48" s="2"/>
      <x:c r="C48" s="30" t="str">
        <x:v>Allocation and reference discounts</x:v>
      </x:c>
      <x:c r="D48" s="30"/>
      <x:c r="E48" s="31"/>
      <x:c r="F48" s="31"/>
      <x:c r="G48" s="31"/>
      <x:c r="H48" s="31"/>
      <x:c r="I48" s="31"/>
      <x:c r="J48" s="31"/>
      <x:c r="K48" s="31"/>
      <x:c r="L48" s="2"/>
      <x:c r="M48" s="60"/>
      <x:c r="N48" s="2"/>
    </x:row>
    <x:row r="49" ht="24" customHeight="1">
      <x:c r="A49" s="2"/>
      <x:c r="B49" s="2"/>
      <x:c r="C49" s="2" t="str">
        <x:v>Initial unallocated seats</x:v>
      </x:c>
      <x:c r="D49" s="2" t="str">
        <x:v>Users</x:v>
      </x:c>
      <x:c r="E49" s="7" t="n">
        <x:f>'Assumptions'!$E$14-'Assumptions'!$E$20</x:f>
        <x:v>8170</x:v>
      </x:c>
      <x:c r="F49" s="7" t="n">
        <x:f>'Assumptions'!$E$14-'Assumptions'!$E$20</x:f>
        <x:v>8170</x:v>
      </x:c>
      <x:c r="G49" s="7" t="n">
        <x:f>'Assumptions'!$E$14-'Assumptions'!$E$20</x:f>
        <x:v>8170</x:v>
      </x:c>
      <x:c r="H49" s="7" t="n">
        <x:f>'Assumptions'!$E$14-'Assumptions'!$E$20</x:f>
        <x:v>8170</x:v>
      </x:c>
      <x:c r="I49" s="7" t="n">
        <x:f>'Assumptions'!$E$14-'Assumptions'!$E$20</x:f>
        <x:v>8170</x:v>
      </x:c>
      <x:c r="J49" s="3"/>
      <x:c r="K49" s="3"/>
      <x:c r="L49" s="2"/>
      <x:c r="M49" s="60"/>
      <x:c r="N49" s="2"/>
    </x:row>
    <x:row r="50" ht="24" customHeight="1">
      <x:c r="A50" s="2"/>
      <x:c r="B50" s="2"/>
      <x:c r="C50" s="2" t="str">
        <x:v>Discount vs DDA baseline</x:v>
      </x:c>
      <x:c r="D50" s="2" t="str">
        <x:v>%</x:v>
      </x:c>
      <x:c r="E50" s="37" t="n">
        <x:f>1-'Assumptions'!$E$10/'Assumptions'!$E$9</x:f>
        <x:v>0.5</x:v>
      </x:c>
      <x:c r="F50" s="37" t="n">
        <x:f>1-'Assumptions'!$E$10/'Assumptions'!$E$9</x:f>
        <x:v>0.5</x:v>
      </x:c>
      <x:c r="G50" s="37" t="n">
        <x:f>1-'Assumptions'!$E$10/'Assumptions'!$E$9</x:f>
        <x:v>0.5</x:v>
      </x:c>
      <x:c r="H50" s="37" t="n">
        <x:f>1-'Assumptions'!$E$10/'Assumptions'!$E$9</x:f>
        <x:v>0.5</x:v>
      </x:c>
      <x:c r="I50" s="37" t="n">
        <x:f>1-'Assumptions'!$E$10/'Assumptions'!$E$9</x:f>
        <x:v>0.5</x:v>
      </x:c>
      <x:c r="J50" s="44"/>
      <x:c r="K50" s="44"/>
      <x:c r="L50" s="2"/>
      <x:c r="M50" s="60"/>
      <x:c r="N50" s="2"/>
    </x:row>
    <x:row r="51" ht="24" customHeight="1">
      <x:c r="A51" s="2"/>
      <x:c r="B51" s="2"/>
      <x:c r="C51" s="2" t="str">
        <x:v>Discount vs Regular Basic Price</x:v>
      </x:c>
      <x:c r="D51" s="2" t="str">
        <x:v>%</x:v>
      </x:c>
      <x:c r="E51" s="37" t="n">
        <x:f>1-'Assumptions'!$E$10/'Assumptions'!$E$8</x:f>
        <x:v>0.6</x:v>
      </x:c>
      <x:c r="F51" s="37" t="n">
        <x:f>1-'Assumptions'!$E$10/'Assumptions'!$E$8</x:f>
        <x:v>0.6</x:v>
      </x:c>
      <x:c r="G51" s="37" t="n">
        <x:f>1-'Assumptions'!$E$10/'Assumptions'!$E$8</x:f>
        <x:v>0.6</x:v>
      </x:c>
      <x:c r="H51" s="37" t="n">
        <x:f>1-'Assumptions'!$E$10/'Assumptions'!$E$8</x:f>
        <x:v>0.6</x:v>
      </x:c>
      <x:c r="I51" s="37" t="n">
        <x:f>1-'Assumptions'!$E$10/'Assumptions'!$E$8</x:f>
        <x:v>0.6</x:v>
      </x:c>
      <x:c r="J51" s="44"/>
      <x:c r="K51" s="44"/>
      <x:c r="L51" s="2"/>
      <x:c r="M51" s="60"/>
      <x:c r="N51" s="2"/>
    </x:row>
    <x:row r="52" ht="24" customHeight="1">
      <x:c r="A52" s="2"/>
      <x:c r="B52" s="2"/>
      <x:c r="C52" s="2" t="str">
        <x:v>Onboarding cost cumulative</x:v>
      </x:c>
      <x:c r="D52" s="2" t="str">
        <x:v>AED</x:v>
      </x:c>
      <x:c r="E52" s="11" t="n">
        <x:f>E29</x:f>
        <x:v>180000</x:v>
      </x:c>
      <x:c r="F52" s="11" t="n">
        <x:f>E52+F29</x:f>
        <x:v>288000</x:v>
      </x:c>
      <x:c r="G52" s="11" t="n">
        <x:f>F52+G29</x:f>
        <x:v>432000</x:v>
      </x:c>
      <x:c r="H52" s="11" t="n">
        <x:f>G52+H29</x:f>
        <x:v>576000</x:v>
      </x:c>
      <x:c r="I52" s="11" t="n">
        <x:f>H52+I29</x:f>
        <x:v>720000</x:v>
      </x:c>
      <x:c r="J52" s="3"/>
      <x:c r="K52" s="11" t="n">
        <x:f>I52</x:f>
        <x:v>720000</x:v>
      </x:c>
      <x:c r="L52" s="2"/>
      <x:c r="M52" s="60"/>
      <x:c r="N52" s="2"/>
    </x:row>
    <x:row r="53" ht="24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2"/>
      <x:c r="M53" s="60"/>
      <x:c r="N53" s="2"/>
    </x:row>
    <x:row r="54" ht="24" customHeight="1">
      <x:c r="A54" s="2"/>
      <x:c r="B54" s="2"/>
      <x:c r="C54" s="2" t="str">
        <x:v>Initial pool recurring commitment</x:v>
      </x:c>
      <x:c r="D54" s="2" t="str">
        <x:v>AED</x:v>
      </x:c>
      <x:c r="E54" s="7" t="n">
        <x:f>'Assumptions'!$E$14*E16+('Assumptions'!$E$14-E9)*E16*'Assumptions'!$E$11+E9*E16*'Assumptions'!$E$12</x:f>
        <x:v>13128680</x:v>
      </x:c>
      <x:c r="F54" s="7" t="n">
        <x:f>'Assumptions'!$E$14*F16+('Assumptions'!$E$14-F9)*F16*'Assumptions'!$E$11+F9*F16*'Assumptions'!$E$12</x:f>
        <x:v>13128680</x:v>
      </x:c>
      <x:c r="G54" s="7" t="n">
        <x:f>'Assumptions'!$E$14*G16+('Assumptions'!$E$14-G9)*G16*'Assumptions'!$E$11+G9*G16*'Assumptions'!$E$12</x:f>
        <x:v>13128680</x:v>
      </x:c>
      <x:c r="H54" s="7" t="n">
        <x:f>'Assumptions'!$E$14*H16+('Assumptions'!$E$14-H9)*H16*'Assumptions'!$E$11+H9*H16*'Assumptions'!$E$12</x:f>
        <x:v>13128680</x:v>
      </x:c>
      <x:c r="I54" s="7" t="n">
        <x:f>'Assumptions'!$E$14*I16+('Assumptions'!$E$14-I9)*I16*'Assumptions'!$E$11+I9*I16*'Assumptions'!$E$12</x:f>
        <x:v>13128680</x:v>
      </x:c>
      <x:c r="J54" s="3"/>
      <x:c r="K54" s="11" t="n">
        <x:f>SUM(E54:I54)</x:f>
        <x:v>65643400</x:v>
      </x:c>
      <x:c r="L54" s="2"/>
      <x:c r="M54" s="60" t="str">
        <x:v>Initial 10,000-seat subscription and support at the retained deployment mix. Excludes growth, onboarding and unpriced services.</x:v>
      </x:c>
      <x:c r="N54" s="2"/>
    </x:row>
    <x:row r="55" ht="24" customHeight="1">
      <x:c r="A55" s="2"/>
      <x:c r="B55" s="2"/>
      <x:c r="C55" s="2" t="str">
        <x:v>Growth recurring budget</x:v>
      </x:c>
      <x:c r="D55" s="2" t="str">
        <x:v>AED</x:v>
      </x:c>
      <x:c r="E55" s="11" t="n">
        <x:f>E28-E54</x:f>
        <x:v>0</x:v>
      </x:c>
      <x:c r="F55" s="11" t="n">
        <x:f>F28-F54</x:f>
        <x:v>811250</x:v>
      </x:c>
      <x:c r="G55" s="11" t="n">
        <x:f>G28-G54</x:f>
        <x:v>1622500</x:v>
      </x:c>
      <x:c r="H55" s="11" t="n">
        <x:f>H28-H54</x:f>
        <x:v>2433750</x:v>
      </x:c>
      <x:c r="I55" s="11" t="n">
        <x:f>I28-I54</x:f>
        <x:v>3245000</x:v>
      </x:c>
      <x:c r="J55" s="3"/>
      <x:c r="K55" s="11" t="n">
        <x:f>SUM(E55:I55)</x:f>
        <x:v>8112500</x:v>
      </x:c>
      <x:c r="L55" s="2"/>
      <x:c r="M55" s="60"/>
      <x:c r="N55" s="2"/>
    </x:row>
    <x:row r="56" ht="24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2"/>
      <x:c r="M56" s="60"/>
      <x:c r="N56" s="2"/>
    </x:row>
    <x:row r="57" ht="24" customHeight="1">
      <x:c r="A57" s="2"/>
      <x:c r="B57" s="2"/>
      <x:c r="C57" s="12" t="str">
        <x:v>Annual cash timing within each year and tax are not modeled. No discounted NPV, IRR or productivity savings are claimed.</x:v>
      </x:c>
      <x:c r="D57" s="2"/>
      <x:c r="E57" s="3"/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4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2"/>
      <x:c r="M65" s="60"/>
      <x:c r="N65" s="2"/>
    </x:row>
    <x:row r="66" ht="24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2"/>
      <x:c r="M66" s="60"/>
      <x:c r="N66" s="2"/>
    </x:row>
    <x:row r="67" ht="24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8" hidden="0" customWidth="1"/>
    <x:col min="4" max="4" width="51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0" hidden="0" customWidth="1"/>
    <x:col min="14" max="14" width="22" hidden="0" customWidth="1"/>
    <x:col min="15" max="15" width="22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Existing customers and proposed subscription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12" t="str">
        <x:v>S03 user-supplied customer records. Blanks remain unspecified. Reported amounts assumed AED and additive for this comparison.</x:v>
      </x:c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Source #</x:v>
      </x:c>
      <x:c r="D7" s="19" t="str">
        <x:v>Customer</x:v>
      </x:c>
      <x:c r="E7" s="20" t="str">
        <x:v>Deployment</x:v>
      </x:c>
      <x:c r="F7" s="20" t="str">
        <x:v>Users</x:v>
      </x:c>
      <x:c r="G7" s="20" t="str">
        <x:v>Transactions</x:v>
      </x:c>
      <x:c r="H7" s="20" t="str">
        <x:v>Annual subscription</x:v>
      </x:c>
      <x:c r="I7" s="20" t="str">
        <x:v>Annual support</x:v>
      </x:c>
      <x:c r="J7" s="20" t="str">
        <x:v>Current licence</x:v>
      </x:c>
      <x:c r="K7" s="20" t="str">
        <x:v>Known charges</x:v>
      </x:c>
      <x:c r="L7" s="19" t="str">
        <x:v>Support rate</x:v>
      </x:c>
      <x:c r="M7" s="61" t="str">
        <x:v>Central annual cost</x:v>
      </x:c>
      <x:c r="N7" s="19" t="str">
        <x:v>Difference vs known</x:v>
      </x:c>
    </x:row>
    <x:row r="8" ht="43" customHeight="1">
      <x:c r="A8" s="2"/>
      <x:c r="B8" s="2"/>
      <x:c r="C8" s="38" t="n">
        <x:v>8</x:v>
      </x:c>
      <x:c r="D8" s="40" t="str">
        <x:v>Digital Dubai Authority</x:v>
      </x:c>
      <x:c r="E8" s="21" t="str">
        <x:v>On-Premise</x:v>
      </x:c>
      <x:c r="F8" s="21" t="n">
        <x:v>50</x:v>
      </x:c>
      <x:c r="G8" s="21" t="str">
        <x:v>Unlimited</x:v>
      </x:c>
      <x:c r="H8" s="39" t="n">
        <x:v>163201.6</x:v>
      </x:c>
      <x:c r="I8" s="39" t="n">
        <x:v>63397</x:v>
      </x:c>
      <x:c r="J8" s="39" t="str">
        <x:v>Subscription</x:v>
      </x:c>
      <x:c r="K8" s="35" t="n">
        <x:f>SUM(H8:I8)</x:f>
        <x:v>226598.6</x:v>
      </x:c>
      <x:c r="L8" s="37" t="n">
        <x:f>IF(E8="On-Premise",'Assumptions'!$E$12,'Assumptions'!$E$11)</x:f>
        <x:v>0.2</x:v>
      </x:c>
      <x:c r="M8" s="62" t="n">
        <x:f>F8*'Assumptions'!$E$10*(1+L8)</x:f>
        <x:v>70800</x:v>
      </x:c>
      <x:c r="N8" s="35" t="n">
        <x:f>M8-K8</x:f>
        <x:v>-155798.6</x:v>
      </x:c>
    </x:row>
    <x:row r="9" ht="43" customHeight="1">
      <x:c r="A9" s="2"/>
      <x:c r="B9" s="2"/>
      <x:c r="C9" s="38" t="n">
        <x:v>8</x:v>
      </x:c>
      <x:c r="D9" s="40" t="str">
        <x:v>Digital Dubai Authority</x:v>
      </x:c>
      <x:c r="E9" s="21" t="str">
        <x:v>Shared Service</x:v>
      </x:c>
      <x:c r="F9" s="21" t="n">
        <x:v>100</x:v>
      </x:c>
      <x:c r="G9" s="21" t="str">
        <x:v>Unlimited</x:v>
      </x:c>
      <x:c r="H9" s="39" t="n">
        <x:v>293444.33</x:v>
      </x:c>
      <x:c r="I9" s="39" t="n">
        <x:v>75000</x:v>
      </x:c>
      <x:c r="J9" s="39" t="str">
        <x:v>Subscription</x:v>
      </x:c>
      <x:c r="K9" s="35" t="n">
        <x:f>SUM(H9:I9)</x:f>
        <x:v>368444.33</x:v>
      </x:c>
      <x:c r="L9" s="37" t="n">
        <x:f>IF(E9="On-Premise",'Assumptions'!$E$12,'Assumptions'!$E$11)</x:f>
        <x:v>0.1</x:v>
      </x:c>
      <x:c r="M9" s="62" t="n">
        <x:f>F9*'Assumptions'!$E$10*(1+L9)</x:f>
        <x:v>129800.00000000001</x:v>
      </x:c>
      <x:c r="N9" s="35" t="n">
        <x:f>M9-K9</x:f>
        <x:v>-238644.33000000002</x:v>
      </x:c>
    </x:row>
    <x:row r="10" ht="43" customHeight="1">
      <x:c r="A10" s="2"/>
      <x:c r="B10" s="2"/>
      <x:c r="C10" s="38" t="n">
        <x:v>17</x:v>
      </x:c>
      <x:c r="D10" s="40" t="str">
        <x:v>Dubai Corporation for Ambulances Services</x:v>
      </x:c>
      <x:c r="E10" s="21" t="str">
        <x:v>SaaS</x:v>
      </x:c>
      <x:c r="F10" s="21" t="n">
        <x:v>275</x:v>
      </x:c>
      <x:c r="G10" s="21" t="n">
        <x:v>10000</x:v>
      </x:c>
      <x:c r="H10" s="39" t="n">
        <x:v>147268.13</x:v>
      </x:c>
      <x:c r="I10" s="39"/>
      <x:c r="J10" s="39" t="str">
        <x:v>Subscription</x:v>
      </x:c>
      <x:c r="K10" s="35" t="n">
        <x:f>SUM(H10:I10)</x:f>
        <x:v>147268.13</x:v>
      </x:c>
      <x:c r="L10" s="37" t="n">
        <x:f>IF(E10="On-Premise",'Assumptions'!$E$12,'Assumptions'!$E$11)</x:f>
        <x:v>0.1</x:v>
      </x:c>
      <x:c r="M10" s="62" t="n">
        <x:f>F10*'Assumptions'!$E$10*(1+L10)</x:f>
        <x:v>356950</x:v>
      </x:c>
      <x:c r="N10" s="35" t="n">
        <x:f>M10-K10</x:f>
        <x:v>209681.87</x:v>
      </x:c>
    </x:row>
    <x:row r="11" ht="43" customHeight="1">
      <x:c r="A11" s="2"/>
      <x:c r="B11" s="2"/>
      <x:c r="C11" s="38" t="n">
        <x:v>19</x:v>
      </x:c>
      <x:c r="D11" s="40" t="str">
        <x:v>Dubai Culture &amp; Arts Authority</x:v>
      </x:c>
      <x:c r="E11" s="21" t="str">
        <x:v>SaaS</x:v>
      </x:c>
      <x:c r="F11" s="21" t="n">
        <x:v>25</x:v>
      </x:c>
      <x:c r="G11" s="21" t="str">
        <x:v>Unlimited</x:v>
      </x:c>
      <x:c r="H11" s="39" t="n">
        <x:v>110988.75</x:v>
      </x:c>
      <x:c r="I11" s="39"/>
      <x:c r="J11" s="39" t="str">
        <x:v>Subscription</x:v>
      </x:c>
      <x:c r="K11" s="35" t="n">
        <x:f>SUM(H11:I11)</x:f>
        <x:v>110988.75</x:v>
      </x:c>
      <x:c r="L11" s="37" t="n">
        <x:f>IF(E11="On-Premise",'Assumptions'!$E$12,'Assumptions'!$E$11)</x:f>
        <x:v>0.1</x:v>
      </x:c>
      <x:c r="M11" s="62" t="n">
        <x:f>F11*'Assumptions'!$E$10*(1+L11)</x:f>
        <x:v>32450.000000000004</x:v>
      </x:c>
      <x:c r="N11" s="35" t="n">
        <x:f>M11-K11</x:f>
        <x:v>-78538.75</x:v>
      </x:c>
    </x:row>
    <x:row r="12" ht="43" customHeight="1">
      <x:c r="A12" s="2"/>
      <x:c r="B12" s="2"/>
      <x:c r="C12" s="38" t="n">
        <x:v>24</x:v>
      </x:c>
      <x:c r="D12" s="40" t="str">
        <x:v>Dubai Electronic Security Center</x:v>
      </x:c>
      <x:c r="E12" s="21" t="str">
        <x:v>On-Premise</x:v>
      </x:c>
      <x:c r="F12" s="21" t="n">
        <x:v>60</x:v>
      </x:c>
      <x:c r="G12" s="21" t="str">
        <x:v>Unlimited</x:v>
      </x:c>
      <x:c r="H12" s="39" t="n">
        <x:v>234635.43</x:v>
      </x:c>
      <x:c r="I12" s="39"/>
      <x:c r="J12" s="39" t="str">
        <x:v>Subscription</x:v>
      </x:c>
      <x:c r="K12" s="35" t="n">
        <x:f>SUM(H12:I12)</x:f>
        <x:v>234635.43</x:v>
      </x:c>
      <x:c r="L12" s="37" t="n">
        <x:f>IF(E12="On-Premise",'Assumptions'!$E$12,'Assumptions'!$E$11)</x:f>
        <x:v>0.2</x:v>
      </x:c>
      <x:c r="M12" s="62" t="n">
        <x:f>F12*'Assumptions'!$E$10*(1+L12)</x:f>
        <x:v>84960</x:v>
      </x:c>
      <x:c r="N12" s="35" t="n">
        <x:f>M12-K12</x:f>
        <x:v>-149675.43</x:v>
      </x:c>
    </x:row>
    <x:row r="13" ht="43" customHeight="1">
      <x:c r="A13" s="2"/>
      <x:c r="B13" s="2"/>
      <x:c r="C13" s="38" t="n">
        <x:v>57</x:v>
      </x:c>
      <x:c r="D13" s="40" t="str">
        <x:v>Investment Corporation of Dubai</x:v>
      </x:c>
      <x:c r="E13" s="21" t="str">
        <x:v>On-Premise</x:v>
      </x:c>
      <x:c r="F13" s="21" t="n">
        <x:v>150</x:v>
      </x:c>
      <x:c r="G13" s="21" t="str">
        <x:v>Unlimited</x:v>
      </x:c>
      <x:c r="H13" s="39" t="n">
        <x:v>177108</x:v>
      </x:c>
      <x:c r="I13" s="39"/>
      <x:c r="J13" s="39" t="str">
        <x:v>Subscription</x:v>
      </x:c>
      <x:c r="K13" s="35" t="n">
        <x:f>SUM(H13:I13)</x:f>
        <x:v>177108</x:v>
      </x:c>
      <x:c r="L13" s="37" t="n">
        <x:f>IF(E13="On-Premise",'Assumptions'!$E$12,'Assumptions'!$E$11)</x:f>
        <x:v>0.2</x:v>
      </x:c>
      <x:c r="M13" s="62" t="n">
        <x:f>F13*'Assumptions'!$E$10*(1+L13)</x:f>
        <x:v>212400</x:v>
      </x:c>
      <x:c r="N13" s="35" t="n">
        <x:f>M13-K13</x:f>
        <x:v>35292</x:v>
      </x:c>
    </x:row>
    <x:row r="14" ht="43" customHeight="1">
      <x:c r="A14" s="2"/>
      <x:c r="B14" s="2"/>
      <x:c r="C14" s="38" t="n">
        <x:v>70</x:v>
      </x:c>
      <x:c r="D14" s="40" t="str">
        <x:v>Ports, Customs and Free Zone Corporation (PCFC)</x:v>
      </x:c>
      <x:c r="E14" s="21" t="str">
        <x:v>SaaS</x:v>
      </x:c>
      <x:c r="F14" s="21" t="n">
        <x:v>20</x:v>
      </x:c>
      <x:c r="G14" s="21" t="str">
        <x:v>Unlimited</x:v>
      </x:c>
      <x:c r="H14" s="39" t="n">
        <x:v>116564.92</x:v>
      </x:c>
      <x:c r="I14" s="39"/>
      <x:c r="J14" s="39" t="str">
        <x:v>Subscription</x:v>
      </x:c>
      <x:c r="K14" s="35" t="n">
        <x:f>SUM(H14:I14)</x:f>
        <x:v>116564.92</x:v>
      </x:c>
      <x:c r="L14" s="37" t="n">
        <x:f>IF(E14="On-Premise",'Assumptions'!$E$12,'Assumptions'!$E$11)</x:f>
        <x:v>0.1</x:v>
      </x:c>
      <x:c r="M14" s="62" t="n">
        <x:f>F14*'Assumptions'!$E$10*(1+L14)</x:f>
        <x:v>25960.000000000004</x:v>
      </x:c>
      <x:c r="N14" s="35" t="n">
        <x:f>M14-K14</x:f>
        <x:v>-90604.92</x:v>
      </x:c>
    </x:row>
    <x:row r="15" ht="43" customHeight="1">
      <x:c r="A15" s="2"/>
      <x:c r="B15" s="2"/>
      <x:c r="C15" s="38" t="n">
        <x:v>74</x:v>
      </x:c>
      <x:c r="D15" s="40" t="str">
        <x:v>Roads and Transport Authority (RTA)</x:v>
      </x:c>
      <x:c r="E15" s="21" t="str">
        <x:v>On-Premise</x:v>
      </x:c>
      <x:c r="F15" s="21" t="n">
        <x:v>1000</x:v>
      </x:c>
      <x:c r="G15" s="21" t="str">
        <x:v>Unlimited</x:v>
      </x:c>
      <x:c r="H15" s="39"/>
      <x:c r="I15" s="39" t="n">
        <x:v>608000</x:v>
      </x:c>
      <x:c r="J15" s="39" t="str">
        <x:v>CAPEX</x:v>
      </x:c>
      <x:c r="K15" s="35" t="n">
        <x:f>SUM(H15:I15)</x:f>
        <x:v>608000</x:v>
      </x:c>
      <x:c r="L15" s="37" t="n">
        <x:f>IF(E15="On-Premise",'Assumptions'!$E$12,'Assumptions'!$E$11)</x:f>
        <x:v>0.2</x:v>
      </x:c>
      <x:c r="M15" s="62" t="n">
        <x:f>F15*'Assumptions'!$E$10*(1+L15)</x:f>
        <x:v>1416000</x:v>
      </x:c>
      <x:c r="N15" s="35" t="n">
        <x:f>M15-K15</x:f>
        <x:v>808000</x:v>
      </x:c>
    </x:row>
    <x:row r="16" ht="43" customHeight="1">
      <x:c r="A16" s="2"/>
      <x:c r="B16" s="2"/>
      <x:c r="C16" s="38" t="n">
        <x:v>91</x:v>
      </x:c>
      <x:c r="D16" s="40" t="str">
        <x:v>Dubai Healthcare City Authority</x:v>
      </x:c>
      <x:c r="E16" s="21" t="str">
        <x:v>SaaS</x:v>
      </x:c>
      <x:c r="F16" s="21" t="n">
        <x:v>150</x:v>
      </x:c>
      <x:c r="G16" s="21" t="n">
        <x:v>5000</x:v>
      </x:c>
      <x:c r="H16" s="39" t="n">
        <x:v>57627.5</x:v>
      </x:c>
      <x:c r="I16" s="39"/>
      <x:c r="J16" s="39" t="str">
        <x:v>Subscription</x:v>
      </x:c>
      <x:c r="K16" s="35" t="n">
        <x:f>SUM(H16:I16)</x:f>
        <x:v>57627.5</x:v>
      </x:c>
      <x:c r="L16" s="37" t="n">
        <x:f>IF(E16="On-Premise",'Assumptions'!$E$12,'Assumptions'!$E$11)</x:f>
        <x:v>0.1</x:v>
      </x:c>
      <x:c r="M16" s="62" t="n">
        <x:f>F16*'Assumptions'!$E$10*(1+L16)</x:f>
        <x:v>194700.00000000003</x:v>
      </x:c>
      <x:c r="N16" s="35" t="n">
        <x:f>M16-K16</x:f>
        <x:v>137072.50000000003</x:v>
      </x:c>
    </x:row>
    <x:row r="17" ht="24" customHeight="1">
      <x:c r="A17" s="2"/>
      <x:c r="B17" s="2"/>
      <x:c r="C17" s="2"/>
      <x:c r="D17" s="2"/>
      <x:c r="E17" s="3"/>
      <x:c r="F17" s="3"/>
      <x:c r="G17" s="3"/>
      <x:c r="H17" s="34"/>
      <x:c r="I17" s="34"/>
      <x:c r="J17" s="34"/>
      <x:c r="K17" s="34"/>
      <x:c r="L17" s="2"/>
      <x:c r="M17" s="63"/>
      <x:c r="N17" s="34"/>
    </x:row>
    <x:row r="18" ht="24" customHeight="1">
      <x:c r="A18" s="2"/>
      <x:c r="B18" s="2"/>
      <x:c r="C18" s="25"/>
      <x:c r="D18" s="25" t="str">
        <x:v>Total reported project users / charges</x:v>
      </x:c>
      <x:c r="E18" s="26"/>
      <x:c r="F18" s="28" t="n">
        <x:f>SUM(F8:F16)</x:f>
        <x:v>1830</x:v>
      </x:c>
      <x:c r="G18" s="26"/>
      <x:c r="H18" s="41" t="n">
        <x:f>SUM(H8:H16)</x:f>
        <x:v>1300838.66</x:v>
      </x:c>
      <x:c r="I18" s="41" t="n">
        <x:f>SUM(I8:I16)</x:f>
        <x:v>746397</x:v>
      </x:c>
      <x:c r="J18" s="42"/>
      <x:c r="K18" s="41" t="n">
        <x:f>SUM(K8:K16)</x:f>
        <x:v>2047235.66</x:v>
      </x:c>
      <x:c r="L18" s="25"/>
      <x:c r="M18" s="64" t="n">
        <x:f>SUM(M8:M16)</x:f>
        <x:v>2524020</x:v>
      </x:c>
      <x:c r="N18" s="41" t="n">
        <x:f>SUM(N8:N16)</x:f>
        <x:v>476784.33999999997</x:v>
      </x:c>
    </x:row>
    <x:row r="19" ht="24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2"/>
      <x:c r="M19" s="60"/>
      <x:c r="N19" s="2"/>
    </x:row>
    <x:row r="20" ht="24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2"/>
      <x:c r="M20" s="60"/>
      <x:c r="N20" s="2"/>
    </x:row>
    <x:row r="21" ht="24" customHeight="1">
      <x:c r="A21" s="2"/>
      <x:c r="B21" s="2"/>
      <x:c r="C21" s="12" t="str">
        <x:v>Positive difference means a higher central charge than the reported known amount. Missing support limits the comparison.</x:v>
      </x:c>
      <x:c r="D21" s="2"/>
      <x:c r="E21" s="3"/>
      <x:c r="F21" s="3"/>
      <x:c r="G21" s="3"/>
      <x:c r="H21" s="3"/>
      <x:c r="I21" s="3"/>
      <x:c r="J21" s="3"/>
      <x:c r="K21" s="3"/>
      <x:c r="L21" s="2"/>
      <x:c r="M21" s="60"/>
      <x:c r="N21" s="2"/>
    </x:row>
    <x:row r="22" ht="24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2"/>
      <x:c r="M22" s="60"/>
      <x:c r="N22" s="2"/>
    </x:row>
    <x:row r="23" ht="24" customHeight="1">
      <x:c r="A23" s="2"/>
      <x:c r="B23" s="2"/>
      <x:c r="C23" s="12" t="str">
        <x:v>RTA converts from CAPEX to subscription: AED 1,416,000 annual central cost versus AED 608,000 reported support.</x:v>
      </x:c>
      <x:c r="D23" s="2"/>
      <x:c r="E23" s="3"/>
      <x:c r="F23" s="3"/>
      <x:c r="G23" s="3"/>
      <x:c r="H23" s="3"/>
      <x:c r="I23" s="3"/>
      <x:c r="J23" s="3"/>
      <x:c r="K23" s="3"/>
      <x:c r="L23" s="2"/>
      <x:c r="M23" s="60"/>
      <x:c r="N23" s="2"/>
    </x:row>
    <x:row r="24" ht="24" customHeight="1">
      <x:c r="A24" s="2"/>
      <x:c r="B24" s="2"/>
      <x:c r="C24" s="12" t="str">
        <x:v>The conditional AED 808,000 increase is included here. Historic CAPEX is not a recurring saving.</x:v>
      </x:c>
      <x:c r="D24" s="2"/>
      <x:c r="E24" s="3"/>
      <x:c r="F24" s="3"/>
      <x:c r="G24" s="3"/>
      <x:c r="H24" s="3"/>
      <x:c r="I24" s="3"/>
      <x:c r="J24" s="3"/>
      <x:c r="K24" s="3"/>
      <x:c r="L24" s="2"/>
      <x:c r="M24" s="60"/>
      <x:c r="N24" s="2"/>
    </x:row>
    <x:row r="25" ht="24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2"/>
      <x:c r="M25" s="60"/>
      <x:c r="N25" s="2"/>
    </x:row>
    <x:row r="26" ht="24" customHeight="1">
      <x:c r="A26" s="2"/>
      <x:c r="B26" s="2"/>
      <x:c r="C26" s="12" t="str">
        <x:v>All four SaaS customers qualify for charge cessation upon migration. DDA Shared Service charges also cease.</x:v>
      </x:c>
      <x:c r="D26" s="2"/>
      <x:c r="E26" s="3"/>
      <x:c r="F26" s="3"/>
      <x:c r="G26" s="3"/>
      <x:c r="H26" s="3"/>
      <x:c r="I26" s="3"/>
      <x:c r="J26" s="3"/>
      <x:c r="K26" s="3"/>
      <x:c r="L26" s="2"/>
      <x:c r="M26" s="60"/>
      <x:c r="N26" s="2"/>
    </x:row>
    <x:row r="27" ht="24" customHeight="1">
      <x:c r="A27" s="2"/>
      <x:c r="B27" s="2"/>
      <x:c r="C27" s="12" t="str">
        <x:v>On-premise support becomes 20% of allocated subscription and replaces old support. Deployment still benefits from the lower user price.</x:v>
      </x:c>
      <x:c r="D27" s="2"/>
      <x:c r="E27" s="3"/>
      <x:c r="F27" s="3"/>
      <x:c r="G27" s="3"/>
      <x:c r="H27" s="3"/>
      <x:c r="I27" s="3"/>
      <x:c r="J27" s="3"/>
      <x:c r="K27" s="3"/>
      <x:c r="L27" s="2"/>
      <x:c r="M27" s="60"/>
      <x:c r="N27" s="2"/>
    </x:row>
    <x:row r="28" ht="24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2"/>
      <x:c r="M28" s="60"/>
      <x:c r="N28" s="2"/>
    </x:row>
    <x:row r="29" ht="24" customHeight="1">
      <x:c r="A29" s="2"/>
      <x:c r="B29" s="2"/>
      <x:c r="C29" s="12" t="str">
        <x:v>Nine projects represent eight customer entities. Current charges are not the DDA benchmark for an expanded 10,000-user service.</x:v>
      </x:c>
      <x:c r="D29" s="2"/>
      <x:c r="E29" s="3"/>
      <x:c r="F29" s="3"/>
      <x:c r="G29" s="3"/>
      <x:c r="H29" s="3"/>
      <x:c r="I29" s="3"/>
      <x:c r="J29" s="3"/>
      <x:c r="K29" s="3"/>
      <x:c r="L29" s="2"/>
      <x:c r="M29" s="60"/>
      <x:c r="N29" s="2"/>
    </x:row>
    <x:row r="30" ht="24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2"/>
      <x:c r="M32" s="60"/>
      <x:c r="N32" s="2"/>
    </x:row>
    <x:row r="33" ht="24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2"/>
      <x:c r="M33" s="60"/>
      <x:c r="N33" s="2"/>
    </x:row>
    <x:row r="34" ht="24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2"/>
      <x:c r="M34" s="60"/>
      <x:c r="N34" s="2"/>
    </x:row>
    <x:row r="35" ht="24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2"/>
      <x:c r="M35" s="60"/>
      <x:c r="N35" s="2"/>
    </x:row>
    <x:row r="36" ht="24" customHeight="1">
      <x:c r="A36" s="2"/>
      <x:c r="B36" s="2"/>
      <x:c r="C36" s="2"/>
      <x:c r="D36" s="2"/>
      <x:c r="E36" s="3"/>
      <x:c r="F36" s="3"/>
      <x:c r="G36" s="3"/>
      <x:c r="H36" s="3"/>
      <x:c r="I36" s="3"/>
      <x:c r="J36" s="3"/>
      <x:c r="K36" s="3"/>
      <x:c r="L36" s="2"/>
      <x:c r="M36" s="60"/>
      <x:c r="N36" s="2"/>
    </x:row>
    <x:row r="37" ht="24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2"/>
      <x:c r="M37" s="60"/>
      <x:c r="N37" s="2"/>
    </x:row>
    <x:row r="38" ht="24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2"/>
      <x:c r="M38" s="60"/>
      <x:c r="N38" s="2"/>
    </x:row>
    <x:row r="39" ht="24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2"/>
      <x:c r="M39" s="60"/>
      <x:c r="N39" s="2"/>
    </x:row>
    <x:row r="40" ht="24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2"/>
      <x:c r="M40" s="60"/>
      <x:c r="N40" s="2"/>
    </x:row>
    <x:row r="41" ht="24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2"/>
      <x:c r="M41" s="60"/>
      <x:c r="N41" s="2"/>
    </x:row>
    <x:row r="42" ht="24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2"/>
      <x:c r="M42" s="60"/>
      <x:c r="N42" s="2"/>
    </x:row>
    <x:row r="43" ht="24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2"/>
      <x:c r="M43" s="60"/>
      <x:c r="N43" s="2"/>
    </x:row>
    <x:row r="44" ht="24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2"/>
      <x:c r="M44" s="60"/>
      <x:c r="N44" s="2"/>
    </x:row>
    <x:row r="45" ht="24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2"/>
      <x:c r="M45" s="60"/>
      <x:c r="N45" s="2"/>
    </x:row>
    <x:row r="46" ht="24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2"/>
      <x:c r="M46" s="60"/>
      <x:c r="N46" s="2"/>
    </x:row>
    <x:row r="47" ht="24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2"/>
      <x:c r="M47" s="60"/>
      <x:c r="N47" s="2"/>
    </x:row>
    <x:row r="48" ht="24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2"/>
      <x:c r="M48" s="60"/>
      <x:c r="N48" s="2"/>
    </x:row>
    <x:row r="49" ht="24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2"/>
      <x:c r="M49" s="60"/>
      <x:c r="N49" s="2"/>
    </x:row>
    <x:row r="50" ht="24" customHeight="1">
      <x:c r="A50" s="2"/>
      <x:c r="B50" s="2"/>
      <x:c r="C50" s="2"/>
      <x:c r="D50" s="2"/>
      <x:c r="E50" s="3"/>
      <x:c r="F50" s="3"/>
      <x:c r="G50" s="3"/>
      <x:c r="H50" s="3"/>
      <x:c r="I50" s="3"/>
      <x:c r="J50" s="3"/>
      <x:c r="K50" s="3"/>
      <x:c r="L50" s="2"/>
      <x:c r="M50" s="60"/>
      <x:c r="N50" s="2"/>
    </x:row>
    <x:row r="51" ht="24" customHeight="1">
      <x:c r="A51" s="2"/>
      <x:c r="B51" s="2"/>
      <x:c r="C51" s="2"/>
      <x:c r="D51" s="2"/>
      <x:c r="E51" s="3"/>
      <x:c r="F51" s="3"/>
      <x:c r="G51" s="3"/>
      <x:c r="H51" s="3"/>
      <x:c r="I51" s="3"/>
      <x:c r="J51" s="3"/>
      <x:c r="K51" s="3"/>
      <x:c r="L51" s="2"/>
      <x:c r="M51" s="60"/>
      <x:c r="N51" s="2"/>
    </x:row>
    <x:row r="52" ht="24" customHeight="1">
      <x:c r="A52" s="2"/>
      <x:c r="B52" s="2"/>
      <x:c r="C52" s="2"/>
      <x:c r="D52" s="2"/>
      <x:c r="E52" s="3"/>
      <x:c r="F52" s="3"/>
      <x:c r="G52" s="3"/>
      <x:c r="H52" s="3"/>
      <x:c r="I52" s="3"/>
      <x:c r="J52" s="3"/>
      <x:c r="K52" s="3"/>
      <x:c r="L52" s="2"/>
      <x:c r="M52" s="60"/>
      <x:c r="N52" s="2"/>
    </x:row>
    <x:row r="53" ht="24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2"/>
      <x:c r="M53" s="60"/>
      <x:c r="N53" s="2"/>
    </x:row>
    <x:row r="54" ht="24" customHeight="1">
      <x:c r="A54" s="2"/>
      <x:c r="B54" s="2"/>
      <x:c r="C54" s="2"/>
      <x:c r="D54" s="2"/>
      <x:c r="E54" s="3"/>
      <x:c r="F54" s="3"/>
      <x:c r="G54" s="3"/>
      <x:c r="H54" s="3"/>
      <x:c r="I54" s="3"/>
      <x:c r="J54" s="3"/>
      <x:c r="K54" s="3"/>
      <x:c r="L54" s="2"/>
      <x:c r="M54" s="60"/>
      <x:c r="N54" s="2"/>
    </x:row>
    <x:row r="55" ht="24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2"/>
      <x:c r="M55" s="60"/>
      <x:c r="N55" s="2"/>
    </x:row>
    <x:row r="56" ht="24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2"/>
      <x:c r="M56" s="60"/>
      <x:c r="N56" s="2"/>
    </x:row>
    <x:row r="57" ht="24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4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2"/>
      <x:c r="M65" s="60"/>
      <x:c r="N65" s="2"/>
    </x:row>
    <x:row r="66" ht="24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2"/>
      <x:c r="M66" s="60"/>
      <x:c r="N66" s="2"/>
    </x:row>
    <x:row r="67" ht="24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4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Demand evidence and adoption analysis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Demand evidence</x:v>
      </x:c>
      <x:c r="D7" s="19" t="str">
        <x:v>Unit</x:v>
      </x:c>
      <x:c r="E7" s="20" t="str">
        <x:v>Value</x:v>
      </x:c>
      <x:c r="F7" s="3"/>
      <x:c r="G7" s="3"/>
      <x:c r="H7" s="3"/>
      <x:c r="I7" s="3"/>
      <x:c r="J7" s="3"/>
      <x:c r="K7" s="3"/>
      <x:c r="L7" s="2"/>
      <x:c r="M7" s="60"/>
      <x:c r="N7" s="2"/>
    </x:row>
    <x:row r="8" ht="24" customHeight="1">
      <x:c r="A8" s="2"/>
      <x:c r="B8" s="2"/>
      <x:c r="C8" s="2" t="str">
        <x:v>Existing reported project users</x:v>
      </x:c>
      <x:c r="D8" s="2" t="str">
        <x:v>Users</x:v>
      </x:c>
      <x:c r="E8" s="7" t="n">
        <x:f>'Assumptions'!E20</x:f>
        <x:v>1830</x:v>
      </x:c>
      <x:c r="F8" s="3"/>
      <x:c r="G8" s="3"/>
      <x:c r="H8" s="3"/>
      <x:c r="I8" s="3"/>
      <x:c r="J8" s="3"/>
      <x:c r="K8" s="3"/>
      <x:c r="L8" s="2"/>
      <x:c r="M8" s="60"/>
      <x:c r="N8" s="2"/>
    </x:row>
    <x:row r="9" ht="24" customHeight="1">
      <x:c r="A9" s="2"/>
      <x:c r="B9" s="2"/>
      <x:c r="C9" s="2" t="str">
        <x:v>Initial central commitment</x:v>
      </x:c>
      <x:c r="D9" s="2" t="str">
        <x:v>Users</x:v>
      </x:c>
      <x:c r="E9" s="7" t="n">
        <x:f>'Assumptions'!E14</x:f>
        <x:v>10000</x:v>
      </x:c>
      <x:c r="F9" s="3"/>
      <x:c r="G9" s="3"/>
      <x:c r="H9" s="3"/>
      <x:c r="I9" s="3"/>
      <x:c r="J9" s="3"/>
      <x:c r="K9" s="3"/>
      <x:c r="L9" s="2"/>
      <x:c r="M9" s="60"/>
      <x:c r="N9" s="2"/>
    </x:row>
    <x:row r="10" ht="24" customHeight="1">
      <x:c r="A10" s="2"/>
      <x:c r="B10" s="2"/>
      <x:c r="C10" s="2" t="str">
        <x:v>Initial seats awaiting allocation</x:v>
      </x:c>
      <x:c r="D10" s="2" t="str">
        <x:v>Users</x:v>
      </x:c>
      <x:c r="E10" s="11" t="n">
        <x:f>E9-E8</x:f>
        <x:v>8170</x:v>
      </x:c>
      <x:c r="F10" s="3"/>
      <x:c r="G10" s="3"/>
      <x:c r="H10" s="3"/>
      <x:c r="I10" s="3"/>
      <x:c r="J10" s="3"/>
      <x:c r="K10" s="3"/>
      <x:c r="L10" s="2"/>
      <x:c r="M10" s="60"/>
      <x:c r="N10" s="2"/>
    </x:row>
    <x:row r="11" ht="24" customHeight="1">
      <x:c r="A11" s="2"/>
      <x:c r="B11" s="2"/>
      <x:c r="C11" s="2" t="str">
        <x:v>Numerical survey minimum</x:v>
      </x:c>
      <x:c r="D11" s="2" t="str">
        <x:v>Users</x:v>
      </x:c>
      <x:c r="E11" s="11" t="n">
        <x:f>G28</x:f>
        <x:v>4921</x:v>
      </x:c>
      <x:c r="F11" s="3"/>
      <x:c r="G11" s="3"/>
      <x:c r="H11" s="3"/>
      <x:c r="I11" s="3"/>
      <x:c r="J11" s="3"/>
      <x:c r="K11" s="3"/>
      <x:c r="L11" s="2"/>
      <x:c r="M11" s="60" t="str">
        <x:v>Q3 minimum is current/expected demand across 21 numerical answers. Unknown overlap prevents adding existing users.</x:v>
      </x:c>
      <x:c r="N11" s="2"/>
    </x:row>
    <x:row r="12" ht="24" customHeight="1">
      <x:c r="A12" s="2"/>
      <x:c r="B12" s="2"/>
      <x:c r="C12" s="2" t="str">
        <x:v>Q3 numerical responses</x:v>
      </x:c>
      <x:c r="D12" s="2" t="str">
        <x:v>Responses</x:v>
      </x:c>
      <x:c r="E12" s="11" t="n">
        <x:f>SUM(D23:D26)</x:f>
        <x:v>21</x:v>
      </x:c>
      <x:c r="F12" s="3"/>
      <x:c r="G12" s="3"/>
      <x:c r="H12" s="3"/>
      <x:c r="I12" s="3"/>
      <x:c r="J12" s="3"/>
      <x:c r="K12" s="3"/>
      <x:c r="L12" s="2"/>
      <x:c r="M12" s="60"/>
      <x:c r="N12" s="2"/>
    </x:row>
    <x:row r="13" ht="24" customHeight="1">
      <x:c r="A13" s="2"/>
      <x:c r="B13" s="2"/>
      <x:c r="C13" s="2" t="str">
        <x:v>Q3 other response</x:v>
      </x:c>
      <x:c r="D13" s="2" t="str">
        <x:v>Responses</x:v>
      </x:c>
      <x:c r="E13" s="11" t="n">
        <x:f>D27</x:f>
        <x:v>1</x:v>
      </x:c>
      <x:c r="F13" s="3"/>
      <x:c r="G13" s="3"/>
      <x:c r="H13" s="3"/>
      <x:c r="I13" s="3"/>
      <x:c r="J13" s="3"/>
      <x:c r="K13" s="3"/>
      <x:c r="L13" s="2"/>
      <x:c r="M13" s="60"/>
      <x:c r="N13" s="2"/>
    </x:row>
    <x:row r="14" ht="24" customHeight="1">
      <x:c r="A14" s="2"/>
      <x:c r="B14" s="2"/>
      <x:c r="C14" s="2" t="str">
        <x:v>Growth expected</x:v>
      </x:c>
      <x:c r="D14" s="2" t="str">
        <x:v>Share</x:v>
      </x:c>
      <x:c r="E14" s="43" t="n">
        <x:f>(E65+E66)/E69</x:f>
        <x:v>0.7727272727272727</x:v>
      </x:c>
      <x:c r="F14" s="3"/>
      <x:c r="G14" s="3"/>
      <x:c r="H14" s="3"/>
      <x:c r="I14" s="3"/>
      <x:c r="J14" s="3"/>
      <x:c r="K14" s="3"/>
      <x:c r="L14" s="2"/>
      <x:c r="M14" s="60" t="str">
        <x:v>17 of 22 expect moderate or significant growth. Survey does not establish 25% growth or its timing.</x:v>
      </x:c>
      <x:c r="N14" s="2"/>
    </x:row>
    <x:row r="15" ht="24" customHeight="1">
      <x:c r="A15" s="2"/>
      <x:c r="B15" s="2"/>
      <x:c r="C15" s="2" t="str">
        <x:v>Interest with current requirement</x:v>
      </x:c>
      <x:c r="D15" s="2" t="str">
        <x:v>Entities</x:v>
      </x:c>
      <x:c r="E15" s="11" t="n">
        <x:f>E75</x:f>
        <x:v>10</x:v>
      </x:c>
      <x:c r="F15" s="3"/>
      <x:c r="G15" s="3"/>
      <x:c r="H15" s="3"/>
      <x:c r="I15" s="3"/>
      <x:c r="J15" s="3"/>
      <x:c r="K15" s="3"/>
      <x:c r="L15" s="2"/>
      <x:c r="M15" s="60"/>
      <x:c r="N15" s="2"/>
    </x:row>
    <x:row r="16" ht="24" customHeight="1">
      <x:c r="A16" s="2"/>
      <x:c r="B16" s="2"/>
      <x:c r="C16" s="2" t="str">
        <x:v>Interest with future requirement</x:v>
      </x:c>
      <x:c r="D16" s="2" t="str">
        <x:v>Entities</x:v>
      </x:c>
      <x:c r="E16" s="11" t="n">
        <x:f>E76</x:f>
        <x:v>6</x:v>
      </x:c>
      <x:c r="F16" s="3"/>
      <x:c r="G16" s="3"/>
      <x:c r="H16" s="3"/>
      <x:c r="I16" s="3"/>
      <x:c r="J16" s="3"/>
      <x:c r="K16" s="3"/>
      <x:c r="L16" s="2"/>
      <x:c r="M16" s="60"/>
      <x:c r="N16" s="2"/>
    </x:row>
    <x:row r="17" ht="24" customHeight="1">
      <x:c r="A17" s="2"/>
      <x:c r="B17" s="2"/>
      <x:c r="C17" s="2" t="str">
        <x:v>Initial pool / workforce reference</x:v>
      </x:c>
      <x:c r="D17" s="2" t="str">
        <x:v>Share</x:v>
      </x:c>
      <x:c r="E17" s="37" t="n">
        <x:f>E9/'Assumptions'!E21</x:f>
        <x:v>0.13157894736842105</x:v>
      </x:c>
      <x:c r="F17" s="3"/>
      <x:c r="G17" s="3"/>
      <x:c r="H17" s="3"/>
      <x:c r="I17" s="3"/>
      <x:c r="J17" s="3"/>
      <x:c r="K17" s="3"/>
      <x:c r="L17" s="2"/>
      <x:c r="M17" s="60" t="str">
        <x:v>R01 reports over 76,000 Smart Employee users. Workforce scale is not paid-signature demand.</x:v>
      </x:c>
      <x:c r="N17" s="2"/>
    </x:row>
    <x:row r="18" ht="24" customHeight="1">
      <x:c r="A18" s="2"/>
      <x:c r="B18" s="2"/>
      <x:c r="C18" s="2" t="str">
        <x:v>Source population rows</x:v>
      </x:c>
      <x:c r="D18" s="2" t="str">
        <x:v>Rows</x:v>
      </x:c>
      <x:c r="E18" s="21" t="n">
        <x:v>92</x:v>
      </x:c>
      <x:c r="F18" s="3"/>
      <x:c r="G18" s="3"/>
      <x:c r="H18" s="3"/>
      <x:c r="I18" s="3"/>
      <x:c r="J18" s="3"/>
      <x:c r="K18" s="3"/>
      <x:c r="L18" s="2"/>
      <x:c r="M18" s="60" t="str">
        <x:v>92 source-name rows, 91 numbered. Duplicates and aliases prevent asserting 92 unique eligible entities.</x:v>
      </x:c>
      <x:c r="N18" s="2"/>
    </x:row>
    <x:row r="19" ht="24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2"/>
      <x:c r="M19" s="60"/>
      <x:c r="N19" s="2"/>
    </x:row>
    <x:row r="20" ht="24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2"/>
      <x:c r="M20" s="60"/>
      <x:c r="N20" s="2"/>
    </x:row>
    <x:row r="21" ht="25" customHeight="1">
      <x:c r="A21" s="2"/>
      <x:c r="B21" s="2"/>
      <x:c r="C21" s="30" t="str">
        <x:v>Survey user-band sensitivity</x:v>
      </x:c>
      <x:c r="D21" s="30"/>
      <x:c r="E21" s="31"/>
      <x:c r="F21" s="31"/>
      <x:c r="G21" s="31"/>
      <x:c r="H21" s="31"/>
      <x:c r="I21" s="31"/>
      <x:c r="J21" s="31"/>
      <x:c r="K21" s="31"/>
      <x:c r="L21" s="2"/>
      <x:c r="M21" s="60"/>
      <x:c r="N21" s="2"/>
    </x:row>
    <x:row r="22" ht="30" customHeight="1">
      <x:c r="A22" s="2"/>
      <x:c r="B22" s="2"/>
      <x:c r="C22" s="19" t="str">
        <x:v>Q3 band</x:v>
      </x:c>
      <x:c r="D22" s="19" t="str">
        <x:v>Responses</x:v>
      </x:c>
      <x:c r="E22" s="20" t="str">
        <x:v>Lower endpoint</x:v>
      </x:c>
      <x:c r="F22" s="20" t="str">
        <x:v>Midpoint / assumption</x:v>
      </x:c>
      <x:c r="G22" s="20" t="str">
        <x:v>Minimum users</x:v>
      </x:c>
      <x:c r="H22" s="20" t="str">
        <x:v>Scenario users</x:v>
      </x:c>
      <x:c r="I22" s="3"/>
      <x:c r="J22" s="3"/>
      <x:c r="K22" s="3"/>
      <x:c r="L22" s="2"/>
      <x:c r="M22" s="60" t="str">
        <x:v>S04 Q3. Midpoints and 2,000 users for the open band are sensitivity assumptions, not observed averages.</x:v>
      </x:c>
      <x:c r="N22" s="2"/>
    </x:row>
    <x:row r="23" ht="24" customHeight="1">
      <x:c r="A23" s="2"/>
      <x:c r="B23" s="2"/>
      <x:c r="C23" s="2" t="str">
        <x:v>1–50</x:v>
      </x:c>
      <x:c r="D23" s="33" t="n">
        <x:f>E52</x:f>
        <x:v>6</x:v>
      </x:c>
      <x:c r="E23" s="3" t="n">
        <x:v>1</x:v>
      </x:c>
      <x:c r="F23" s="52" t="n">
        <x:v>25.5</x:v>
      </x:c>
      <x:c r="G23" s="11" t="n">
        <x:f>D23*E23</x:f>
        <x:v>6</x:v>
      </x:c>
      <x:c r="H23" s="53" t="n">
        <x:f>D23*F23</x:f>
        <x:v>153</x:v>
      </x:c>
      <x:c r="I23" s="3"/>
      <x:c r="J23" s="3"/>
      <x:c r="K23" s="3"/>
      <x:c r="L23" s="2"/>
      <x:c r="M23" s="60"/>
      <x:c r="N23" s="2"/>
    </x:row>
    <x:row r="24" ht="24" customHeight="1">
      <x:c r="A24" s="2"/>
      <x:c r="B24" s="2"/>
      <x:c r="C24" s="2" t="str">
        <x:v>51–100</x:v>
      </x:c>
      <x:c r="D24" s="33" t="n">
        <x:f>E53</x:f>
        <x:v>4</x:v>
      </x:c>
      <x:c r="E24" s="3" t="n">
        <x:v>51</x:v>
      </x:c>
      <x:c r="F24" s="52" t="n">
        <x:v>75.5</x:v>
      </x:c>
      <x:c r="G24" s="11" t="n">
        <x:f>D24*E24</x:f>
        <x:v>204</x:v>
      </x:c>
      <x:c r="H24" s="53" t="n">
        <x:f>D24*F24</x:f>
        <x:v>302</x:v>
      </x:c>
      <x:c r="I24" s="3"/>
      <x:c r="J24" s="3"/>
      <x:c r="K24" s="3"/>
      <x:c r="L24" s="2"/>
      <x:c r="M24" s="60"/>
      <x:c r="N24" s="2"/>
    </x:row>
    <x:row r="25" ht="24" customHeight="1">
      <x:c r="A25" s="2"/>
      <x:c r="B25" s="2"/>
      <x:c r="C25" s="2" t="str">
        <x:v>101–500</x:v>
      </x:c>
      <x:c r="D25" s="33" t="n">
        <x:f>E54</x:f>
        <x:v>7</x:v>
      </x:c>
      <x:c r="E25" s="3" t="n">
        <x:v>101</x:v>
      </x:c>
      <x:c r="F25" s="52" t="n">
        <x:v>300.5</x:v>
      </x:c>
      <x:c r="G25" s="11" t="n">
        <x:f>D25*E25</x:f>
        <x:v>707</x:v>
      </x:c>
      <x:c r="H25" s="53" t="n">
        <x:f>D25*F25</x:f>
        <x:v>2103.5</x:v>
      </x:c>
      <x:c r="I25" s="3"/>
      <x:c r="J25" s="3"/>
      <x:c r="K25" s="3"/>
      <x:c r="L25" s="2"/>
      <x:c r="M25" s="60"/>
      <x:c r="N25" s="2"/>
    </x:row>
    <x:row r="26" ht="24" customHeight="1">
      <x:c r="A26" s="2"/>
      <x:c r="B26" s="2"/>
      <x:c r="C26" s="2" t="str">
        <x:v>More than 1,000</x:v>
      </x:c>
      <x:c r="D26" s="33" t="n">
        <x:f>E55</x:f>
        <x:v>4</x:v>
      </x:c>
      <x:c r="E26" s="3" t="n">
        <x:v>1001</x:v>
      </x:c>
      <x:c r="F26" s="52" t="n">
        <x:v>2000</x:v>
      </x:c>
      <x:c r="G26" s="11" t="n">
        <x:f>D26*E26</x:f>
        <x:v>4004</x:v>
      </x:c>
      <x:c r="H26" s="53" t="n">
        <x:f>D26*F26</x:f>
        <x:v>8000</x:v>
      </x:c>
      <x:c r="I26" s="3"/>
      <x:c r="J26" s="3"/>
      <x:c r="K26" s="3"/>
      <x:c r="L26" s="2"/>
      <x:c r="M26" s="60"/>
      <x:c r="N26" s="2"/>
    </x:row>
    <x:row r="27" ht="24" customHeight="1">
      <x:c r="A27" s="2"/>
      <x:c r="B27" s="2"/>
      <x:c r="C27" s="2" t="str">
        <x:v>Other</x:v>
      </x:c>
      <x:c r="D27" s="33" t="n">
        <x:f>E56</x:f>
        <x:v>1</x:v>
      </x:c>
      <x:c r="E27" s="3"/>
      <x:c r="F27" s="3"/>
      <x:c r="G27" s="3"/>
      <x:c r="H27" s="54"/>
      <x:c r="I27" s="3"/>
      <x:c r="J27" s="3"/>
      <x:c r="K27" s="3"/>
      <x:c r="L27" s="2"/>
      <x:c r="M27" s="60"/>
      <x:c r="N27" s="2"/>
    </x:row>
    <x:row r="28" ht="24" customHeight="1">
      <x:c r="A28" s="2"/>
      <x:c r="B28" s="2"/>
      <x:c r="C28" s="2" t="str">
        <x:v>Numerical responses total</x:v>
      </x:c>
      <x:c r="D28" s="2"/>
      <x:c r="E28" s="3"/>
      <x:c r="F28" s="3"/>
      <x:c r="G28" s="11" t="n">
        <x:f>SUM(G23:G26)</x:f>
        <x:v>4921</x:v>
      </x:c>
      <x:c r="H28" s="53" t="n">
        <x:f>SUM(H23:H26)</x:f>
        <x:v>10558.5</x:v>
      </x:c>
      <x:c r="I28" s="3"/>
      <x:c r="J28" s="3"/>
      <x:c r="K28" s="3"/>
      <x:c r="L28" s="2"/>
      <x:c r="M28" s="60"/>
      <x:c r="N28" s="2"/>
    </x:row>
    <x:row r="29" ht="24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2"/>
      <x:c r="M29" s="60"/>
      <x:c r="N29" s="2"/>
    </x:row>
    <x:row r="30" ht="24" customHeight="1">
      <x:c r="A30" s="2"/>
      <x:c r="B30" s="2"/>
      <x:c r="C30" s="12" t="str">
        <x:v>The 10,558.5-user midpoint illustration excludes the unknown answer. Do not round it into confirmed demand.</x:v>
      </x:c>
      <x:c r="D30" s="2"/>
      <x:c r="E30" s="3"/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2"/>
      <x:c r="M32" s="60"/>
      <x:c r="N32" s="2"/>
    </x:row>
    <x:row r="33" ht="25" customHeight="1">
      <x:c r="A33" s="2"/>
      <x:c r="B33" s="2"/>
      <x:c r="C33" s="30" t="str">
        <x:v>DDA internal survey supplied responses</x:v>
      </x:c>
      <x:c r="D33" s="30"/>
      <x:c r="E33" s="31"/>
      <x:c r="F33" s="31"/>
      <x:c r="G33" s="31"/>
      <x:c r="H33" s="31"/>
      <x:c r="I33" s="31"/>
      <x:c r="J33" s="31"/>
      <x:c r="K33" s="31"/>
      <x:c r="L33" s="2"/>
      <x:c r="M33" s="60"/>
      <x:c r="N33" s="2"/>
    </x:row>
    <x:row r="34" ht="30" customHeight="1">
      <x:c r="A34" s="2"/>
      <x:c r="B34" s="2"/>
      <x:c r="C34" s="19" t="str">
        <x:v>Question</x:v>
      </x:c>
      <x:c r="D34" s="19" t="str">
        <x:v>Response</x:v>
      </x:c>
      <x:c r="E34" s="20" t="str">
        <x:v>Responses</x:v>
      </x:c>
      <x:c r="F34" s="20" t="str">
        <x:v>Supplied percentage</x:v>
      </x:c>
      <x:c r="G34" s="3"/>
      <x:c r="H34" s="3"/>
      <x:c r="I34" s="3"/>
      <x:c r="J34" s="3"/>
      <x:c r="K34" s="3"/>
      <x:c r="L34" s="2"/>
      <x:c r="M34" s="60" t="str">
        <x:v>S04: user-supplied DDA internal survey. Date, invitation count and respondent mapping not supplied.</x:v>
      </x:c>
      <x:c r="N34" s="2"/>
    </x:row>
    <x:row r="35" ht="55" customHeight="1">
      <x:c r="A35" s="2"/>
      <x:c r="B35" s="2"/>
      <x:c r="C35" s="55" t="str">
        <x:v>Q1. Does your organization currently use a digital/electronic signature system?</x:v>
      </x:c>
      <x:c r="D35" s="55" t="str">
        <x:v>Yes</x:v>
      </x:c>
      <x:c r="E35" s="3" t="n">
        <x:v>21</x:v>
      </x:c>
      <x:c r="F35" s="51" t="n">
        <x:v>0.5526</x:v>
      </x:c>
      <x:c r="G35" s="3"/>
      <x:c r="H35" s="3"/>
      <x:c r="I35" s="3"/>
      <x:c r="J35" s="3"/>
      <x:c r="K35" s="3"/>
      <x:c r="L35" s="2"/>
      <x:c r="M35" s="60" t="str">
        <x:v>Q1/Q8 N=38; Q2–Q5 N=22; Q7 N=16. Preserve separate populations.</x:v>
      </x:c>
      <x:c r="N35" s="2"/>
    </x:row>
    <x:row r="36" ht="55" customHeight="1">
      <x:c r="A36" s="2"/>
      <x:c r="B36" s="2"/>
      <x:c r="C36" s="55" t="str">
        <x:v>Q1. Does your organization currently use a digital/electronic signature system?</x:v>
      </x:c>
      <x:c r="D36" s="55" t="str">
        <x:v>No</x:v>
      </x:c>
      <x:c r="E36" s="3" t="n">
        <x:v>10</x:v>
      </x:c>
      <x:c r="F36" s="51" t="n">
        <x:v>0.2632</x:v>
      </x:c>
      <x:c r="G36" s="3"/>
      <x:c r="H36" s="3"/>
      <x:c r="I36" s="3"/>
      <x:c r="J36" s="3"/>
      <x:c r="K36" s="3"/>
      <x:c r="L36" s="2"/>
      <x:c r="M36" s="60" t="str">
        <x:v>Q6 inferred denominator 17, multiple selections. 42 selections are not 42 entities.</x:v>
      </x:c>
      <x:c r="N36" s="2"/>
    </x:row>
    <x:row r="37" ht="55" customHeight="1">
      <x:c r="A37" s="2"/>
      <x:c r="B37" s="2"/>
      <x:c r="C37" s="55" t="str">
        <x:v>Q1. Does your organization currently use a digital/electronic signature system?</x:v>
      </x:c>
      <x:c r="D37" s="55" t="str">
        <x:v>Under planning</x:v>
      </x:c>
      <x:c r="E37" s="3" t="n">
        <x:v>6</x:v>
      </x:c>
      <x:c r="F37" s="51" t="n">
        <x:v>0.15789999999999998</x:v>
      </x:c>
      <x:c r="G37" s="3"/>
      <x:c r="H37" s="3"/>
      <x:c r="I37" s="3"/>
      <x:c r="J37" s="3"/>
      <x:c r="K37" s="3"/>
      <x:c r="L37" s="2"/>
      <x:c r="M37" s="60" t="str">
        <x:v>Q2a breaks down the nine Other responses. No extra respondents.</x:v>
      </x:c>
      <x:c r="N37" s="2"/>
    </x:row>
    <x:row r="38" ht="55" customHeight="1">
      <x:c r="A38" s="2"/>
      <x:c r="B38" s="2"/>
      <x:c r="C38" s="55" t="str">
        <x:v>Q1. Does your organization currently use a digital/electronic signature system?</x:v>
      </x:c>
      <x:c r="D38" s="55" t="str">
        <x:v>Under implementation</x:v>
      </x:c>
      <x:c r="E38" s="3" t="n">
        <x:v>1</x:v>
      </x:c>
      <x:c r="F38" s="51" t="n">
        <x:v>0.0263</x:v>
      </x:c>
      <x:c r="G38" s="3"/>
      <x:c r="H38" s="3"/>
      <x:c r="I38" s="3"/>
      <x:c r="J38" s="3"/>
      <x:c r="K38" s="3"/>
      <x:c r="L38" s="2"/>
      <x:c r="M38" s="60" t="str">
        <x:v>Missing user/cost bands are not zero. Annual cost bands mix current and expected spending.</x:v>
      </x:c>
      <x:c r="N38" s="2"/>
    </x:row>
    <x:row r="39" ht="55" customHeight="1">
      <x:c r="A39" s="2"/>
      <x:c r="B39" s="2"/>
      <x:c r="C39" s="55" t="str">
        <x:v>Q1. Does your organization currently use a digital/electronic signature system?</x:v>
      </x:c>
      <x:c r="D39" s="55" t="str">
        <x:v>Total</x:v>
      </x:c>
      <x:c r="E39" s="3" t="n">
        <x:v>38</x:v>
      </x:c>
      <x:c r="F39" s="51" t="n">
        <x:v>1</x:v>
      </x:c>
      <x:c r="G39" s="3"/>
      <x:c r="H39" s="3"/>
      <x:c r="I39" s="3"/>
      <x:c r="J39" s="3"/>
      <x:c r="K39" s="3"/>
      <x:c r="L39" s="2"/>
      <x:c r="M39" s="60"/>
      <x:c r="N39" s="2"/>
    </x:row>
    <x:row r="40" ht="55" customHeight="1">
      <x:c r="A40" s="2"/>
      <x:c r="B40" s="2"/>
      <x:c r="C40" s="55" t="str">
        <x:v>Q2. Which digital signature system is currently used / being implemented?</x:v>
      </x:c>
      <x:c r="D40" s="55" t="str">
        <x:v>Circularo Digital Sign</x:v>
      </x:c>
      <x:c r="E40" s="3" t="n">
        <x:v>6</x:v>
      </x:c>
      <x:c r="F40" s="51" t="n">
        <x:v>0.2727</x:v>
      </x:c>
      <x:c r="G40" s="3"/>
      <x:c r="H40" s="3"/>
      <x:c r="I40" s="3"/>
      <x:c r="J40" s="3"/>
      <x:c r="K40" s="3"/>
      <x:c r="L40" s="2"/>
      <x:c r="M40" s="60"/>
      <x:c r="N40" s="2"/>
    </x:row>
    <x:row r="41" ht="55" customHeight="1">
      <x:c r="A41" s="2"/>
      <x:c r="B41" s="2"/>
      <x:c r="C41" s="55" t="str">
        <x:v>Q2. Which digital signature system is currently used / being implemented?</x:v>
      </x:c>
      <x:c r="D41" s="55" t="str">
        <x:v>Adobe Sign</x:v>
      </x:c>
      <x:c r="E41" s="3" t="n">
        <x:v>5</x:v>
      </x:c>
      <x:c r="F41" s="51" t="n">
        <x:v>0.2273</x:v>
      </x:c>
      <x:c r="G41" s="3"/>
      <x:c r="H41" s="3"/>
      <x:c r="I41" s="3"/>
      <x:c r="J41" s="3"/>
      <x:c r="K41" s="3"/>
      <x:c r="L41" s="2"/>
      <x:c r="M41" s="60"/>
      <x:c r="N41" s="2"/>
    </x:row>
    <x:row r="42" ht="55" customHeight="1">
      <x:c r="A42" s="2"/>
      <x:c r="B42" s="2"/>
      <x:c r="C42" s="55" t="str">
        <x:v>Q2. Which digital signature system is currently used / being implemented?</x:v>
      </x:c>
      <x:c r="D42" s="55" t="str">
        <x:v>DocuSign</x:v>
      </x:c>
      <x:c r="E42" s="3" t="n">
        <x:v>2</x:v>
      </x:c>
      <x:c r="F42" s="51" t="n">
        <x:v>0.0909</x:v>
      </x:c>
      <x:c r="G42" s="3"/>
      <x:c r="H42" s="3"/>
      <x:c r="I42" s="3"/>
      <x:c r="J42" s="3"/>
      <x:c r="K42" s="3"/>
      <x:c r="L42" s="2"/>
      <x:c r="M42" s="60"/>
      <x:c r="N42" s="2"/>
    </x:row>
    <x:row r="43" ht="55" customHeight="1">
      <x:c r="A43" s="2"/>
      <x:c r="B43" s="2"/>
      <x:c r="C43" s="55" t="str">
        <x:v>Q2. Which digital signature system is currently used / being implemented?</x:v>
      </x:c>
      <x:c r="D43" s="55" t="str">
        <x:v>Other</x:v>
      </x:c>
      <x:c r="E43" s="3" t="n">
        <x:v>9</x:v>
      </x:c>
      <x:c r="F43" s="51" t="n">
        <x:v>0.40909999999999996</x:v>
      </x:c>
      <x:c r="G43" s="3"/>
      <x:c r="H43" s="3"/>
      <x:c r="I43" s="3"/>
      <x:c r="J43" s="3"/>
      <x:c r="K43" s="3"/>
      <x:c r="L43" s="2"/>
      <x:c r="M43" s="60"/>
      <x:c r="N43" s="2"/>
    </x:row>
    <x:row r="44" ht="55" customHeight="1">
      <x:c r="A44" s="2"/>
      <x:c r="B44" s="2"/>
      <x:c r="C44" s="55" t="str">
        <x:v>Q2. Which digital signature system is currently used / being implemented?</x:v>
      </x:c>
      <x:c r="D44" s="55" t="str">
        <x:v>Total</x:v>
      </x:c>
      <x:c r="E44" s="3" t="n">
        <x:v>22</x:v>
      </x:c>
      <x:c r="F44" s="51" t="n">
        <x:v>1</x:v>
      </x:c>
      <x:c r="G44" s="3"/>
      <x:c r="H44" s="3"/>
      <x:c r="I44" s="3"/>
      <x:c r="J44" s="3"/>
      <x:c r="K44" s="3"/>
      <x:c r="L44" s="2"/>
      <x:c r="M44" s="60"/>
      <x:c r="N44" s="2"/>
    </x:row>
    <x:row r="45" ht="55" customHeight="1">
      <x:c r="A45" s="2"/>
      <x:c r="B45" s="2"/>
      <x:c r="C45" s="55" t="str">
        <x:v>Q2a. Other systems specified</x:v>
      </x:c>
      <x:c r="D45" s="55" t="str">
        <x:v>d2tick</x:v>
      </x:c>
      <x:c r="E45" s="3" t="n">
        <x:v>2</x:v>
      </x:c>
      <x:c r="F45" s="51"/>
      <x:c r="G45" s="3"/>
      <x:c r="H45" s="3"/>
      <x:c r="I45" s="3"/>
      <x:c r="J45" s="3"/>
      <x:c r="K45" s="3"/>
      <x:c r="L45" s="2"/>
      <x:c r="M45" s="60"/>
      <x:c r="N45" s="2"/>
    </x:row>
    <x:row r="46" ht="55" customHeight="1">
      <x:c r="A46" s="2"/>
      <x:c r="B46" s="2"/>
      <x:c r="C46" s="55" t="str">
        <x:v>Q2a. Other systems specified</x:v>
      </x:c>
      <x:c r="D46" s="55" t="str">
        <x:v>signeasy</x:v>
      </x:c>
      <x:c r="E46" s="3" t="n">
        <x:v>2</x:v>
      </x:c>
      <x:c r="F46" s="51"/>
      <x:c r="G46" s="3"/>
      <x:c r="H46" s="3"/>
      <x:c r="I46" s="3"/>
      <x:c r="J46" s="3"/>
      <x:c r="K46" s="3"/>
      <x:c r="L46" s="2"/>
      <x:c r="M46" s="60"/>
      <x:c r="N46" s="2"/>
    </x:row>
    <x:row r="47" ht="55" customHeight="1">
      <x:c r="A47" s="2"/>
      <x:c r="B47" s="2"/>
      <x:c r="C47" s="55" t="str">
        <x:v>Q2a. Other systems specified</x:v>
      </x:c>
      <x:c r="D47" s="55" t="str">
        <x:v>Ascertia SigningHub</x:v>
      </x:c>
      <x:c r="E47" s="3" t="n">
        <x:v>1</x:v>
      </x:c>
      <x:c r="F47" s="51"/>
      <x:c r="G47" s="3"/>
      <x:c r="H47" s="3"/>
      <x:c r="I47" s="3"/>
      <x:c r="J47" s="3"/>
      <x:c r="K47" s="3"/>
      <x:c r="L47" s="2"/>
      <x:c r="M47" s="60"/>
      <x:c r="N47" s="2"/>
    </x:row>
    <x:row r="48" ht="55" customHeight="1">
      <x:c r="A48" s="2"/>
      <x:c r="B48" s="2"/>
      <x:c r="C48" s="55" t="str">
        <x:v>Q2a. Other systems specified</x:v>
      </x:c>
      <x:c r="D48" s="55" t="str">
        <x:v>DocuSign &amp; Adobe Sign</x:v>
      </x:c>
      <x:c r="E48" s="3" t="n">
        <x:v>1</x:v>
      </x:c>
      <x:c r="F48" s="51"/>
      <x:c r="G48" s="3"/>
      <x:c r="H48" s="3"/>
      <x:c r="I48" s="3"/>
      <x:c r="J48" s="3"/>
      <x:c r="K48" s="3"/>
      <x:c r="L48" s="2"/>
      <x:c r="M48" s="60"/>
      <x:c r="N48" s="2"/>
    </x:row>
    <x:row r="49" ht="55" customHeight="1">
      <x:c r="A49" s="2"/>
      <x:c r="B49" s="2"/>
      <x:c r="C49" s="55" t="str">
        <x:v>Q2a. Other systems specified</x:v>
      </x:c>
      <x:c r="D49" s="55" t="str">
        <x:v>emSigner</x:v>
      </x:c>
      <x:c r="E49" s="3" t="n">
        <x:v>1</x:v>
      </x:c>
      <x:c r="F49" s="51"/>
      <x:c r="G49" s="3"/>
      <x:c r="H49" s="3"/>
      <x:c r="I49" s="3"/>
      <x:c r="J49" s="3"/>
      <x:c r="K49" s="3"/>
      <x:c r="L49" s="2"/>
      <x:c r="M49" s="60"/>
      <x:c r="N49" s="2"/>
    </x:row>
    <x:row r="50" ht="55" customHeight="1">
      <x:c r="A50" s="2"/>
      <x:c r="B50" s="2"/>
      <x:c r="C50" s="55" t="str">
        <x:v>Q2a. Other systems specified</x:v>
      </x:c>
      <x:c r="D50" s="55" t="str">
        <x:v>Kofax SignDoc</x:v>
      </x:c>
      <x:c r="E50" s="3" t="n">
        <x:v>1</x:v>
      </x:c>
      <x:c r="F50" s="51"/>
      <x:c r="G50" s="3"/>
      <x:c r="H50" s="3"/>
      <x:c r="I50" s="3"/>
      <x:c r="J50" s="3"/>
      <x:c r="K50" s="3"/>
      <x:c r="L50" s="2"/>
      <x:c r="M50" s="60"/>
      <x:c r="N50" s="2"/>
    </x:row>
    <x:row r="51" ht="55" customHeight="1">
      <x:c r="A51" s="2"/>
      <x:c r="B51" s="2"/>
      <x:c r="C51" s="55" t="str">
        <x:v>Q2a. Other systems specified</x:v>
      </x:c>
      <x:c r="D51" s="55" t="str">
        <x:v>Tungsten (Kofax) SignDoc</x:v>
      </x:c>
      <x:c r="E51" s="3" t="n">
        <x:v>1</x:v>
      </x:c>
      <x:c r="F51" s="51"/>
      <x:c r="G51" s="3"/>
      <x:c r="H51" s="3"/>
      <x:c r="I51" s="3"/>
      <x:c r="J51" s="3"/>
      <x:c r="K51" s="3"/>
      <x:c r="L51" s="2"/>
      <x:c r="M51" s="60"/>
      <x:c r="N51" s="2"/>
    </x:row>
    <x:row r="52" ht="55" customHeight="1">
      <x:c r="A52" s="2"/>
      <x:c r="B52" s="2"/>
      <x:c r="C52" s="55" t="str">
        <x:v>Q3. Current / expected number of digital signature users when implementation is complete</x:v>
      </x:c>
      <x:c r="D52" s="55" t="str">
        <x:v>1–50 users</x:v>
      </x:c>
      <x:c r="E52" s="3" t="n">
        <x:v>6</x:v>
      </x:c>
      <x:c r="F52" s="51" t="n">
        <x:v>0.2727</x:v>
      </x:c>
      <x:c r="G52" s="3"/>
      <x:c r="H52" s="3"/>
      <x:c r="I52" s="3"/>
      <x:c r="J52" s="3"/>
      <x:c r="K52" s="3"/>
      <x:c r="L52" s="2"/>
      <x:c r="M52" s="60"/>
      <x:c r="N52" s="2"/>
    </x:row>
    <x:row r="53" ht="55" customHeight="1">
      <x:c r="A53" s="2"/>
      <x:c r="B53" s="2"/>
      <x:c r="C53" s="55" t="str">
        <x:v>Q3. Current / expected number of digital signature users when implementation is complete</x:v>
      </x:c>
      <x:c r="D53" s="55" t="str">
        <x:v>51–100 users</x:v>
      </x:c>
      <x:c r="E53" s="3" t="n">
        <x:v>4</x:v>
      </x:c>
      <x:c r="F53" s="51" t="n">
        <x:v>0.1818</x:v>
      </x:c>
      <x:c r="G53" s="3"/>
      <x:c r="H53" s="3"/>
      <x:c r="I53" s="3"/>
      <x:c r="J53" s="3"/>
      <x:c r="K53" s="3"/>
      <x:c r="L53" s="2"/>
      <x:c r="M53" s="60"/>
      <x:c r="N53" s="2"/>
    </x:row>
    <x:row r="54" ht="55" customHeight="1">
      <x:c r="A54" s="2"/>
      <x:c r="B54" s="2"/>
      <x:c r="C54" s="55" t="str">
        <x:v>Q3. Current / expected number of digital signature users when implementation is complete</x:v>
      </x:c>
      <x:c r="D54" s="55" t="str">
        <x:v>101–500 users</x:v>
      </x:c>
      <x:c r="E54" s="3" t="n">
        <x:v>7</x:v>
      </x:c>
      <x:c r="F54" s="51" t="n">
        <x:v>0.3182</x:v>
      </x:c>
      <x:c r="G54" s="3"/>
      <x:c r="H54" s="3"/>
      <x:c r="I54" s="3"/>
      <x:c r="J54" s="3"/>
      <x:c r="K54" s="3"/>
      <x:c r="L54" s="2"/>
      <x:c r="M54" s="60"/>
      <x:c r="N54" s="2"/>
    </x:row>
    <x:row r="55" ht="55" customHeight="1">
      <x:c r="A55" s="2"/>
      <x:c r="B55" s="2"/>
      <x:c r="C55" s="55" t="str">
        <x:v>Q3. Current / expected number of digital signature users when implementation is complete</x:v>
      </x:c>
      <x:c r="D55" s="55" t="str">
        <x:v>More than 1,000 users</x:v>
      </x:c>
      <x:c r="E55" s="3" t="n">
        <x:v>4</x:v>
      </x:c>
      <x:c r="F55" s="51" t="n">
        <x:v>0.1818</x:v>
      </x:c>
      <x:c r="G55" s="3"/>
      <x:c r="H55" s="3"/>
      <x:c r="I55" s="3"/>
      <x:c r="J55" s="3"/>
      <x:c r="K55" s="3"/>
      <x:c r="L55" s="2"/>
      <x:c r="M55" s="60"/>
      <x:c r="N55" s="2"/>
    </x:row>
    <x:row r="56" ht="55" customHeight="1">
      <x:c r="A56" s="2"/>
      <x:c r="B56" s="2"/>
      <x:c r="C56" s="55" t="str">
        <x:v>Q3. Current / expected number of digital signature users when implementation is complete</x:v>
      </x:c>
      <x:c r="D56" s="55" t="str">
        <x:v>Other</x:v>
      </x:c>
      <x:c r="E56" s="3" t="n">
        <x:v>1</x:v>
      </x:c>
      <x:c r="F56" s="51" t="n">
        <x:v>0.0455</x:v>
      </x:c>
      <x:c r="G56" s="3"/>
      <x:c r="H56" s="3"/>
      <x:c r="I56" s="3"/>
      <x:c r="J56" s="3"/>
      <x:c r="K56" s="3"/>
      <x:c r="L56" s="2"/>
      <x:c r="M56" s="60"/>
      <x:c r="N56" s="2"/>
    </x:row>
    <x:row r="57" ht="55" customHeight="1">
      <x:c r="A57" s="2"/>
      <x:c r="B57" s="2"/>
      <x:c r="C57" s="55" t="str">
        <x:v>Q3. Current / expected number of digital signature users when implementation is complete</x:v>
      </x:c>
      <x:c r="D57" s="55" t="str">
        <x:v>Total</x:v>
      </x:c>
      <x:c r="E57" s="3" t="n">
        <x:v>22</x:v>
      </x:c>
      <x:c r="F57" s="51" t="n">
        <x:v>1</x:v>
      </x:c>
      <x:c r="G57" s="3"/>
      <x:c r="H57" s="3"/>
      <x:c r="I57" s="3"/>
      <x:c r="J57" s="3"/>
      <x:c r="K57" s="3"/>
      <x:c r="L57" s="2"/>
      <x:c r="M57" s="60"/>
      <x:c r="N57" s="2"/>
    </x:row>
    <x:row r="58" ht="55" customHeight="1">
      <x:c r="A58" s="2"/>
      <x:c r="B58" s="2"/>
      <x:c r="C58" s="55" t="str">
        <x:v>Q4. Approximate annual cost of the current / expected digital signature system</x:v>
      </x:c>
      <x:c r="D58" s="55" t="str">
        <x:v>Less than AED 50,000</x:v>
      </x:c>
      <x:c r="E58" s="3" t="n">
        <x:v>7</x:v>
      </x:c>
      <x:c r="F58" s="51" t="n">
        <x:v>0.3182</x:v>
      </x:c>
      <x:c r="G58" s="3"/>
      <x:c r="H58" s="3"/>
      <x:c r="I58" s="3"/>
      <x:c r="J58" s="3"/>
      <x:c r="K58" s="3"/>
      <x:c r="L58" s="2"/>
      <x:c r="M58" s="60"/>
      <x:c r="N58" s="2"/>
    </x:row>
    <x:row r="59" ht="55" customHeight="1">
      <x:c r="A59" s="2"/>
      <x:c r="B59" s="2"/>
      <x:c r="C59" s="55" t="str">
        <x:v>Q4. Approximate annual cost of the current / expected digital signature system</x:v>
      </x:c>
      <x:c r="D59" s="55" t="str">
        <x:v>AED 50,001–100,000</x:v>
      </x:c>
      <x:c r="E59" s="3" t="n">
        <x:v>6</x:v>
      </x:c>
      <x:c r="F59" s="51" t="n">
        <x:v>0.2727</x:v>
      </x:c>
      <x:c r="G59" s="3"/>
      <x:c r="H59" s="3"/>
      <x:c r="I59" s="3"/>
      <x:c r="J59" s="3"/>
      <x:c r="K59" s="3"/>
      <x:c r="L59" s="2"/>
      <x:c r="M59" s="60"/>
      <x:c r="N59" s="2"/>
    </x:row>
    <x:row r="60" ht="55" customHeight="1">
      <x:c r="A60" s="2"/>
      <x:c r="B60" s="2"/>
      <x:c r="C60" s="55" t="str">
        <x:v>Q4. Approximate annual cost of the current / expected digital signature system</x:v>
      </x:c>
      <x:c r="D60" s="55" t="str">
        <x:v>AED 100,001–250,000</x:v>
      </x:c>
      <x:c r="E60" s="3" t="n">
        <x:v>6</x:v>
      </x:c>
      <x:c r="F60" s="51" t="n">
        <x:v>0.2727</x:v>
      </x:c>
      <x:c r="G60" s="3"/>
      <x:c r="H60" s="3"/>
      <x:c r="I60" s="3"/>
      <x:c r="J60" s="3"/>
      <x:c r="K60" s="3"/>
      <x:c r="L60" s="2"/>
      <x:c r="M60" s="60"/>
      <x:c r="N60" s="2"/>
    </x:row>
    <x:row r="61" ht="55" customHeight="1">
      <x:c r="A61" s="2"/>
      <x:c r="B61" s="2"/>
      <x:c r="C61" s="55" t="str">
        <x:v>Q4. Approximate annual cost of the current / expected digital signature system</x:v>
      </x:c>
      <x:c r="D61" s="55" t="str">
        <x:v>AED 250,001–500,000</x:v>
      </x:c>
      <x:c r="E61" s="3" t="n">
        <x:v>1</x:v>
      </x:c>
      <x:c r="F61" s="51" t="n">
        <x:v>0.0455</x:v>
      </x:c>
      <x:c r="G61" s="3"/>
      <x:c r="H61" s="3"/>
      <x:c r="I61" s="3"/>
      <x:c r="J61" s="3"/>
      <x:c r="K61" s="3"/>
      <x:c r="L61" s="2"/>
      <x:c r="M61" s="60"/>
      <x:c r="N61" s="2"/>
    </x:row>
    <x:row r="62" ht="55" customHeight="1">
      <x:c r="A62" s="2"/>
      <x:c r="B62" s="2"/>
      <x:c r="C62" s="55" t="str">
        <x:v>Q4. Approximate annual cost of the current / expected digital signature system</x:v>
      </x:c>
      <x:c r="D62" s="55" t="str">
        <x:v>More than AED 2,000,000</x:v>
      </x:c>
      <x:c r="E62" s="3" t="n">
        <x:v>1</x:v>
      </x:c>
      <x:c r="F62" s="51" t="n">
        <x:v>0.0455</x:v>
      </x:c>
      <x:c r="G62" s="3"/>
      <x:c r="H62" s="3"/>
      <x:c r="I62" s="3"/>
      <x:c r="J62" s="3"/>
      <x:c r="K62" s="3"/>
      <x:c r="L62" s="2"/>
      <x:c r="M62" s="60"/>
      <x:c r="N62" s="2"/>
    </x:row>
    <x:row r="63" ht="55" customHeight="1">
      <x:c r="A63" s="2"/>
      <x:c r="B63" s="2"/>
      <x:c r="C63" s="55" t="str">
        <x:v>Q4. Approximate annual cost of the current / expected digital signature system</x:v>
      </x:c>
      <x:c r="D63" s="55" t="str">
        <x:v>Not available / unknown</x:v>
      </x:c>
      <x:c r="E63" s="3" t="n">
        <x:v>1</x:v>
      </x:c>
      <x:c r="F63" s="51" t="n">
        <x:v>0.0455</x:v>
      </x:c>
      <x:c r="G63" s="3"/>
      <x:c r="H63" s="3"/>
      <x:c r="I63" s="3"/>
      <x:c r="J63" s="3"/>
      <x:c r="K63" s="3"/>
      <x:c r="L63" s="2"/>
      <x:c r="M63" s="60"/>
      <x:c r="N63" s="2"/>
    </x:row>
    <x:row r="64" ht="55" customHeight="1">
      <x:c r="A64" s="2"/>
      <x:c r="B64" s="2"/>
      <x:c r="C64" s="55" t="str">
        <x:v>Q4. Approximate annual cost of the current / expected digital signature system</x:v>
      </x:c>
      <x:c r="D64" s="55" t="str">
        <x:v>Total</x:v>
      </x:c>
      <x:c r="E64" s="3" t="n">
        <x:v>22</x:v>
      </x:c>
      <x:c r="F64" s="51" t="n">
        <x:v>1</x:v>
      </x:c>
      <x:c r="G64" s="3"/>
      <x:c r="H64" s="3"/>
      <x:c r="I64" s="3"/>
      <x:c r="J64" s="3"/>
      <x:c r="K64" s="3"/>
      <x:c r="L64" s="2"/>
      <x:c r="M64" s="60"/>
      <x:c r="N64" s="2"/>
    </x:row>
    <x:row r="65" ht="55" customHeight="1">
      <x:c r="A65" s="2"/>
      <x:c r="B65" s="2"/>
      <x:c r="C65" s="55" t="str">
        <x:v>Q5. Do you expect digital signature usage to increase in the future?</x:v>
      </x:c>
      <x:c r="D65" s="55" t="str">
        <x:v>Yes – moderate increase expected</x:v>
      </x:c>
      <x:c r="E65" s="3" t="n">
        <x:v>11</x:v>
      </x:c>
      <x:c r="F65" s="51" t="n">
        <x:v>0.5</x:v>
      </x:c>
      <x:c r="G65" s="3"/>
      <x:c r="H65" s="3"/>
      <x:c r="I65" s="3"/>
      <x:c r="J65" s="3"/>
      <x:c r="K65" s="3"/>
      <x:c r="L65" s="2"/>
      <x:c r="M65" s="60"/>
      <x:c r="N65" s="2"/>
    </x:row>
    <x:row r="66" ht="55" customHeight="1">
      <x:c r="A66" s="2"/>
      <x:c r="B66" s="2"/>
      <x:c r="C66" s="55" t="str">
        <x:v>Q5. Do you expect digital signature usage to increase in the future?</x:v>
      </x:c>
      <x:c r="D66" s="55" t="str">
        <x:v>Yes – significant increase expected</x:v>
      </x:c>
      <x:c r="E66" s="3" t="n">
        <x:v>6</x:v>
      </x:c>
      <x:c r="F66" s="51" t="n">
        <x:v>0.2727</x:v>
      </x:c>
      <x:c r="G66" s="3"/>
      <x:c r="H66" s="3"/>
      <x:c r="I66" s="3"/>
      <x:c r="J66" s="3"/>
      <x:c r="K66" s="3"/>
      <x:c r="L66" s="2"/>
      <x:c r="M66" s="60"/>
      <x:c r="N66" s="2"/>
    </x:row>
    <x:row r="67" ht="55" customHeight="1">
      <x:c r="A67" s="2"/>
      <x:c r="B67" s="2"/>
      <x:c r="C67" s="55" t="str">
        <x:v>Q5. Do you expect digital signature usage to increase in the future?</x:v>
      </x:c>
      <x:c r="D67" s="55" t="str">
        <x:v>Unsure / to be determined</x:v>
      </x:c>
      <x:c r="E67" s="3" t="n">
        <x:v>1</x:v>
      </x:c>
      <x:c r="F67" s="51" t="n">
        <x:v>0.0455</x:v>
      </x:c>
      <x:c r="G67" s="3"/>
      <x:c r="H67" s="3"/>
      <x:c r="I67" s="3"/>
      <x:c r="J67" s="3"/>
      <x:c r="K67" s="3"/>
      <x:c r="L67" s="2"/>
      <x:c r="M67" s="60"/>
      <x:c r="N67" s="2"/>
    </x:row>
    <x:row r="68" ht="55" customHeight="1">
      <x:c r="A68" s="2"/>
      <x:c r="B68" s="2"/>
      <x:c r="C68" s="55" t="str">
        <x:v>Q5. Do you expect digital signature usage to increase in the future?</x:v>
      </x:c>
      <x:c r="D68" s="55" t="str">
        <x:v>No – expected to remain approximately the same</x:v>
      </x:c>
      <x:c r="E68" s="3" t="n">
        <x:v>4</x:v>
      </x:c>
      <x:c r="F68" s="51" t="n">
        <x:v>0.1818</x:v>
      </x:c>
      <x:c r="G68" s="3"/>
      <x:c r="H68" s="3"/>
      <x:c r="I68" s="3"/>
      <x:c r="J68" s="3"/>
      <x:c r="K68" s="3"/>
      <x:c r="L68" s="2"/>
      <x:c r="M68" s="60"/>
      <x:c r="N68" s="2"/>
    </x:row>
    <x:row r="69" ht="55" customHeight="1">
      <x:c r="A69" s="2"/>
      <x:c r="B69" s="2"/>
      <x:c r="C69" s="55" t="str">
        <x:v>Q5. Do you expect digital signature usage to increase in the future?</x:v>
      </x:c>
      <x:c r="D69" s="55" t="str">
        <x:v>Total</x:v>
      </x:c>
      <x:c r="E69" s="3" t="n">
        <x:v>22</x:v>
      </x:c>
      <x:c r="F69" s="51" t="n">
        <x:v>1</x:v>
      </x:c>
      <x:c r="G69" s="3"/>
      <x:c r="H69" s="3"/>
      <x:c r="I69" s="3"/>
      <x:c r="J69" s="3"/>
      <x:c r="K69" s="3"/>
      <x:c r="L69" s="2"/>
      <x:c r="M69" s="60"/>
      <x:c r="N69" s="2"/>
    </x:row>
    <x:row r="70" ht="55" customHeight="1">
      <x:c r="A70" s="2"/>
      <x:c r="B70" s="2"/>
      <x:c r="C70" s="55" t="str">
        <x:v>Q6. What factors are expected to drive this increase?</x:v>
      </x:c>
      <x:c r="D70" s="55" t="str">
        <x:v>Increase in number of users</x:v>
      </x:c>
      <x:c r="E70" s="3" t="n">
        <x:v>13</x:v>
      </x:c>
      <x:c r="F70" s="51" t="n">
        <x:v>0.7646999999999999</x:v>
      </x:c>
      <x:c r="G70" s="3"/>
      <x:c r="H70" s="3"/>
      <x:c r="I70" s="3"/>
      <x:c r="J70" s="3"/>
      <x:c r="K70" s="3"/>
      <x:c r="L70" s="2"/>
      <x:c r="M70" s="60"/>
      <x:c r="N70" s="2"/>
    </x:row>
    <x:row r="71" ht="55" customHeight="1">
      <x:c r="A71" s="2"/>
      <x:c r="B71" s="2"/>
      <x:c r="C71" s="55" t="str">
        <x:v>Q6. What factors are expected to drive this increase?</x:v>
      </x:c>
      <x:c r="D71" s="55" t="str">
        <x:v>Expansion to additional departments</x:v>
      </x:c>
      <x:c r="E71" s="3" t="n">
        <x:v>10</x:v>
      </x:c>
      <x:c r="F71" s="51" t="n">
        <x:v>0.5882000000000001</x:v>
      </x:c>
      <x:c r="G71" s="3"/>
      <x:c r="H71" s="3"/>
      <x:c r="I71" s="3"/>
      <x:c r="J71" s="3"/>
      <x:c r="K71" s="3"/>
      <x:c r="L71" s="2"/>
      <x:c r="M71" s="60"/>
      <x:c r="N71" s="2"/>
    </x:row>
    <x:row r="72" ht="55" customHeight="1">
      <x:c r="A72" s="2"/>
      <x:c r="B72" s="2"/>
      <x:c r="C72" s="55" t="str">
        <x:v>Q6. What factors are expected to drive this increase?</x:v>
      </x:c>
      <x:c r="D72" s="55" t="str">
        <x:v>Increased external signing with suppliers, partners, customers/public</x:v>
      </x:c>
      <x:c r="E72" s="3" t="n">
        <x:v>10</x:v>
      </x:c>
      <x:c r="F72" s="51" t="n">
        <x:v>0.5882000000000001</x:v>
      </x:c>
      <x:c r="G72" s="3"/>
      <x:c r="H72" s="3"/>
      <x:c r="I72" s="3"/>
      <x:c r="J72" s="3"/>
      <x:c r="K72" s="3"/>
      <x:c r="L72" s="2"/>
      <x:c r="M72" s="60"/>
      <x:c r="N72" s="2"/>
    </x:row>
    <x:row r="73" ht="55" customHeight="1">
      <x:c r="A73" s="2"/>
      <x:c r="B73" s="2"/>
      <x:c r="C73" s="55" t="str">
        <x:v>Q6. What factors are expected to drive this increase?</x:v>
      </x:c>
      <x:c r="D73" s="55" t="str">
        <x:v>New document types / new use cases</x:v>
      </x:c>
      <x:c r="E73" s="3" t="n">
        <x:v>9</x:v>
      </x:c>
      <x:c r="F73" s="51" t="n">
        <x:v>0.5294</x:v>
      </x:c>
      <x:c r="G73" s="3"/>
      <x:c r="H73" s="3"/>
      <x:c r="I73" s="3"/>
      <x:c r="J73" s="3"/>
      <x:c r="K73" s="3"/>
      <x:c r="L73" s="2"/>
      <x:c r="M73" s="60"/>
      <x:c r="N73" s="2"/>
    </x:row>
    <x:row r="74" ht="55" customHeight="1">
      <x:c r="A74" s="2"/>
      <x:c r="B74" s="2"/>
      <x:c r="C74" s="55" t="str">
        <x:v>Q6. What factors are expected to drive this increase?</x:v>
      </x:c>
      <x:c r="D74" s="55" t="str">
        <x:v>Other</x:v>
      </x:c>
      <x:c r="E74" s="3" t="n">
        <x:v>0</x:v>
      </x:c>
      <x:c r="F74" s="51" t="n">
        <x:v>0</x:v>
      </x:c>
      <x:c r="G74" s="3"/>
      <x:c r="H74" s="3"/>
      <x:c r="I74" s="3"/>
      <x:c r="J74" s="3"/>
      <x:c r="K74" s="3"/>
      <x:c r="L74" s="2"/>
      <x:c r="M74" s="60"/>
      <x:c r="N74" s="2"/>
    </x:row>
    <x:row r="75" ht="55" customHeight="1">
      <x:c r="A75" s="2"/>
      <x:c r="B75" s="2"/>
      <x:c r="C75" s="55" t="str">
        <x:v>Q7. Would your organization be interested in using a digital signature system?</x:v>
      </x:c>
      <x:c r="D75" s="55" t="str">
        <x:v>Yes – we have a current requirement</x:v>
      </x:c>
      <x:c r="E75" s="3" t="n">
        <x:v>10</x:v>
      </x:c>
      <x:c r="F75" s="51" t="n">
        <x:v>0.625</x:v>
      </x:c>
      <x:c r="G75" s="3"/>
      <x:c r="H75" s="3"/>
      <x:c r="I75" s="3"/>
      <x:c r="J75" s="3"/>
      <x:c r="K75" s="3"/>
      <x:c r="L75" s="2"/>
      <x:c r="M75" s="60"/>
      <x:c r="N75" s="2"/>
    </x:row>
    <x:row r="76" ht="55" customHeight="1">
      <x:c r="A76" s="2"/>
      <x:c r="B76" s="2"/>
      <x:c r="C76" s="55" t="str">
        <x:v>Q7. Would your organization be interested in using a digital signature system?</x:v>
      </x:c>
      <x:c r="D76" s="55" t="str">
        <x:v>Yes – may need it in the future</x:v>
      </x:c>
      <x:c r="E76" s="3" t="n">
        <x:v>6</x:v>
      </x:c>
      <x:c r="F76" s="51" t="n">
        <x:v>0.375</x:v>
      </x:c>
      <x:c r="G76" s="3"/>
      <x:c r="H76" s="3"/>
      <x:c r="I76" s="3"/>
      <x:c r="J76" s="3"/>
      <x:c r="K76" s="3"/>
      <x:c r="L76" s="2"/>
      <x:c r="M76" s="60"/>
      <x:c r="N76" s="2"/>
    </x:row>
    <x:row r="77" ht="55" customHeight="1">
      <x:c r="A77" s="2"/>
      <x:c r="B77" s="2"/>
      <x:c r="C77" s="55" t="str">
        <x:v>Q7. Would your organization be interested in using a digital signature system?</x:v>
      </x:c>
      <x:c r="D77" s="55" t="str">
        <x:v>Total interested organizations</x:v>
      </x:c>
      <x:c r="E77" s="3" t="n">
        <x:v>16</x:v>
      </x:c>
      <x:c r="F77" s="51" t="n">
        <x:v>1</x:v>
      </x:c>
      <x:c r="G77" s="3"/>
      <x:c r="H77" s="3"/>
      <x:c r="I77" s="3"/>
      <x:c r="J77" s="3"/>
      <x:c r="K77" s="3"/>
      <x:c r="L77" s="2"/>
      <x:c r="M77" s="60"/>
      <x:c r="N77" s="2"/>
    </x:row>
    <x:row r="78" ht="55" customHeight="1">
      <x:c r="A78" s="2"/>
      <x:c r="B78" s="2"/>
      <x:c r="C78" s="55" t="str">
        <x:v>Q8. What is the primary use of digital/electronic signature in your organization, or expected use if implemented?</x:v>
      </x:c>
      <x:c r="D78" s="55" t="str">
        <x:v>Both internal and external</x:v>
      </x:c>
      <x:c r="E78" s="3" t="n">
        <x:v>26</x:v>
      </x:c>
      <x:c r="F78" s="51" t="n">
        <x:v>0.6842</x:v>
      </x:c>
      <x:c r="G78" s="3"/>
      <x:c r="H78" s="3"/>
      <x:c r="I78" s="3"/>
      <x:c r="J78" s="3"/>
      <x:c r="K78" s="3"/>
      <x:c r="L78" s="2"/>
      <x:c r="M78" s="60"/>
      <x:c r="N78" s="2"/>
    </x:row>
    <x:row r="79" ht="55" customHeight="1">
      <x:c r="A79" s="2"/>
      <x:c r="B79" s="2"/>
      <x:c r="C79" s="55" t="str">
        <x:v>Q8. What is the primary use of digital/electronic signature in your organization, or expected use if implemented?</x:v>
      </x:c>
      <x:c r="D79" s="55" t="str">
        <x:v>Internal – document approval/signing between departments or employees</x:v>
      </x:c>
      <x:c r="E79" s="3" t="n">
        <x:v>10</x:v>
      </x:c>
      <x:c r="F79" s="51" t="n">
        <x:v>0.2632</x:v>
      </x:c>
      <x:c r="G79" s="3"/>
      <x:c r="H79" s="3"/>
      <x:c r="I79" s="3"/>
      <x:c r="J79" s="3"/>
      <x:c r="K79" s="3"/>
      <x:c r="L79" s="2"/>
      <x:c r="M79" s="60"/>
      <x:c r="N79" s="2"/>
    </x:row>
    <x:row r="80" ht="55" customHeight="1">
      <x:c r="A80" s="2"/>
      <x:c r="B80" s="2"/>
      <x:c r="C80" s="55" t="str">
        <x:v>Q8. What is the primary use of digital/electronic signature in your organization, or expected use if implemented?</x:v>
      </x:c>
      <x:c r="D80" s="55" t="str">
        <x:v>External – signing documents with suppliers, partners, customers/public</x:v>
      </x:c>
      <x:c r="E80" s="3" t="n">
        <x:v>2</x:v>
      </x:c>
      <x:c r="F80" s="51" t="n">
        <x:v>0.0526</x:v>
      </x:c>
      <x:c r="G80" s="3"/>
      <x:c r="H80" s="3"/>
      <x:c r="I80" s="3"/>
      <x:c r="J80" s="3"/>
      <x:c r="K80" s="3"/>
      <x:c r="L80" s="2"/>
      <x:c r="M80" s="60"/>
      <x:c r="N80" s="2"/>
    </x:row>
    <x:row r="81" ht="55" customHeight="1">
      <x:c r="A81" s="2"/>
      <x:c r="B81" s="2"/>
      <x:c r="C81" s="55" t="str">
        <x:v>Q8. What is the primary use of digital/electronic signature in your organization, or expected use if implemented?</x:v>
      </x:c>
      <x:c r="D81" s="55" t="str">
        <x:v>Total</x:v>
      </x:c>
      <x:c r="E81" s="3" t="n">
        <x:v>38</x:v>
      </x:c>
      <x:c r="F81" s="51" t="n">
        <x:v>1</x:v>
      </x:c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44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44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44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44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  <x:row r="91" ht="24" customHeight="1">
      <x:c r="A91" s="2"/>
      <x:c r="B91" s="2"/>
      <x:c r="C91" s="2"/>
      <x:c r="D91" s="2"/>
      <x:c r="E91" s="3"/>
      <x:c r="F91" s="3"/>
      <x:c r="G91" s="3"/>
      <x:c r="H91" s="3"/>
      <x:c r="I91" s="3"/>
      <x:c r="J91" s="3"/>
      <x:c r="K91" s="3"/>
      <x:c r="L91" s="2"/>
      <x:c r="M91" s="2"/>
      <x:c r="N91" s="2"/>
    </x:row>
    <x:row r="92" ht="24" customHeight="1">
      <x:c r="A92" s="2"/>
      <x:c r="B92" s="2"/>
      <x:c r="C92" s="2"/>
      <x:c r="D92" s="2"/>
      <x:c r="E92" s="3"/>
      <x:c r="F92" s="3"/>
      <x:c r="G92" s="3"/>
      <x:c r="H92" s="3"/>
      <x:c r="I92" s="3"/>
      <x:c r="J92" s="3"/>
      <x:c r="K92" s="3"/>
      <x:c r="L92" s="2"/>
      <x:c r="M92" s="2"/>
      <x:c r="N92" s="2"/>
    </x:row>
    <x:row r="93" ht="24" customHeight="1">
      <x:c r="A93" s="2"/>
      <x:c r="B93" s="2"/>
      <x:c r="C93" s="2"/>
      <x:c r="D93" s="2"/>
      <x:c r="E93" s="3"/>
      <x:c r="F93" s="3"/>
      <x:c r="G93" s="3"/>
      <x:c r="H93" s="3"/>
      <x:c r="I93" s="3"/>
      <x:c r="J93" s="3"/>
      <x:c r="K93" s="3"/>
      <x:c r="L93" s="2"/>
      <x:c r="M93" s="2"/>
      <x:c r="N93" s="2"/>
    </x:row>
    <x:row r="94" ht="24" customHeight="1">
      <x:c r="A94" s="2"/>
      <x:c r="B94" s="2"/>
      <x:c r="C94" s="2"/>
      <x:c r="D94" s="2"/>
      <x:c r="E94" s="3"/>
      <x:c r="F94" s="3"/>
      <x:c r="G94" s="3"/>
      <x:c r="H94" s="3"/>
      <x:c r="I94" s="3"/>
      <x:c r="J94" s="3"/>
      <x:c r="K94" s="3"/>
      <x:c r="L94" s="2"/>
      <x:c r="M94" s="2"/>
      <x:c r="N94" s="2"/>
    </x:row>
    <x:row r="95" ht="24" customHeight="1">
      <x:c r="A95" s="2"/>
      <x:c r="B95" s="2"/>
      <x:c r="C95" s="2"/>
      <x:c r="D95" s="2"/>
      <x:c r="E95" s="3"/>
      <x:c r="F95" s="3"/>
      <x:c r="G95" s="3"/>
      <x:c r="H95" s="3"/>
      <x:c r="I95" s="3"/>
      <x:c r="J95" s="3"/>
      <x:c r="K95" s="3"/>
      <x:c r="L95" s="2"/>
      <x:c r="M95" s="2"/>
      <x:c r="N95" s="2"/>
    </x:row>
    <x:row r="96" ht="24" customHeight="1">
      <x:c r="A96" s="2"/>
      <x:c r="B96" s="2"/>
      <x:c r="C96" s="2"/>
      <x:c r="D96" s="2"/>
      <x:c r="E96" s="3"/>
      <x:c r="F96" s="3"/>
      <x:c r="G96" s="3"/>
      <x:c r="H96" s="3"/>
      <x:c r="I96" s="3"/>
      <x:c r="J96" s="3"/>
      <x:c r="K96" s="3"/>
      <x:c r="L96" s="2"/>
      <x:c r="M96" s="2"/>
      <x:c r="N96" s="2"/>
    </x:row>
    <x:row r="97" ht="24" customHeight="1">
      <x:c r="A97" s="2"/>
      <x:c r="B97" s="2"/>
      <x:c r="C97" s="2"/>
      <x:c r="D97" s="2"/>
      <x:c r="E97" s="3"/>
      <x:c r="F97" s="3"/>
      <x:c r="G97" s="3"/>
      <x:c r="H97" s="3"/>
      <x:c r="I97" s="3"/>
      <x:c r="J97" s="3"/>
      <x:c r="K97" s="3"/>
      <x:c r="L97" s="2"/>
      <x:c r="M97" s="2"/>
      <x:c r="N97" s="2"/>
    </x:row>
    <x:row r="98" ht="24" customHeight="1">
      <x:c r="A98" s="2"/>
      <x:c r="B98" s="2"/>
      <x:c r="C98" s="2"/>
      <x:c r="D98" s="2"/>
      <x:c r="E98" s="3"/>
      <x:c r="F98" s="3"/>
      <x:c r="G98" s="3"/>
      <x:c r="H98" s="3"/>
      <x:c r="I98" s="3"/>
      <x:c r="J98" s="3"/>
      <x:c r="K98" s="3"/>
      <x:c r="L98" s="2"/>
      <x:c r="M98" s="2"/>
      <x:c r="N98" s="2"/>
    </x:row>
    <x:row r="99" ht="24" customHeight="1">
      <x:c r="A99" s="2"/>
      <x:c r="B99" s="2"/>
      <x:c r="C99" s="2"/>
      <x:c r="D99" s="2"/>
      <x:c r="E99" s="3"/>
      <x:c r="F99" s="3"/>
      <x:c r="G99" s="3"/>
      <x:c r="H99" s="3"/>
      <x:c r="I99" s="3"/>
      <x:c r="J99" s="3"/>
      <x:c r="K99" s="3"/>
      <x:c r="L99" s="2"/>
      <x:c r="M99" s="2"/>
      <x:c r="N99" s="2"/>
    </x:row>
    <x:row r="100" ht="24" customHeight="1">
      <x:c r="A100" s="2"/>
      <x:c r="B100" s="2"/>
      <x:c r="C100" s="2"/>
      <x:c r="D100" s="2"/>
      <x:c r="E100" s="3"/>
      <x:c r="F100" s="3"/>
      <x:c r="G100" s="3"/>
      <x:c r="H100" s="3"/>
      <x:c r="I100" s="3"/>
      <x:c r="J100" s="3"/>
      <x:c r="K100" s="3"/>
      <x:c r="L100" s="2"/>
      <x:c r="M100" s="2"/>
      <x:c r="N100" s="2"/>
    </x:row>
    <x:row r="101" ht="24" customHeight="1">
      <x:c r="A101" s="2"/>
      <x:c r="B101" s="2"/>
      <x:c r="C101" s="2"/>
      <x:c r="D101" s="2"/>
      <x:c r="E101" s="3"/>
      <x:c r="F101" s="3"/>
      <x:c r="G101" s="3"/>
      <x:c r="H101" s="3"/>
      <x:c r="I101" s="3"/>
      <x:c r="J101" s="3"/>
      <x:c r="K101" s="3"/>
      <x:c r="L101" s="2"/>
      <x:c r="M101" s="2"/>
      <x:c r="N101" s="2"/>
    </x:row>
    <x:row r="102" ht="24" customHeight="1">
      <x:c r="A102" s="2"/>
      <x:c r="B102" s="2"/>
      <x:c r="C102" s="2"/>
      <x:c r="D102" s="2"/>
      <x:c r="E102" s="3"/>
      <x:c r="F102" s="3"/>
      <x:c r="G102" s="3"/>
      <x:c r="H102" s="3"/>
      <x:c r="I102" s="3"/>
      <x:c r="J102" s="3"/>
      <x:c r="K102" s="3"/>
      <x:c r="L102" s="2"/>
      <x:c r="M102" s="2"/>
      <x:c r="N102" s="2"/>
    </x:row>
    <x:row r="103" ht="24" customHeight="1">
      <x:c r="A103" s="2"/>
      <x:c r="B103" s="2"/>
      <x:c r="C103" s="2"/>
      <x:c r="D103" s="2"/>
      <x:c r="E103" s="3"/>
      <x:c r="F103" s="3"/>
      <x:c r="G103" s="3"/>
      <x:c r="H103" s="3"/>
      <x:c r="I103" s="3"/>
      <x:c r="J103" s="3"/>
      <x:c r="K103" s="3"/>
      <x:c r="L103" s="2"/>
      <x:c r="M103" s="2"/>
      <x:c r="N103" s="2"/>
    </x:row>
    <x:row r="104" ht="24" customHeight="1">
      <x:c r="A104" s="2"/>
      <x:c r="B104" s="2"/>
      <x:c r="C104" s="2"/>
      <x:c r="D104" s="2"/>
      <x:c r="E104" s="3"/>
      <x:c r="F104" s="3"/>
      <x:c r="G104" s="3"/>
      <x:c r="H104" s="3"/>
      <x:c r="I104" s="3"/>
      <x:c r="J104" s="3"/>
      <x:c r="K104" s="3"/>
      <x:c r="L104" s="2"/>
      <x:c r="M104" s="2"/>
      <x:c r="N104" s="2"/>
    </x:row>
    <x:row r="105" ht="24" customHeight="1">
      <x:c r="A105" s="2"/>
      <x:c r="B105" s="2"/>
      <x:c r="C105" s="2"/>
      <x:c r="D105" s="2"/>
      <x:c r="E105" s="3"/>
      <x:c r="F105" s="3"/>
      <x:c r="G105" s="3"/>
      <x:c r="H105" s="3"/>
      <x:c r="I105" s="3"/>
      <x:c r="J105" s="3"/>
      <x:c r="K105" s="3"/>
      <x:c r="L105" s="2"/>
      <x:c r="M105" s="2"/>
      <x:c r="N105" s="2"/>
    </x:row>
    <x:row r="106" ht="24" customHeight="1">
      <x:c r="A106" s="2"/>
      <x:c r="B106" s="2"/>
      <x:c r="C106" s="2"/>
      <x:c r="D106" s="2"/>
      <x:c r="E106" s="3"/>
      <x:c r="F106" s="3"/>
      <x:c r="G106" s="3"/>
      <x:c r="H106" s="3"/>
      <x:c r="I106" s="3"/>
      <x:c r="J106" s="3"/>
      <x:c r="K106" s="3"/>
      <x:c r="L106" s="2"/>
      <x:c r="M106" s="2"/>
      <x:c r="N106" s="2"/>
    </x:row>
    <x:row r="107" ht="24" customHeight="1">
      <x:c r="A107" s="2"/>
      <x:c r="B107" s="2"/>
      <x:c r="C107" s="2"/>
      <x:c r="D107" s="2"/>
      <x:c r="E107" s="3"/>
      <x:c r="F107" s="3"/>
      <x:c r="G107" s="3"/>
      <x:c r="H107" s="3"/>
      <x:c r="I107" s="3"/>
      <x:c r="J107" s="3"/>
      <x:c r="K107" s="3"/>
      <x:c r="L107" s="2"/>
      <x:c r="M107" s="2"/>
      <x:c r="N107" s="2"/>
    </x:row>
    <x:row r="108" ht="24" customHeight="1">
      <x:c r="A108" s="2"/>
      <x:c r="B108" s="2"/>
      <x:c r="C108" s="2"/>
      <x:c r="D108" s="2"/>
      <x:c r="E108" s="3"/>
      <x:c r="F108" s="3"/>
      <x:c r="G108" s="3"/>
      <x:c r="H108" s="3"/>
      <x:c r="I108" s="3"/>
      <x:c r="J108" s="3"/>
      <x:c r="K108" s="3"/>
      <x:c r="L108" s="2"/>
      <x:c r="M108" s="2"/>
      <x:c r="N108" s="2"/>
    </x:row>
    <x:row r="109" ht="24" customHeight="1">
      <x:c r="A109" s="2"/>
      <x:c r="B109" s="2"/>
      <x:c r="C109" s="2"/>
      <x:c r="D109" s="2"/>
      <x:c r="E109" s="3"/>
      <x:c r="F109" s="3"/>
      <x:c r="G109" s="3"/>
      <x:c r="H109" s="3"/>
      <x:c r="I109" s="3"/>
      <x:c r="J109" s="3"/>
      <x:c r="K109" s="3"/>
      <x:c r="L109" s="2"/>
      <x:c r="M109" s="2"/>
      <x:c r="N109" s="2"/>
    </x:row>
    <x:row r="110" ht="24" customHeight="1">
      <x:c r="A110" s="2"/>
      <x:c r="B110" s="2"/>
      <x:c r="C110" s="2"/>
      <x:c r="D110" s="2"/>
      <x:c r="E110" s="3"/>
      <x:c r="F110" s="3"/>
      <x:c r="G110" s="3"/>
      <x:c r="H110" s="3"/>
      <x:c r="I110" s="3"/>
      <x:c r="J110" s="3"/>
      <x:c r="K110" s="3"/>
      <x:c r="L110" s="2"/>
      <x:c r="M110" s="2"/>
      <x:c r="N11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10" hidden="0" customWidth="1"/>
    <x:col min="5" max="5" width="58" hidden="0" customWidth="1"/>
    <x:col min="6" max="6" width="47" hidden="0" customWidth="1"/>
    <x:col min="7" max="7" width="18" hidden="0" customWidth="1"/>
    <x:col min="8" max="8" width="18" hidden="0" customWidth="1"/>
    <x:col min="9" max="9" width="74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Potential entity intake and scope review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12" t="str">
        <x:v>S02: dda departments columns A:B only. Other workbook tabs and columns supply no facts to this model.</x:v>
      </x:c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Excel row</x:v>
      </x:c>
      <x:c r="D7" s="19" t="str">
        <x:v>Source #</x:v>
      </x:c>
      <x:c r="E7" s="20" t="str">
        <x:v>Source company name</x:v>
      </x:c>
      <x:c r="F7" s="20" t="str">
        <x:v>Workforce evidence</x:v>
      </x:c>
      <x:c r="G7" s="20" t="str">
        <x:v>Existing users</x:v>
      </x:c>
      <x:c r="H7" s="20" t="str">
        <x:v>Proposed new seats</x:v>
      </x:c>
      <x:c r="I7" s="20" t="str">
        <x:v>Scope / research note</x:v>
      </x:c>
      <x:c r="J7" s="3"/>
      <x:c r="K7" s="3"/>
      <x:c r="L7" s="2"/>
      <x:c r="M7" s="60"/>
      <x:c r="N7" s="2"/>
    </x:row>
    <x:row r="8" ht="50" customHeight="1">
      <x:c r="A8" s="2"/>
      <x:c r="B8" s="2"/>
      <x:c r="C8" s="2" t="n">
        <x:v>2</x:v>
      </x:c>
      <x:c r="D8" s="2" t="n">
        <x:v>1</x:v>
      </x:c>
      <x:c r="E8" s="56" t="str">
        <x:v>Central Grievance Committee</x:v>
      </x:c>
      <x:c r="F8" s="56" t="str">
        <x:v>—</x:v>
      </x:c>
      <x:c r="G8" s="3"/>
      <x:c r="H8" s="24"/>
      <x:c r="I8" s="56" t="str">
        <x:v>Entity-specific workforce and paid-user demand remain unestablished.</x:v>
      </x:c>
      <x:c r="J8" s="3"/>
      <x:c r="K8" s="3"/>
      <x:c r="L8" s="2"/>
      <x:c r="M8" s="60"/>
      <x:c r="N8" s="2"/>
    </x:row>
    <x:row r="9" ht="50" customHeight="1">
      <x:c r="A9" s="2"/>
      <x:c r="B9" s="2"/>
      <x:c r="C9" s="2" t="n">
        <x:v>3</x:v>
      </x:c>
      <x:c r="D9" s="2" t="n">
        <x:v>2</x:v>
      </x:c>
      <x:c r="E9" s="56" t="str">
        <x:v>Community Development Authority</x:v>
      </x:c>
      <x:c r="F9" s="56" t="str">
        <x:v>—</x:v>
      </x:c>
      <x:c r="G9" s="3"/>
      <x:c r="H9" s="24"/>
      <x:c r="I9" s="56" t="str">
        <x:v>Entity-specific workforce and paid-user demand remain unestablished.</x:v>
      </x:c>
      <x:c r="J9" s="3"/>
      <x:c r="K9" s="3"/>
      <x:c r="L9" s="2"/>
      <x:c r="M9" s="60"/>
      <x:c r="N9" s="2"/>
    </x:row>
    <x:row r="10" ht="50" customHeight="1">
      <x:c r="A10" s="2"/>
      <x:c r="B10" s="2"/>
      <x:c r="C10" s="2" t="n">
        <x:v>4</x:v>
      </x:c>
      <x:c r="D10" s="2" t="n">
        <x:v>3</x:v>
      </x:c>
      <x:c r="E10" s="56" t="str">
        <x:v>Dubai Courts</x:v>
      </x:c>
      <x:c r="F10" s="56" t="str">
        <x:v>R09: 1,275 (2024), candidate; PDF layout unverified</x:v>
      </x:c>
      <x:c r="G10" s="3"/>
      <x:c r="H10" s="24"/>
      <x:c r="I10" s="56" t="str">
        <x:v>Entity-specific workforce and paid-user demand remain unestablished.</x:v>
      </x:c>
      <x:c r="J10" s="3"/>
      <x:c r="K10" s="3"/>
      <x:c r="L10" s="2"/>
      <x:c r="M10" s="60"/>
      <x:c r="N10" s="2"/>
    </x:row>
    <x:row r="11" ht="50" customHeight="1">
      <x:c r="A11" s="2"/>
      <x:c r="B11" s="2"/>
      <x:c r="C11" s="2" t="n">
        <x:v>5</x:v>
      </x:c>
      <x:c r="D11" s="2" t="n">
        <x:v>4</x:v>
      </x:c>
      <x:c r="E11" s="56" t="str">
        <x:v>Department of Economic Development</x:v>
      </x:c>
      <x:c r="F11" s="56" t="str">
        <x:v>—</x:v>
      </x:c>
      <x:c r="G11" s="3"/>
      <x:c r="H11" s="24"/>
      <x:c r="I11" s="56" t="str">
        <x:v>R11: DET predecessor; resolve group before counting.</x:v>
      </x:c>
      <x:c r="J11" s="3"/>
      <x:c r="K11" s="3"/>
      <x:c r="L11" s="2"/>
      <x:c r="M11" s="60"/>
      <x:c r="N11" s="2"/>
    </x:row>
    <x:row r="12" ht="50" customHeight="1">
      <x:c r="A12" s="2"/>
      <x:c r="B12" s="2"/>
      <x:c r="C12" s="2" t="n">
        <x:v>6</x:v>
      </x:c>
      <x:c r="D12" s="2" t="n">
        <x:v>5</x:v>
      </x:c>
      <x:c r="E12" s="56" t="str">
        <x:v>Department of Economy and Tourism</x:v>
      </x:c>
      <x:c r="F12" s="56" t="str">
        <x:v>—</x:v>
      </x:c>
      <x:c r="G12" s="3"/>
      <x:c r="H12" s="24"/>
      <x:c r="I12" s="56" t="str">
        <x:v>R11: current DET name; overlaps rows 5, 8, 24.</x:v>
      </x:c>
      <x:c r="J12" s="3"/>
      <x:c r="K12" s="3"/>
      <x:c r="L12" s="2"/>
      <x:c r="M12" s="60"/>
      <x:c r="N12" s="2"/>
    </x:row>
    <x:row r="13" ht="50" customHeight="1">
      <x:c r="A13" s="2"/>
      <x:c r="B13" s="2"/>
      <x:c r="C13" s="2" t="n">
        <x:v>7</x:v>
      </x:c>
      <x:c r="D13" s="2" t="n">
        <x:v>6</x:v>
      </x:c>
      <x:c r="E13" s="56" t="str">
        <x:v>Department of Finance</x:v>
      </x:c>
      <x:c r="F13" s="56" t="str">
        <x:v>—</x:v>
      </x:c>
      <x:c r="G13" s="3"/>
      <x:c r="H13" s="24"/>
      <x:c r="I13" s="56" t="str">
        <x:v>Entity-specific workforce and paid-user demand remain unestablished.</x:v>
      </x:c>
      <x:c r="J13" s="3"/>
      <x:c r="K13" s="3"/>
      <x:c r="L13" s="2"/>
      <x:c r="M13" s="60"/>
      <x:c r="N13" s="2"/>
    </x:row>
    <x:row r="14" ht="50" customHeight="1">
      <x:c r="A14" s="2"/>
      <x:c r="B14" s="2"/>
      <x:c r="C14" s="2" t="n">
        <x:v>8</x:v>
      </x:c>
      <x:c r="D14" s="2" t="n">
        <x:v>7</x:v>
      </x:c>
      <x:c r="E14" s="56" t="str">
        <x:v>Department of Tourism and Commerce Marketing </x:v>
      </x:c>
      <x:c r="F14" s="56" t="str">
        <x:v>—</x:v>
      </x:c>
      <x:c r="G14" s="3"/>
      <x:c r="H14" s="24"/>
      <x:c r="I14" s="56" t="str">
        <x:v>R11: DET predecessor; resolve group before counting.</x:v>
      </x:c>
      <x:c r="J14" s="3"/>
      <x:c r="K14" s="3"/>
      <x:c r="L14" s="2"/>
      <x:c r="M14" s="60"/>
      <x:c r="N14" s="2"/>
    </x:row>
    <x:row r="15" ht="50" customHeight="1">
      <x:c r="A15" s="2"/>
      <x:c r="B15" s="2"/>
      <x:c r="C15" s="2" t="n">
        <x:v>9</x:v>
      </x:c>
      <x:c r="D15" s="2" t="n">
        <x:v>8</x:v>
      </x:c>
      <x:c r="E15" s="56" t="str">
        <x:v>Digital Dubai Authority</x:v>
      </x:c>
      <x:c r="F15" s="56" t="str">
        <x:v>—</x:v>
      </x:c>
      <x:c r="G15" s="3" t="n">
        <x:v>50</x:v>
      </x:c>
      <x:c r="H15" s="24"/>
      <x:c r="I15" s="56" t="str">
        <x:v>S03: On-Premise project; same entity as row 10.</x:v>
      </x:c>
      <x:c r="J15" s="3"/>
      <x:c r="K15" s="3"/>
      <x:c r="L15" s="2"/>
      <x:c r="M15" s="60"/>
      <x:c r="N15" s="2"/>
    </x:row>
    <x:row r="16" ht="50" customHeight="1">
      <x:c r="A16" s="2"/>
      <x:c r="B16" s="2"/>
      <x:c r="C16" s="2" t="n">
        <x:v>10</x:v>
      </x:c>
      <x:c r="D16" s="2"/>
      <x:c r="E16" s="56" t="str">
        <x:v>Digital Dubai Authority</x:v>
      </x:c>
      <x:c r="F16" s="56" t="str">
        <x:v>—</x:v>
      </x:c>
      <x:c r="G16" s="3" t="n">
        <x:v>100</x:v>
      </x:c>
      <x:c r="H16" s="24"/>
      <x:c r="I16" s="56" t="str">
        <x:v>S03: Shared Service project; same entity as row 9.</x:v>
      </x:c>
      <x:c r="J16" s="3"/>
      <x:c r="K16" s="3"/>
      <x:c r="L16" s="2"/>
      <x:c r="M16" s="60"/>
      <x:c r="N16" s="2"/>
    </x:row>
    <x:row r="17" ht="50" customHeight="1">
      <x:c r="A17" s="2"/>
      <x:c r="B17" s="2"/>
      <x:c r="C17" s="2" t="n">
        <x:v>11</x:v>
      </x:c>
      <x:c r="D17" s="2" t="n">
        <x:v>9</x:v>
      </x:c>
      <x:c r="E17" s="56" t="str">
        <x:v>Directorate General of Dubai Civil Defense</x:v>
      </x:c>
      <x:c r="F17" s="56" t="str">
        <x:v>—</x:v>
      </x:c>
      <x:c r="G17" s="3"/>
      <x:c r="H17" s="24"/>
      <x:c r="I17" s="56" t="str">
        <x:v>Civil Defence alias candidate with row 18.</x:v>
      </x:c>
      <x:c r="J17" s="3"/>
      <x:c r="K17" s="3"/>
      <x:c r="L17" s="2"/>
      <x:c r="M17" s="60"/>
      <x:c r="N17" s="2"/>
    </x:row>
    <x:row r="18" ht="50" customHeight="1">
      <x:c r="A18" s="2"/>
      <x:c r="B18" s="2"/>
      <x:c r="C18" s="2" t="n">
        <x:v>12</x:v>
      </x:c>
      <x:c r="D18" s="2" t="n">
        <x:v>10</x:v>
      </x:c>
      <x:c r="E18" s="56" t="str">
        <x:v>Dubai Academic Health Corporation</x:v>
      </x:c>
      <x:c r="F18" s="56" t="str">
        <x:v>R03: 11,000 (2024); shared population with row 33</x:v>
      </x:c>
      <x:c r="G18" s="3"/>
      <x:c r="H18" s="24"/>
      <x:c r="I18" s="56" t="str">
        <x:v>R03: Dubai Health brand; same workforce as row 33.</x:v>
      </x:c>
      <x:c r="J18" s="3"/>
      <x:c r="K18" s="3"/>
      <x:c r="L18" s="2"/>
      <x:c r="M18" s="60"/>
      <x:c r="N18" s="2"/>
    </x:row>
    <x:row r="19" ht="50" customHeight="1">
      <x:c r="A19" s="2"/>
      <x:c r="B19" s="2"/>
      <x:c r="C19" s="2" t="n">
        <x:v>13</x:v>
      </x:c>
      <x:c r="D19" s="2" t="n">
        <x:v>11</x:v>
      </x:c>
      <x:c r="E19" s="56" t="str">
        <x:v>Dubai Air Navigation Services</x:v>
      </x:c>
      <x:c r="F19" s="56" t="str">
        <x:v>—</x:v>
      </x:c>
      <x:c r="G19" s="3"/>
      <x:c r="H19" s="24"/>
      <x:c r="I19" s="56" t="str">
        <x:v>Entity-specific workforce and paid-user demand remain unestablished.</x:v>
      </x:c>
      <x:c r="J19" s="3"/>
      <x:c r="K19" s="3"/>
      <x:c r="L19" s="2"/>
      <x:c r="M19" s="60"/>
      <x:c r="N19" s="2"/>
    </x:row>
    <x:row r="20" ht="50" customHeight="1">
      <x:c r="A20" s="2"/>
      <x:c r="B20" s="2"/>
      <x:c r="C20" s="2" t="n">
        <x:v>14</x:v>
      </x:c>
      <x:c r="D20" s="2" t="n">
        <x:v>12</x:v>
      </x:c>
      <x:c r="E20" s="56" t="str">
        <x:v>Dubai Airport Freezone</x:v>
      </x:c>
      <x:c r="F20" s="56" t="str">
        <x:v>—</x:v>
      </x:c>
      <x:c r="G20" s="3"/>
      <x:c r="H20" s="24"/>
      <x:c r="I20" s="56" t="str">
        <x:v>R14: DIEZ zone; exclude tenant-company workforce.</x:v>
      </x:c>
      <x:c r="J20" s="3"/>
      <x:c r="K20" s="3"/>
      <x:c r="L20" s="2"/>
      <x:c r="M20" s="60"/>
      <x:c r="N20" s="2"/>
    </x:row>
    <x:row r="21" ht="50" customHeight="1">
      <x:c r="A21" s="2"/>
      <x:c r="B21" s="2"/>
      <x:c r="C21" s="2" t="n">
        <x:v>15</x:v>
      </x:c>
      <x:c r="D21" s="2" t="n">
        <x:v>13</x:v>
      </x:c>
      <x:c r="E21" s="56" t="str">
        <x:v>Dubai Airports</x:v>
      </x:c>
      <x:c r="F21" s="56" t="str">
        <x:v>—</x:v>
      </x:c>
      <x:c r="G21" s="3"/>
      <x:c r="H21" s="24"/>
      <x:c r="I21" s="56" t="str">
        <x:v>R16: 45,000 airport-community trainees are not entity headcount.</x:v>
      </x:c>
      <x:c r="J21" s="3"/>
      <x:c r="K21" s="3"/>
      <x:c r="L21" s="2"/>
      <x:c r="M21" s="60"/>
      <x:c r="N21" s="2"/>
    </x:row>
    <x:row r="22" ht="50" customHeight="1">
      <x:c r="A22" s="2"/>
      <x:c r="B22" s="2"/>
      <x:c r="C22" s="2" t="n">
        <x:v>16</x:v>
      </x:c>
      <x:c r="D22" s="2" t="n">
        <x:v>14</x:v>
      </x:c>
      <x:c r="E22" s="56" t="str">
        <x:v>Dubai Chambers</x:v>
      </x:c>
      <x:c r="F22" s="56" t="str">
        <x:v>—</x:v>
      </x:c>
      <x:c r="G22" s="3"/>
      <x:c r="H22" s="24"/>
      <x:c r="I22" s="56" t="str">
        <x:v>Entity-specific workforce and paid-user demand remain unestablished.</x:v>
      </x:c>
      <x:c r="J22" s="3"/>
      <x:c r="K22" s="3"/>
      <x:c r="L22" s="2"/>
      <x:c r="M22" s="60"/>
      <x:c r="N22" s="2"/>
    </x:row>
    <x:row r="23" ht="50" customHeight="1">
      <x:c r="A23" s="2"/>
      <x:c r="B23" s="2"/>
      <x:c r="C23" s="2" t="n">
        <x:v>17</x:v>
      </x:c>
      <x:c r="D23" s="2" t="n">
        <x:v>15</x:v>
      </x:c>
      <x:c r="E23" s="56" t="str">
        <x:v>Dubai Civil Aviaition Authority</x:v>
      </x:c>
      <x:c r="F23" s="56" t="str">
        <x:v>—</x:v>
      </x:c>
      <x:c r="G23" s="3"/>
      <x:c r="H23" s="24"/>
      <x:c r="I23" s="56" t="str">
        <x:v>Entity-specific workforce and paid-user demand remain unestablished.</x:v>
      </x:c>
      <x:c r="J23" s="3"/>
      <x:c r="K23" s="3"/>
      <x:c r="L23" s="2"/>
      <x:c r="M23" s="60"/>
      <x:c r="N23" s="2"/>
    </x:row>
    <x:row r="24" ht="50" customHeight="1">
      <x:c r="A24" s="2"/>
      <x:c r="B24" s="2"/>
      <x:c r="C24" s="2" t="n">
        <x:v>18</x:v>
      </x:c>
      <x:c r="D24" s="2" t="n">
        <x:v>16</x:v>
      </x:c>
      <x:c r="E24" s="56" t="str">
        <x:v>Dubai Civil Defence</x:v>
      </x:c>
      <x:c r="F24" s="56" t="str">
        <x:v>—</x:v>
      </x:c>
      <x:c r="G24" s="3"/>
      <x:c r="H24" s="24"/>
      <x:c r="I24" s="56" t="str">
        <x:v>Civil Defence alias candidate with row 11.</x:v>
      </x:c>
      <x:c r="J24" s="3"/>
      <x:c r="K24" s="3"/>
      <x:c r="L24" s="2"/>
      <x:c r="M24" s="60"/>
      <x:c r="N24" s="2"/>
    </x:row>
    <x:row r="25" ht="50" customHeight="1">
      <x:c r="A25" s="2"/>
      <x:c r="B25" s="2"/>
      <x:c r="C25" s="2" t="n">
        <x:v>19</x:v>
      </x:c>
      <x:c r="D25" s="2" t="n">
        <x:v>17</x:v>
      </x:c>
      <x:c r="E25" s="56" t="str">
        <x:v>Dubai Corporation for Ambulances Services</x:v>
      </x:c>
      <x:c r="F25" s="56" t="str">
        <x:v>R07: 1,375 personnel (2023), operational scope</x:v>
      </x:c>
      <x:c r="G25" s="3" t="n">
        <x:v>275</x:v>
      </x:c>
      <x:c r="H25" s="24"/>
      <x:c r="I25" s="56" t="str">
        <x:v>R07: operational-team scope, not verified total headcount.</x:v>
      </x:c>
      <x:c r="J25" s="3"/>
      <x:c r="K25" s="3"/>
      <x:c r="L25" s="2"/>
      <x:c r="M25" s="60"/>
      <x:c r="N25" s="2"/>
    </x:row>
    <x:row r="26" ht="50" customHeight="1">
      <x:c r="A26" s="2"/>
      <x:c r="B26" s="2"/>
      <x:c r="C26" s="2" t="n">
        <x:v>20</x:v>
      </x:c>
      <x:c r="D26" s="2" t="n">
        <x:v>18</x:v>
      </x:c>
      <x:c r="E26" s="56" t="str">
        <x:v>Dubai Corporation for Aviation Engineering Projects</x:v>
      </x:c>
      <x:c r="F26" s="56" t="str">
        <x:v>—</x:v>
      </x:c>
      <x:c r="G26" s="3"/>
      <x:c r="H26" s="24"/>
      <x:c r="I26" s="56" t="str">
        <x:v>Entity-specific workforce and paid-user demand remain unestablished.</x:v>
      </x:c>
      <x:c r="J26" s="3"/>
      <x:c r="K26" s="3"/>
      <x:c r="L26" s="2"/>
      <x:c r="M26" s="60"/>
      <x:c r="N26" s="2"/>
    </x:row>
    <x:row r="27" ht="50" customHeight="1">
      <x:c r="A27" s="2"/>
      <x:c r="B27" s="2"/>
      <x:c r="C27" s="2" t="n">
        <x:v>21</x:v>
      </x:c>
      <x:c r="D27" s="2" t="n">
        <x:v>19</x:v>
      </x:c>
      <x:c r="E27" s="56" t="str">
        <x:v>Dubai Culture &amp; Arts Authority</x:v>
      </x:c>
      <x:c r="F27" s="56" t="str">
        <x:v>—</x:v>
      </x:c>
      <x:c r="G27" s="3" t="n">
        <x:v>25</x:v>
      </x:c>
      <x:c r="H27" s="24"/>
      <x:c r="I27" s="56" t="str">
        <x:v>Entity-specific workforce and paid-user demand remain unestablished.</x:v>
      </x:c>
      <x:c r="J27" s="3"/>
      <x:c r="K27" s="3"/>
      <x:c r="L27" s="2"/>
      <x:c r="M27" s="60"/>
      <x:c r="N27" s="2"/>
    </x:row>
    <x:row r="28" ht="50" customHeight="1">
      <x:c r="A28" s="2"/>
      <x:c r="B28" s="2"/>
      <x:c r="C28" s="2" t="n">
        <x:v>22</x:v>
      </x:c>
      <x:c r="D28" s="2" t="n">
        <x:v>20</x:v>
      </x:c>
      <x:c r="E28" s="56" t="str">
        <x:v>Dubai Customs</x:v>
      </x:c>
      <x:c r="F28" s="56" t="str">
        <x:v>R06: 2,880, undated; current count unverified</x:v>
      </x:c>
      <x:c r="G28" s="3"/>
      <x:c r="H28" s="24"/>
      <x:c r="I28" s="56" t="str">
        <x:v>Entity-specific workforce and paid-user demand remain unestablished.</x:v>
      </x:c>
      <x:c r="J28" s="3"/>
      <x:c r="K28" s="3"/>
      <x:c r="L28" s="2"/>
      <x:c r="M28" s="60"/>
      <x:c r="N28" s="2"/>
    </x:row>
    <x:row r="29" ht="50" customHeight="1">
      <x:c r="A29" s="2"/>
      <x:c r="B29" s="2"/>
      <x:c r="C29" s="2" t="n">
        <x:v>23</x:v>
      </x:c>
      <x:c r="D29" s="2" t="n">
        <x:v>21</x:v>
      </x:c>
      <x:c r="E29" s="56" t="str">
        <x:v>Dubai Duty Free</x:v>
      </x:c>
      <x:c r="F29" s="56" t="str">
        <x:v>R05: 5,800+ (2025), indexed primary report</x:v>
      </x:c>
      <x:c r="G29" s="3"/>
      <x:c r="H29" s="24"/>
      <x:c r="I29" s="56" t="str">
        <x:v>Entity-specific workforce and paid-user demand remain unestablished.</x:v>
      </x:c>
      <x:c r="J29" s="3"/>
      <x:c r="K29" s="3"/>
      <x:c r="L29" s="2"/>
      <x:c r="M29" s="60"/>
      <x:c r="N29" s="2"/>
    </x:row>
    <x:row r="30" ht="50" customHeight="1">
      <x:c r="A30" s="2"/>
      <x:c r="B30" s="2"/>
      <x:c r="C30" s="2" t="n">
        <x:v>24</x:v>
      </x:c>
      <x:c r="D30" s="2" t="n">
        <x:v>22</x:v>
      </x:c>
      <x:c r="E30" s="56" t="str">
        <x:v>Dubai Economy and Tourism</x:v>
      </x:c>
      <x:c r="F30" s="56" t="str">
        <x:v>—</x:v>
      </x:c>
      <x:c r="G30" s="3"/>
      <x:c r="H30" s="24"/>
      <x:c r="I30" s="56" t="str">
        <x:v>R11: DET alias candidate; do not sum independently.</x:v>
      </x:c>
      <x:c r="J30" s="3"/>
      <x:c r="K30" s="3"/>
      <x:c r="L30" s="2"/>
      <x:c r="M30" s="60"/>
      <x:c r="N30" s="2"/>
    </x:row>
    <x:row r="31" ht="50" customHeight="1">
      <x:c r="A31" s="2"/>
      <x:c r="B31" s="2"/>
      <x:c r="C31" s="2" t="n">
        <x:v>25</x:v>
      </x:c>
      <x:c r="D31" s="2" t="n">
        <x:v>23</x:v>
      </x:c>
      <x:c r="E31" s="56" t="str">
        <x:v>Dubai Electricity &amp; Water Authority (DEWA)</x:v>
      </x:c>
      <x:c r="F31" s="56" t="str">
        <x:v>R02: 10,764 (2025), indexed primary report</x:v>
      </x:c>
      <x:c r="G31" s="3"/>
      <x:c r="H31" s="24"/>
      <x:c r="I31" s="56" t="str">
        <x:v>Entity-specific workforce and paid-user demand remain unestablished.</x:v>
      </x:c>
      <x:c r="J31" s="3"/>
      <x:c r="K31" s="3"/>
      <x:c r="L31" s="2"/>
      <x:c r="M31" s="60"/>
      <x:c r="N31" s="2"/>
    </x:row>
    <x:row r="32" ht="50" customHeight="1">
      <x:c r="A32" s="2"/>
      <x:c r="B32" s="2"/>
      <x:c r="C32" s="2" t="n">
        <x:v>26</x:v>
      </x:c>
      <x:c r="D32" s="2" t="n">
        <x:v>24</x:v>
      </x:c>
      <x:c r="E32" s="56" t="str">
        <x:v>Dubai Electronic Security Center</x:v>
      </x:c>
      <x:c r="F32" s="56" t="str">
        <x:v>—</x:v>
      </x:c>
      <x:c r="G32" s="3" t="n">
        <x:v>60</x:v>
      </x:c>
      <x:c r="H32" s="24"/>
      <x:c r="I32" s="56" t="str">
        <x:v>Entity-specific workforce and paid-user demand remain unestablished.</x:v>
      </x:c>
      <x:c r="J32" s="3"/>
      <x:c r="K32" s="3"/>
      <x:c r="L32" s="2"/>
      <x:c r="M32" s="60"/>
      <x:c r="N32" s="2"/>
    </x:row>
    <x:row r="33" ht="50" customHeight="1">
      <x:c r="A33" s="2"/>
      <x:c r="B33" s="2"/>
      <x:c r="C33" s="2" t="n">
        <x:v>27</x:v>
      </x:c>
      <x:c r="D33" s="2" t="n">
        <x:v>25</x:v>
      </x:c>
      <x:c r="E33" s="56" t="str">
        <x:v>Dubai Export Development Coroporation</x:v>
      </x:c>
      <x:c r="F33" s="56" t="str">
        <x:v>—</x:v>
      </x:c>
      <x:c r="G33" s="3"/>
      <x:c r="H33" s="24"/>
      <x:c r="I33" s="56" t="str">
        <x:v>Entity-specific workforce and paid-user demand remain unestablished.</x:v>
      </x:c>
      <x:c r="J33" s="3"/>
      <x:c r="K33" s="3"/>
      <x:c r="L33" s="2"/>
      <x:c r="M33" s="60"/>
      <x:c r="N33" s="2"/>
    </x:row>
    <x:row r="34" ht="50" customHeight="1">
      <x:c r="A34" s="2"/>
      <x:c r="B34" s="2"/>
      <x:c r="C34" s="2" t="n">
        <x:v>28</x:v>
      </x:c>
      <x:c r="D34" s="2" t="n">
        <x:v>26</x:v>
      </x:c>
      <x:c r="E34" s="56" t="str">
        <x:v>Dubai Financial Market (DFM)</x:v>
      </x:c>
      <x:c r="F34" s="56" t="str">
        <x:v>—</x:v>
      </x:c>
      <x:c r="G34" s="3"/>
      <x:c r="H34" s="24"/>
      <x:c r="I34" s="56" t="str">
        <x:v>Listed-market operator workforce needed; exclude listed companies.</x:v>
      </x:c>
      <x:c r="J34" s="3"/>
      <x:c r="K34" s="3"/>
      <x:c r="L34" s="2"/>
      <x:c r="M34" s="60"/>
      <x:c r="N34" s="2"/>
    </x:row>
    <x:row r="35" ht="50" customHeight="1">
      <x:c r="A35" s="2"/>
      <x:c r="B35" s="2"/>
      <x:c r="C35" s="2" t="n">
        <x:v>29</x:v>
      </x:c>
      <x:c r="D35" s="2" t="n">
        <x:v>27</x:v>
      </x:c>
      <x:c r="E35" s="56" t="str">
        <x:v>Dubai Foundation for Women and Children</x:v>
      </x:c>
      <x:c r="F35" s="56" t="str">
        <x:v>—</x:v>
      </x:c>
      <x:c r="G35" s="3"/>
      <x:c r="H35" s="24"/>
      <x:c r="I35" s="56" t="str">
        <x:v>Entity-specific workforce and paid-user demand remain unestablished.</x:v>
      </x:c>
      <x:c r="J35" s="3"/>
      <x:c r="K35" s="3"/>
      <x:c r="L35" s="2"/>
      <x:c r="M35" s="60"/>
      <x:c r="N35" s="2"/>
    </x:row>
    <x:row r="36" ht="50" customHeight="1">
      <x:c r="A36" s="2"/>
      <x:c r="B36" s="2"/>
      <x:c r="C36" s="2" t="n">
        <x:v>30</x:v>
      </x:c>
      <x:c r="D36" s="2" t="n">
        <x:v>28</x:v>
      </x:c>
      <x:c r="E36" s="56" t="str">
        <x:v>Dubai Future Foundation</x:v>
      </x:c>
      <x:c r="F36" s="56" t="str">
        <x:v>—</x:v>
      </x:c>
      <x:c r="G36" s="3"/>
      <x:c r="H36" s="24"/>
      <x:c r="I36" s="56" t="str">
        <x:v>Entity-specific workforce and paid-user demand remain unestablished.</x:v>
      </x:c>
      <x:c r="J36" s="3"/>
      <x:c r="K36" s="3"/>
      <x:c r="L36" s="2"/>
      <x:c r="M36" s="60"/>
      <x:c r="N36" s="2"/>
    </x:row>
    <x:row r="37" ht="50" customHeight="1">
      <x:c r="A37" s="2"/>
      <x:c r="B37" s="2"/>
      <x:c r="C37" s="2" t="n">
        <x:v>31</x:v>
      </x:c>
      <x:c r="D37" s="2" t="n">
        <x:v>29</x:v>
      </x:c>
      <x:c r="E37" s="56" t="str">
        <x:v>Dubai Government Human Resource Department</x:v>
      </x:c>
      <x:c r="F37" s="56" t="str">
        <x:v>—</x:v>
      </x:c>
      <x:c r="G37" s="3"/>
      <x:c r="H37" s="24"/>
      <x:c r="I37" s="56" t="str">
        <x:v>Human Resources alias candidate with row 82.</x:v>
      </x:c>
      <x:c r="J37" s="3"/>
      <x:c r="K37" s="3"/>
      <x:c r="L37" s="2"/>
      <x:c r="M37" s="60"/>
      <x:c r="N37" s="2"/>
    </x:row>
    <x:row r="38" ht="50" customHeight="1">
      <x:c r="A38" s="2"/>
      <x:c r="B38" s="2"/>
      <x:c r="C38" s="2" t="n">
        <x:v>32</x:v>
      </x:c>
      <x:c r="D38" s="2" t="n">
        <x:v>30</x:v>
      </x:c>
      <x:c r="E38" s="56" t="str">
        <x:v>Dubai Government Workshop</x:v>
      </x:c>
      <x:c r="F38" s="56" t="str">
        <x:v>—</x:v>
      </x:c>
      <x:c r="G38" s="3"/>
      <x:c r="H38" s="24"/>
      <x:c r="I38" s="56" t="str">
        <x:v>Entity-specific workforce and paid-user demand remain unestablished.</x:v>
      </x:c>
      <x:c r="J38" s="3"/>
      <x:c r="K38" s="3"/>
      <x:c r="L38" s="2"/>
      <x:c r="M38" s="60"/>
      <x:c r="N38" s="2"/>
    </x:row>
    <x:row r="39" ht="50" customHeight="1">
      <x:c r="A39" s="2"/>
      <x:c r="B39" s="2"/>
      <x:c r="C39" s="2" t="n">
        <x:v>33</x:v>
      </x:c>
      <x:c r="D39" s="2" t="n">
        <x:v>31</x:v>
      </x:c>
      <x:c r="E39" s="56" t="str">
        <x:v>Dubai Health</x:v>
      </x:c>
      <x:c r="F39" s="56" t="str">
        <x:v>R03: 11,000 (2024); shared population with row 12</x:v>
      </x:c>
      <x:c r="G39" s="3"/>
      <x:c r="H39" s="24"/>
      <x:c r="I39" s="56" t="str">
        <x:v>R03: Dubai Health; same workforce as row 12.</x:v>
      </x:c>
      <x:c r="J39" s="3"/>
      <x:c r="K39" s="3"/>
      <x:c r="L39" s="2"/>
      <x:c r="M39" s="60"/>
      <x:c r="N39" s="2"/>
    </x:row>
    <x:row r="40" ht="50" customHeight="1">
      <x:c r="A40" s="2"/>
      <x:c r="B40" s="2"/>
      <x:c r="C40" s="2" t="n">
        <x:v>34</x:v>
      </x:c>
      <x:c r="D40" s="2" t="n">
        <x:v>32</x:v>
      </x:c>
      <x:c r="E40" s="56" t="str">
        <x:v>Dubai Health Authority (DHA)</x:v>
      </x:c>
      <x:c r="F40" s="56" t="str">
        <x:v>—</x:v>
      </x:c>
      <x:c r="G40" s="3"/>
      <x:c r="H40" s="24"/>
      <x:c r="I40" s="56" t="str">
        <x:v>R03: DHA regulator distinct from Dubai Health; current scope required.</x:v>
      </x:c>
      <x:c r="J40" s="3"/>
      <x:c r="K40" s="3"/>
      <x:c r="L40" s="2"/>
      <x:c r="M40" s="60"/>
      <x:c r="N40" s="2"/>
    </x:row>
    <x:row r="41" ht="50" customHeight="1">
      <x:c r="A41" s="2"/>
      <x:c r="B41" s="2"/>
      <x:c r="C41" s="2" t="n">
        <x:v>35</x:v>
      </x:c>
      <x:c r="D41" s="2" t="n">
        <x:v>33</x:v>
      </x:c>
      <x:c r="E41" s="56" t="str">
        <x:v>Dubai International Financial Centre (DIFC)</x:v>
      </x:c>
      <x:c r="F41" s="56" t="str">
        <x:v>—</x:v>
      </x:c>
      <x:c r="G41" s="3"/>
      <x:c r="H41" s="24"/>
      <x:c r="I41" s="56" t="str">
        <x:v>Entity-specific workforce and paid-user demand remain unestablished.</x:v>
      </x:c>
      <x:c r="J41" s="3"/>
      <x:c r="K41" s="3"/>
      <x:c r="L41" s="2"/>
      <x:c r="M41" s="60"/>
      <x:c r="N41" s="2"/>
    </x:row>
    <x:row r="42" ht="50" customHeight="1">
      <x:c r="A42" s="2"/>
      <x:c r="B42" s="2"/>
      <x:c r="C42" s="2" t="n">
        <x:v>36</x:v>
      </x:c>
      <x:c r="D42" s="2" t="n">
        <x:v>34</x:v>
      </x:c>
      <x:c r="E42" s="56" t="str">
        <x:v>Dubai Islamic Economy Development Centre</x:v>
      </x:c>
      <x:c r="F42" s="56" t="str">
        <x:v>—</x:v>
      </x:c>
      <x:c r="G42" s="3"/>
      <x:c r="H42" s="24"/>
      <x:c r="I42" s="56" t="str">
        <x:v>Entity-specific workforce and paid-user demand remain unestablished.</x:v>
      </x:c>
      <x:c r="J42" s="3"/>
      <x:c r="K42" s="3"/>
      <x:c r="L42" s="2"/>
      <x:c r="M42" s="60"/>
      <x:c r="N42" s="2"/>
    </x:row>
    <x:row r="43" ht="50" customHeight="1">
      <x:c r="A43" s="2"/>
      <x:c r="B43" s="2"/>
      <x:c r="C43" s="2" t="n">
        <x:v>37</x:v>
      </x:c>
      <x:c r="D43" s="2" t="n">
        <x:v>35</x:v>
      </x:c>
      <x:c r="E43" s="56" t="str">
        <x:v>Dubai Judicial Institute</x:v>
      </x:c>
      <x:c r="F43" s="56" t="str">
        <x:v>—</x:v>
      </x:c>
      <x:c r="G43" s="3"/>
      <x:c r="H43" s="24"/>
      <x:c r="I43" s="56" t="str">
        <x:v>Entity-specific workforce and paid-user demand remain unestablished.</x:v>
      </x:c>
      <x:c r="J43" s="3"/>
      <x:c r="K43" s="3"/>
      <x:c r="L43" s="2"/>
      <x:c r="M43" s="60"/>
      <x:c r="N43" s="2"/>
    </x:row>
    <x:row r="44" ht="50" customHeight="1">
      <x:c r="A44" s="2"/>
      <x:c r="B44" s="2"/>
      <x:c r="C44" s="2" t="n">
        <x:v>38</x:v>
      </x:c>
      <x:c r="D44" s="2" t="n">
        <x:v>36</x:v>
      </x:c>
      <x:c r="E44" s="56" t="str">
        <x:v>Dubai Land Department (DLD)</x:v>
      </x:c>
      <x:c r="F44" s="56" t="str">
        <x:v>—</x:v>
      </x:c>
      <x:c r="G44" s="3"/>
      <x:c r="H44" s="24"/>
      <x:c r="I44" s="56" t="str">
        <x:v>Entity-specific workforce and paid-user demand remain unestablished.</x:v>
      </x:c>
      <x:c r="J44" s="3"/>
      <x:c r="K44" s="3"/>
      <x:c r="L44" s="2"/>
      <x:c r="M44" s="60"/>
      <x:c r="N44" s="2"/>
    </x:row>
    <x:row r="45" ht="50" customHeight="1">
      <x:c r="A45" s="2"/>
      <x:c r="B45" s="2"/>
      <x:c r="C45" s="2" t="n">
        <x:v>39</x:v>
      </x:c>
      <x:c r="D45" s="2" t="n">
        <x:v>37</x:v>
      </x:c>
      <x:c r="E45" s="56" t="str">
        <x:v>Dubai Maritime City Authority</x:v>
      </x:c>
      <x:c r="F45" s="56" t="str">
        <x:v>—</x:v>
      </x:c>
      <x:c r="G45" s="3"/>
      <x:c r="H45" s="24"/>
      <x:c r="I45" s="56" t="str">
        <x:v>Entity-specific workforce and paid-user demand remain unestablished.</x:v>
      </x:c>
      <x:c r="J45" s="3"/>
      <x:c r="K45" s="3"/>
      <x:c r="L45" s="2"/>
      <x:c r="M45" s="60"/>
      <x:c r="N45" s="2"/>
    </x:row>
    <x:row r="46" ht="50" customHeight="1">
      <x:c r="A46" s="2"/>
      <x:c r="B46" s="2"/>
      <x:c r="C46" s="2" t="n">
        <x:v>40</x:v>
      </x:c>
      <x:c r="D46" s="2" t="n">
        <x:v>38</x:v>
      </x:c>
      <x:c r="E46" s="56" t="str">
        <x:v>Dubai Media Council</x:v>
      </x:c>
      <x:c r="F46" s="56" t="str">
        <x:v>—</x:v>
      </x:c>
      <x:c r="G46" s="3"/>
      <x:c r="H46" s="24"/>
      <x:c r="I46" s="56" t="str">
        <x:v>Entity-specific workforce and paid-user demand remain unestablished.</x:v>
      </x:c>
      <x:c r="J46" s="3"/>
      <x:c r="K46" s="3"/>
      <x:c r="L46" s="2"/>
      <x:c r="M46" s="60"/>
      <x:c r="N46" s="2"/>
    </x:row>
    <x:row r="47" ht="50" customHeight="1">
      <x:c r="A47" s="2"/>
      <x:c r="B47" s="2"/>
      <x:c r="C47" s="2" t="n">
        <x:v>41</x:v>
      </x:c>
      <x:c r="D47" s="2" t="n">
        <x:v>39</x:v>
      </x:c>
      <x:c r="E47" s="56" t="str">
        <x:v>Dubai Media Inc</x:v>
      </x:c>
      <x:c r="F47" s="56" t="str">
        <x:v>—</x:v>
      </x:c>
      <x:c r="G47" s="3"/>
      <x:c r="H47" s="24"/>
      <x:c r="I47" s="56" t="str">
        <x:v>Entity-specific workforce and paid-user demand remain unestablished.</x:v>
      </x:c>
      <x:c r="J47" s="3"/>
      <x:c r="K47" s="3"/>
      <x:c r="L47" s="2"/>
      <x:c r="M47" s="60"/>
      <x:c r="N47" s="2"/>
    </x:row>
    <x:row r="48" ht="50" customHeight="1">
      <x:c r="A48" s="2"/>
      <x:c r="B48" s="2"/>
      <x:c r="C48" s="2" t="n">
        <x:v>42</x:v>
      </x:c>
      <x:c r="D48" s="2" t="n">
        <x:v>40</x:v>
      </x:c>
      <x:c r="E48" s="56" t="str">
        <x:v>Dubai Municipality</x:v>
      </x:c>
      <x:c r="F48" s="56" t="str">
        <x:v>R10: 11,000, undated profile; not current-verified</x:v>
      </x:c>
      <x:c r="G48" s="3"/>
      <x:c r="H48" s="24"/>
      <x:c r="I48" s="56" t="str">
        <x:v>Literal duplicate of row 50; preserve raw row.</x:v>
      </x:c>
      <x:c r="J48" s="3"/>
      <x:c r="K48" s="3"/>
      <x:c r="L48" s="2"/>
      <x:c r="M48" s="60"/>
      <x:c r="N48" s="2"/>
    </x:row>
    <x:row r="49" ht="50" customHeight="1">
      <x:c r="A49" s="2"/>
      <x:c r="B49" s="2"/>
      <x:c r="C49" s="2" t="n">
        <x:v>43</x:v>
      </x:c>
      <x:c r="D49" s="2" t="n">
        <x:v>41</x:v>
      </x:c>
      <x:c r="E49" s="56" t="str">
        <x:v>Dubai Petroleum</x:v>
      </x:c>
      <x:c r="F49" s="56" t="str">
        <x:v>—</x:v>
      </x:c>
      <x:c r="G49" s="3"/>
      <x:c r="H49" s="24"/>
      <x:c r="I49" s="56" t="str">
        <x:v>Entity-specific workforce and paid-user demand remain unestablished.</x:v>
      </x:c>
      <x:c r="J49" s="3"/>
      <x:c r="K49" s="3"/>
      <x:c r="L49" s="2"/>
      <x:c r="M49" s="60"/>
      <x:c r="N49" s="2"/>
    </x:row>
    <x:row r="50" ht="50" customHeight="1">
      <x:c r="A50" s="2"/>
      <x:c r="B50" s="2"/>
      <x:c r="C50" s="2" t="n">
        <x:v>44</x:v>
      </x:c>
      <x:c r="D50" s="2" t="n">
        <x:v>42</x:v>
      </x:c>
      <x:c r="E50" s="56" t="str">
        <x:v>Dubai Police</x:v>
      </x:c>
      <x:c r="F50" s="56" t="str">
        <x:v>—</x:v>
      </x:c>
      <x:c r="G50" s="3"/>
      <x:c r="H50" s="24"/>
      <x:c r="I50" s="56" t="str">
        <x:v>Entity-specific workforce and paid-user demand remain unestablished.</x:v>
      </x:c>
      <x:c r="J50" s="3"/>
      <x:c r="K50" s="3"/>
      <x:c r="L50" s="2"/>
      <x:c r="M50" s="60"/>
      <x:c r="N50" s="2"/>
    </x:row>
    <x:row r="51" ht="50" customHeight="1">
      <x:c r="A51" s="2"/>
      <x:c r="B51" s="2"/>
      <x:c r="C51" s="2" t="n">
        <x:v>45</x:v>
      </x:c>
      <x:c r="D51" s="2" t="n">
        <x:v>43</x:v>
      </x:c>
      <x:c r="E51" s="56" t="str">
        <x:v>Dubai Public Prosecution</x:v>
      </x:c>
      <x:c r="F51" s="56" t="str">
        <x:v>—</x:v>
      </x:c>
      <x:c r="G51" s="3"/>
      <x:c r="H51" s="24"/>
      <x:c r="I51" s="56" t="str">
        <x:v>Public Prosecution alias candidate with row 75.</x:v>
      </x:c>
      <x:c r="J51" s="3"/>
      <x:c r="K51" s="3"/>
      <x:c r="L51" s="2"/>
      <x:c r="M51" s="60"/>
      <x:c r="N51" s="2"/>
    </x:row>
    <x:row r="52" ht="50" customHeight="1">
      <x:c r="A52" s="2"/>
      <x:c r="B52" s="2"/>
      <x:c r="C52" s="2" t="n">
        <x:v>46</x:v>
      </x:c>
      <x:c r="D52" s="2" t="n">
        <x:v>44</x:v>
      </x:c>
      <x:c r="E52" s="56" t="str">
        <x:v>Dubai Silicon Oasis Authority</x:v>
      </x:c>
      <x:c r="F52" s="56" t="str">
        <x:v>—</x:v>
      </x:c>
      <x:c r="G52" s="3"/>
      <x:c r="H52" s="24"/>
      <x:c r="I52" s="56" t="str">
        <x:v>R14: DIEZ zone; exclude tenant-company workforce.</x:v>
      </x:c>
      <x:c r="J52" s="3"/>
      <x:c r="K52" s="3"/>
      <x:c r="L52" s="2"/>
      <x:c r="M52" s="60"/>
      <x:c r="N52" s="2"/>
    </x:row>
    <x:row r="53" ht="50" customHeight="1">
      <x:c r="A53" s="2"/>
      <x:c r="B53" s="2"/>
      <x:c r="C53" s="2" t="n">
        <x:v>47</x:v>
      </x:c>
      <x:c r="D53" s="2" t="n">
        <x:v>45</x:v>
      </x:c>
      <x:c r="E53" s="56" t="str">
        <x:v>Dubai South</x:v>
      </x:c>
      <x:c r="F53" s="56" t="str">
        <x:v>—</x:v>
      </x:c>
      <x:c r="G53" s="3"/>
      <x:c r="H53" s="24"/>
      <x:c r="I53" s="56" t="str">
        <x:v>Entity-specific workforce and paid-user demand remain unestablished.</x:v>
      </x:c>
      <x:c r="J53" s="3"/>
      <x:c r="K53" s="3"/>
      <x:c r="L53" s="2"/>
      <x:c r="M53" s="60"/>
      <x:c r="N53" s="2"/>
    </x:row>
    <x:row r="54" ht="50" customHeight="1">
      <x:c r="A54" s="2"/>
      <x:c r="B54" s="2"/>
      <x:c r="C54" s="2" t="n">
        <x:v>48</x:v>
      </x:c>
      <x:c r="D54" s="2" t="n">
        <x:v>46</x:v>
      </x:c>
      <x:c r="E54" s="56" t="str">
        <x:v>Dubai Sports Council</x:v>
      </x:c>
      <x:c r="F54" s="56" t="str">
        <x:v>—</x:v>
      </x:c>
      <x:c r="G54" s="3"/>
      <x:c r="H54" s="24"/>
      <x:c r="I54" s="56" t="str">
        <x:v>Entity-specific workforce and paid-user demand remain unestablished.</x:v>
      </x:c>
      <x:c r="J54" s="3"/>
      <x:c r="K54" s="3"/>
      <x:c r="L54" s="2"/>
      <x:c r="M54" s="60"/>
      <x:c r="N54" s="2"/>
    </x:row>
    <x:row r="55" ht="50" customHeight="1">
      <x:c r="A55" s="2"/>
      <x:c r="B55" s="2"/>
      <x:c r="C55" s="2" t="n">
        <x:v>49</x:v>
      </x:c>
      <x:c r="D55" s="2" t="n">
        <x:v>47</x:v>
      </x:c>
      <x:c r="E55" s="56" t="str">
        <x:v>Dubai Statistics Center</x:v>
      </x:c>
      <x:c r="F55" s="56" t="str">
        <x:v>—</x:v>
      </x:c>
      <x:c r="G55" s="3"/>
      <x:c r="H55" s="24"/>
      <x:c r="I55" s="56" t="str">
        <x:v>Entity-specific workforce and paid-user demand remain unestablished.</x:v>
      </x:c>
      <x:c r="J55" s="3"/>
      <x:c r="K55" s="3"/>
      <x:c r="L55" s="2"/>
      <x:c r="M55" s="60"/>
      <x:c r="N55" s="2"/>
    </x:row>
    <x:row r="56" ht="50" customHeight="1">
      <x:c r="A56" s="2"/>
      <x:c r="B56" s="2"/>
      <x:c r="C56" s="2" t="n">
        <x:v>50</x:v>
      </x:c>
      <x:c r="D56" s="2" t="n">
        <x:v>40</x:v>
      </x:c>
      <x:c r="E56" s="56" t="str">
        <x:v>Dubai Municipality</x:v>
      </x:c>
      <x:c r="F56" s="56" t="str">
        <x:v>R10: duplicate of row 42, no additional workforce</x:v>
      </x:c>
      <x:c r="G56" s="3"/>
      <x:c r="H56" s="24"/>
      <x:c r="I56" s="56" t="str">
        <x:v>Literal duplicate of row 42; do not allocate additional users.</x:v>
      </x:c>
      <x:c r="J56" s="3"/>
      <x:c r="K56" s="3"/>
      <x:c r="L56" s="2"/>
      <x:c r="M56" s="60"/>
      <x:c r="N56" s="2"/>
    </x:row>
    <x:row r="57" ht="50" customHeight="1">
      <x:c r="A57" s="2"/>
      <x:c r="B57" s="2"/>
      <x:c r="C57" s="2" t="n">
        <x:v>51</x:v>
      </x:c>
      <x:c r="D57" s="2" t="n">
        <x:v>49</x:v>
      </x:c>
      <x:c r="E57" s="56" t="str">
        <x:v>Dubai Women Establishment</x:v>
      </x:c>
      <x:c r="F57" s="56" t="str">
        <x:v>—</x:v>
      </x:c>
      <x:c r="G57" s="3"/>
      <x:c r="H57" s="24"/>
      <x:c r="I57" s="56" t="str">
        <x:v>Entity-specific workforce and paid-user demand remain unestablished.</x:v>
      </x:c>
      <x:c r="J57" s="3"/>
      <x:c r="K57" s="3"/>
      <x:c r="L57" s="2"/>
      <x:c r="M57" s="60"/>
      <x:c r="N57" s="2"/>
    </x:row>
    <x:row r="58" ht="50" customHeight="1">
      <x:c r="A58" s="2"/>
      <x:c r="B58" s="2"/>
      <x:c r="C58" s="2" t="n">
        <x:v>52</x:v>
      </x:c>
      <x:c r="D58" s="2" t="n">
        <x:v>50</x:v>
      </x:c>
      <x:c r="E58" s="56" t="str">
        <x:v>Economic Security Center of Dubai</x:v>
      </x:c>
      <x:c r="F58" s="56" t="str">
        <x:v>—</x:v>
      </x:c>
      <x:c r="G58" s="3"/>
      <x:c r="H58" s="24"/>
      <x:c r="I58" s="56" t="str">
        <x:v>Entity-specific workforce and paid-user demand remain unestablished.</x:v>
      </x:c>
      <x:c r="J58" s="3"/>
      <x:c r="K58" s="3"/>
      <x:c r="L58" s="2"/>
      <x:c r="M58" s="60"/>
      <x:c r="N58" s="2"/>
    </x:row>
    <x:row r="59" ht="50" customHeight="1">
      <x:c r="A59" s="2"/>
      <x:c r="B59" s="2"/>
      <x:c r="C59" s="2" t="n">
        <x:v>53</x:v>
      </x:c>
      <x:c r="D59" s="2" t="n">
        <x:v>51</x:v>
      </x:c>
      <x:c r="E59" s="56" t="str">
        <x:v>Emirates International Accreditation Centre (eiac)</x:v>
      </x:c>
      <x:c r="F59" s="56" t="str">
        <x:v>—</x:v>
      </x:c>
      <x:c r="G59" s="3"/>
      <x:c r="H59" s="24"/>
      <x:c r="I59" s="56" t="str">
        <x:v>Entity-specific workforce and paid-user demand remain unestablished.</x:v>
      </x:c>
      <x:c r="J59" s="3"/>
      <x:c r="K59" s="3"/>
      <x:c r="L59" s="2"/>
      <x:c r="M59" s="60"/>
      <x:c r="N59" s="2"/>
    </x:row>
    <x:row r="60" ht="50" customHeight="1">
      <x:c r="A60" s="2"/>
      <x:c r="B60" s="2"/>
      <x:c r="C60" s="2" t="n">
        <x:v>54</x:v>
      </x:c>
      <x:c r="D60" s="2" t="n">
        <x:v>52</x:v>
      </x:c>
      <x:c r="E60" s="56" t="str">
        <x:v>Endowment And Minor Trust Foundation</x:v>
      </x:c>
      <x:c r="F60" s="56" t="str">
        <x:v>—</x:v>
      </x:c>
      <x:c r="G60" s="3"/>
      <x:c r="H60" s="24"/>
      <x:c r="I60" s="56" t="str">
        <x:v>Awqaf/Islamic Affairs naming requires review with row 60.</x:v>
      </x:c>
      <x:c r="J60" s="3"/>
      <x:c r="K60" s="3"/>
      <x:c r="L60" s="2"/>
      <x:c r="M60" s="60"/>
      <x:c r="N60" s="2"/>
    </x:row>
    <x:row r="61" ht="50" customHeight="1">
      <x:c r="A61" s="2"/>
      <x:c r="B61" s="2"/>
      <x:c r="C61" s="2" t="n">
        <x:v>55</x:v>
      </x:c>
      <x:c r="D61" s="2" t="n">
        <x:v>53</x:v>
      </x:c>
      <x:c r="E61" s="56" t="str">
        <x:v>Financial Audit Authority</x:v>
      </x:c>
      <x:c r="F61" s="56" t="str">
        <x:v>—</x:v>
      </x:c>
      <x:c r="G61" s="3"/>
      <x:c r="H61" s="24"/>
      <x:c r="I61" s="56" t="str">
        <x:v>Entity-specific workforce and paid-user demand remain unestablished.</x:v>
      </x:c>
      <x:c r="J61" s="3"/>
      <x:c r="K61" s="3"/>
      <x:c r="L61" s="2"/>
      <x:c r="M61" s="60"/>
      <x:c r="N61" s="2"/>
    </x:row>
    <x:row r="62" ht="50" customHeight="1">
      <x:c r="A62" s="2"/>
      <x:c r="B62" s="2"/>
      <x:c r="C62" s="2" t="n">
        <x:v>56</x:v>
      </x:c>
      <x:c r="D62" s="2" t="n">
        <x:v>54</x:v>
      </x:c>
      <x:c r="E62" s="56" t="str">
        <x:v>General Directorate of Residency and Forigners Affairs - Dubai</x:v>
      </x:c>
      <x:c r="F62" s="56" t="str">
        <x:v>—</x:v>
      </x:c>
      <x:c r="G62" s="3"/>
      <x:c r="H62" s="24"/>
      <x:c r="I62" s="56" t="str">
        <x:v>Entity-specific workforce and paid-user demand remain unestablished.</x:v>
      </x:c>
      <x:c r="J62" s="3"/>
      <x:c r="K62" s="3"/>
      <x:c r="L62" s="2"/>
      <x:c r="M62" s="60"/>
      <x:c r="N62" s="2"/>
    </x:row>
    <x:row r="63" ht="50" customHeight="1">
      <x:c r="A63" s="2"/>
      <x:c r="B63" s="2"/>
      <x:c r="C63" s="2" t="n">
        <x:v>57</x:v>
      </x:c>
      <x:c r="D63" s="2" t="n">
        <x:v>55</x:v>
      </x:c>
      <x:c r="E63" s="56" t="str">
        <x:v>Hamdan Bin Mohammed Smart University</x:v>
      </x:c>
      <x:c r="F63" s="56" t="str">
        <x:v>—</x:v>
      </x:c>
      <x:c r="G63" s="3"/>
      <x:c r="H63" s="24"/>
      <x:c r="I63" s="56" t="str">
        <x:v>Entity-specific workforce and paid-user demand remain unestablished.</x:v>
      </x:c>
      <x:c r="J63" s="3"/>
      <x:c r="K63" s="3"/>
      <x:c r="L63" s="2"/>
      <x:c r="M63" s="60"/>
      <x:c r="N63" s="2"/>
    </x:row>
    <x:row r="64" ht="50" customHeight="1">
      <x:c r="A64" s="2"/>
      <x:c r="B64" s="2"/>
      <x:c r="C64" s="2" t="n">
        <x:v>58</x:v>
      </x:c>
      <x:c r="D64" s="2" t="n">
        <x:v>56</x:v>
      </x:c>
      <x:c r="E64" s="56" t="str">
        <x:v>International City for Humanitarian Services</x:v>
      </x:c>
      <x:c r="F64" s="56" t="str">
        <x:v>—</x:v>
      </x:c>
      <x:c r="G64" s="3"/>
      <x:c r="H64" s="24"/>
      <x:c r="I64" s="56" t="str">
        <x:v>Entity-specific workforce and paid-user demand remain unestablished.</x:v>
      </x:c>
      <x:c r="J64" s="3"/>
      <x:c r="K64" s="3"/>
      <x:c r="L64" s="2"/>
      <x:c r="M64" s="60"/>
      <x:c r="N64" s="2"/>
    </x:row>
    <x:row r="65" ht="50" customHeight="1">
      <x:c r="A65" s="2"/>
      <x:c r="B65" s="2"/>
      <x:c r="C65" s="2" t="n">
        <x:v>59</x:v>
      </x:c>
      <x:c r="D65" s="2" t="n">
        <x:v>57</x:v>
      </x:c>
      <x:c r="E65" s="56" t="str">
        <x:v>Investment Corporation of Dubai</x:v>
      </x:c>
      <x:c r="F65" s="56" t="str">
        <x:v>—</x:v>
      </x:c>
      <x:c r="G65" s="3" t="n">
        <x:v>150</x:v>
      </x:c>
      <x:c r="H65" s="24"/>
      <x:c r="I65" s="56" t="str">
        <x:v>R15: exclude ICD-affiliated-network counts; corporate scope needed.</x:v>
      </x:c>
      <x:c r="J65" s="3"/>
      <x:c r="K65" s="3"/>
      <x:c r="L65" s="2"/>
      <x:c r="M65" s="60"/>
      <x:c r="N65" s="2"/>
    </x:row>
    <x:row r="66" ht="50" customHeight="1">
      <x:c r="A66" s="2"/>
      <x:c r="B66" s="2"/>
      <x:c r="C66" s="2" t="n">
        <x:v>60</x:v>
      </x:c>
      <x:c r="D66" s="2" t="n">
        <x:v>58</x:v>
      </x:c>
      <x:c r="E66" s="56" t="str">
        <x:v>Islamic Affairs &amp; Charitable Activities Department (Awqaf Dubai)</x:v>
      </x:c>
      <x:c r="F66" s="56" t="str">
        <x:v>—</x:v>
      </x:c>
      <x:c r="G66" s="3"/>
      <x:c r="H66" s="24"/>
      <x:c r="I66" s="56" t="str">
        <x:v>Awqaf/Islamic Affairs naming requires review with row 54.</x:v>
      </x:c>
      <x:c r="J66" s="3"/>
      <x:c r="K66" s="3"/>
      <x:c r="L66" s="2"/>
      <x:c r="M66" s="60"/>
      <x:c r="N66" s="2"/>
    </x:row>
    <x:row r="67" ht="50" customHeight="1">
      <x:c r="A67" s="2"/>
      <x:c r="B67" s="2"/>
      <x:c r="C67" s="2" t="n">
        <x:v>61</x:v>
      </x:c>
      <x:c r="D67" s="2" t="n">
        <x:v>59</x:v>
      </x:c>
      <x:c r="E67" s="56" t="str">
        <x:v>Jabel Ali Free Zone</x:v>
      </x:c>
      <x:c r="F67" s="56" t="str">
        <x:v>—</x:v>
      </x:c>
      <x:c r="G67" s="3"/>
      <x:c r="H67" s="24"/>
      <x:c r="I67" s="56" t="str">
        <x:v>Free-zone authority vs tenant workforce must be separated.</x:v>
      </x:c>
      <x:c r="J67" s="3"/>
      <x:c r="K67" s="3"/>
      <x:c r="L67" s="2"/>
      <x:c r="M67" s="60"/>
      <x:c r="N67" s="2"/>
    </x:row>
    <x:row r="68" ht="50" customHeight="1">
      <x:c r="A68" s="2"/>
      <x:c r="B68" s="2"/>
      <x:c r="C68" s="2" t="n">
        <x:v>62</x:v>
      </x:c>
      <x:c r="D68" s="2" t="n">
        <x:v>60</x:v>
      </x:c>
      <x:c r="E68" s="56" t="str">
        <x:v>Khbrati</x:v>
      </x:c>
      <x:c r="F68" s="56" t="str">
        <x:v>—</x:v>
      </x:c>
      <x:c r="G68" s="3"/>
      <x:c r="H68" s="24"/>
      <x:c r="I68" s="56" t="str">
        <x:v>Entity-specific workforce and paid-user demand remain unestablished.</x:v>
      </x:c>
      <x:c r="J68" s="3"/>
      <x:c r="K68" s="3"/>
      <x:c r="L68" s="2"/>
      <x:c r="M68" s="60"/>
      <x:c r="N68" s="2"/>
    </x:row>
    <x:row r="69" ht="50" customHeight="1">
      <x:c r="A69" s="2"/>
      <x:c r="B69" s="2"/>
      <x:c r="C69" s="2" t="n">
        <x:v>63</x:v>
      </x:c>
      <x:c r="D69" s="2" t="n">
        <x:v>61</x:v>
      </x:c>
      <x:c r="E69" s="56" t="str">
        <x:v>Knowledge and Human Development Authority</x:v>
      </x:c>
      <x:c r="F69" s="56" t="str">
        <x:v>—</x:v>
      </x:c>
      <x:c r="G69" s="3"/>
      <x:c r="H69" s="24"/>
      <x:c r="I69" s="56" t="str">
        <x:v>Entity-specific workforce and paid-user demand remain unestablished.</x:v>
      </x:c>
      <x:c r="J69" s="3"/>
      <x:c r="K69" s="3"/>
      <x:c r="L69" s="2"/>
      <x:c r="M69" s="60"/>
      <x:c r="N69" s="2"/>
    </x:row>
    <x:row r="70" ht="50" customHeight="1">
      <x:c r="A70" s="2"/>
      <x:c r="B70" s="2"/>
      <x:c r="C70" s="2" t="n">
        <x:v>64</x:v>
      </x:c>
      <x:c r="D70" s="2" t="n">
        <x:v>62</x:v>
      </x:c>
      <x:c r="E70" s="56" t="str">
        <x:v>Knowledge Fund Foundation</x:v>
      </x:c>
      <x:c r="F70" s="56" t="str">
        <x:v>—</x:v>
      </x:c>
      <x:c r="G70" s="3"/>
      <x:c r="H70" s="24"/>
      <x:c r="I70" s="56" t="str">
        <x:v>Entity-specific workforce and paid-user demand remain unestablished.</x:v>
      </x:c>
      <x:c r="J70" s="3"/>
      <x:c r="K70" s="3"/>
      <x:c r="L70" s="2"/>
      <x:c r="M70" s="60"/>
      <x:c r="N70" s="2"/>
    </x:row>
    <x:row r="71" ht="50" customHeight="1">
      <x:c r="A71" s="2"/>
      <x:c r="B71" s="2"/>
      <x:c r="C71" s="2" t="n">
        <x:v>65</x:v>
      </x:c>
      <x:c r="D71" s="2" t="n">
        <x:v>63</x:v>
      </x:c>
      <x:c r="E71" s="56" t="str">
        <x:v>Mohamed Bin Rashid Space Centre</x:v>
      </x:c>
      <x:c r="F71" s="56" t="str">
        <x:v>—</x:v>
      </x:c>
      <x:c r="G71" s="3"/>
      <x:c r="H71" s="24"/>
      <x:c r="I71" s="56" t="str">
        <x:v>Entity-specific workforce and paid-user demand remain unestablished.</x:v>
      </x:c>
      <x:c r="J71" s="3"/>
      <x:c r="K71" s="3"/>
      <x:c r="L71" s="2"/>
      <x:c r="M71" s="60"/>
      <x:c r="N71" s="2"/>
    </x:row>
    <x:row r="72" ht="50" customHeight="1">
      <x:c r="A72" s="2"/>
      <x:c r="B72" s="2"/>
      <x:c r="C72" s="2" t="n">
        <x:v>66</x:v>
      </x:c>
      <x:c r="D72" s="2" t="n">
        <x:v>64</x:v>
      </x:c>
      <x:c r="E72" s="56" t="str">
        <x:v>Mohammed Bin Rashid Al Maktoum Knowledge Foundation</x:v>
      </x:c>
      <x:c r="F72" s="56" t="str">
        <x:v>—</x:v>
      </x:c>
      <x:c r="G72" s="3"/>
      <x:c r="H72" s="24"/>
      <x:c r="I72" s="56" t="str">
        <x:v>Entity-specific workforce and paid-user demand remain unestablished.</x:v>
      </x:c>
      <x:c r="J72" s="3"/>
      <x:c r="K72" s="3"/>
      <x:c r="L72" s="2"/>
      <x:c r="M72" s="60"/>
      <x:c r="N72" s="2"/>
    </x:row>
    <x:row r="73" ht="50" customHeight="1">
      <x:c r="A73" s="2"/>
      <x:c r="B73" s="2"/>
      <x:c r="C73" s="2" t="n">
        <x:v>67</x:v>
      </x:c>
      <x:c r="D73" s="2" t="n">
        <x:v>65</x:v>
      </x:c>
      <x:c r="E73" s="56" t="str">
        <x:v>Mohammed Bin Rashid Al Maktoum Library Foundation</x:v>
      </x:c>
      <x:c r="F73" s="56" t="str">
        <x:v>—</x:v>
      </x:c>
      <x:c r="G73" s="3"/>
      <x:c r="H73" s="24"/>
      <x:c r="I73" s="56" t="str">
        <x:v>Entity-specific workforce and paid-user demand remain unestablished.</x:v>
      </x:c>
      <x:c r="J73" s="3"/>
      <x:c r="K73" s="3"/>
      <x:c r="L73" s="2"/>
      <x:c r="M73" s="60"/>
      <x:c r="N73" s="2"/>
    </x:row>
    <x:row r="74" ht="50" customHeight="1">
      <x:c r="A74" s="2"/>
      <x:c r="B74" s="2"/>
      <x:c r="C74" s="2" t="n">
        <x:v>68</x:v>
      </x:c>
      <x:c r="D74" s="2" t="n">
        <x:v>66</x:v>
      </x:c>
      <x:c r="E74" s="56" t="str">
        <x:v>Mohammed Bin Rashid Housing Establishment</x:v>
      </x:c>
      <x:c r="F74" s="56" t="str">
        <x:v>—</x:v>
      </x:c>
      <x:c r="G74" s="3"/>
      <x:c r="H74" s="24"/>
      <x:c r="I74" s="56" t="str">
        <x:v>Entity-specific workforce and paid-user demand remain unestablished.</x:v>
      </x:c>
      <x:c r="J74" s="3"/>
      <x:c r="K74" s="3"/>
      <x:c r="L74" s="2"/>
      <x:c r="M74" s="60"/>
      <x:c r="N74" s="2"/>
    </x:row>
    <x:row r="75" ht="50" customHeight="1">
      <x:c r="A75" s="2"/>
      <x:c r="B75" s="2"/>
      <x:c r="C75" s="2" t="n">
        <x:v>69</x:v>
      </x:c>
      <x:c r="D75" s="2" t="n">
        <x:v>67</x:v>
      </x:c>
      <x:c r="E75" s="56" t="str">
        <x:v>Mohammed Bin Rashid School of Government</x:v>
      </x:c>
      <x:c r="F75" s="56" t="str">
        <x:v>—</x:v>
      </x:c>
      <x:c r="G75" s="3"/>
      <x:c r="H75" s="24"/>
      <x:c r="I75" s="56" t="str">
        <x:v>Entity-specific workforce and paid-user demand remain unestablished.</x:v>
      </x:c>
      <x:c r="J75" s="3"/>
      <x:c r="K75" s="3"/>
      <x:c r="L75" s="2"/>
      <x:c r="M75" s="60"/>
      <x:c r="N75" s="2"/>
    </x:row>
    <x:row r="76" ht="50" customHeight="1">
      <x:c r="A76" s="2"/>
      <x:c r="B76" s="2"/>
      <x:c r="C76" s="2" t="n">
        <x:v>70</x:v>
      </x:c>
      <x:c r="D76" s="2" t="n">
        <x:v>68</x:v>
      </x:c>
      <x:c r="E76" s="56" t="str">
        <x:v>National Bonds</x:v>
      </x:c>
      <x:c r="F76" s="56" t="str">
        <x:v>—</x:v>
      </x:c>
      <x:c r="G76" s="3"/>
      <x:c r="H76" s="24"/>
      <x:c r="I76" s="56" t="str">
        <x:v>Entity-specific workforce and paid-user demand remain unestablished.</x:v>
      </x:c>
      <x:c r="J76" s="3"/>
      <x:c r="K76" s="3"/>
      <x:c r="L76" s="2"/>
      <x:c r="M76" s="60"/>
      <x:c r="N76" s="2"/>
    </x:row>
    <x:row r="77" ht="50" customHeight="1">
      <x:c r="A77" s="2"/>
      <x:c r="B77" s="2"/>
      <x:c r="C77" s="2" t="n">
        <x:v>71</x:v>
      </x:c>
      <x:c r="D77" s="2" t="n">
        <x:v>69</x:v>
      </x:c>
      <x:c r="E77" s="56" t="str">
        <x:v>Nedaa - Professional Communication Corporation</x:v>
      </x:c>
      <x:c r="F77" s="56" t="str">
        <x:v>—</x:v>
      </x:c>
      <x:c r="G77" s="3"/>
      <x:c r="H77" s="24"/>
      <x:c r="I77" s="56" t="str">
        <x:v>R12: same named organization as row 73.</x:v>
      </x:c>
      <x:c r="J77" s="3"/>
      <x:c r="K77" s="3"/>
      <x:c r="L77" s="2"/>
      <x:c r="M77" s="60"/>
      <x:c r="N77" s="2"/>
    </x:row>
    <x:row r="78" ht="50" customHeight="1">
      <x:c r="A78" s="2"/>
      <x:c r="B78" s="2"/>
      <x:c r="C78" s="2" t="n">
        <x:v>72</x:v>
      </x:c>
      <x:c r="D78" s="2" t="n">
        <x:v>70</x:v>
      </x:c>
      <x:c r="E78" s="56" t="str">
        <x:v>Ports, Customs and Free Zone Corporation (PCFC)</x:v>
      </x:c>
      <x:c r="F78" s="56" t="str">
        <x:v>—</x:v>
      </x:c>
      <x:c r="G78" s="3" t="n">
        <x:v>20</x:v>
      </x:c>
      <x:c r="H78" s="24"/>
      <x:c r="I78" s="56" t="str">
        <x:v>PCFC, Trakhees and Customs workforce boundaries need confirmation.</x:v>
      </x:c>
      <x:c r="J78" s="3"/>
      <x:c r="K78" s="3"/>
      <x:c r="L78" s="2"/>
      <x:c r="M78" s="60"/>
      <x:c r="N78" s="2"/>
    </x:row>
    <x:row r="79" ht="50" customHeight="1">
      <x:c r="A79" s="2"/>
      <x:c r="B79" s="2"/>
      <x:c r="C79" s="2" t="n">
        <x:v>73</x:v>
      </x:c>
      <x:c r="D79" s="2" t="n">
        <x:v>71</x:v>
      </x:c>
      <x:c r="E79" s="56" t="str">
        <x:v>Professional Communication Corporation 'Nedaa'</x:v>
      </x:c>
      <x:c r="F79" s="56" t="str">
        <x:v>—</x:v>
      </x:c>
      <x:c r="G79" s="3"/>
      <x:c r="H79" s="24"/>
      <x:c r="I79" s="56" t="str">
        <x:v>R12: same named organization as row 71.</x:v>
      </x:c>
      <x:c r="J79" s="3"/>
      <x:c r="K79" s="3"/>
      <x:c r="L79" s="2"/>
      <x:c r="M79" s="60"/>
      <x:c r="N79" s="2"/>
    </x:row>
    <x:row r="80" ht="50" customHeight="1">
      <x:c r="A80" s="2"/>
      <x:c r="B80" s="2"/>
      <x:c r="C80" s="2" t="n">
        <x:v>74</x:v>
      </x:c>
      <x:c r="D80" s="2" t="n">
        <x:v>72</x:v>
      </x:c>
      <x:c r="E80" s="56" t="str">
        <x:v>Protocol Department</x:v>
      </x:c>
      <x:c r="F80" s="56" t="str">
        <x:v>—</x:v>
      </x:c>
      <x:c r="G80" s="3"/>
      <x:c r="H80" s="24"/>
      <x:c r="I80" s="56" t="str">
        <x:v>Entity-specific workforce and paid-user demand remain unestablished.</x:v>
      </x:c>
      <x:c r="J80" s="3"/>
      <x:c r="K80" s="3"/>
      <x:c r="L80" s="2"/>
      <x:c r="M80" s="60"/>
      <x:c r="N80" s="2"/>
    </x:row>
    <x:row r="81" ht="50" customHeight="1">
      <x:c r="A81" s="2"/>
      <x:c r="B81" s="2"/>
      <x:c r="C81" s="2" t="n">
        <x:v>75</x:v>
      </x:c>
      <x:c r="D81" s="2" t="n">
        <x:v>73</x:v>
      </x:c>
      <x:c r="E81" s="56" t="str">
        <x:v>Public Prosecution</x:v>
      </x:c>
      <x:c r="F81" s="56" t="str">
        <x:v>—</x:v>
      </x:c>
      <x:c r="G81" s="3"/>
      <x:c r="H81" s="24"/>
      <x:c r="I81" s="56" t="str">
        <x:v>Public Prosecution alias candidate with row 45.</x:v>
      </x:c>
      <x:c r="J81" s="3"/>
      <x:c r="K81" s="3"/>
      <x:c r="L81" s="2"/>
      <x:c r="M81" s="60"/>
      <x:c r="N81" s="2"/>
    </x:row>
    <x:row r="82" ht="50" customHeight="1">
      <x:c r="A82" s="2"/>
      <x:c r="B82" s="2"/>
      <x:c r="C82" s="2" t="n">
        <x:v>76</x:v>
      </x:c>
      <x:c r="D82" s="2" t="n">
        <x:v>74</x:v>
      </x:c>
      <x:c r="E82" s="56" t="str">
        <x:v>Roads and Transport Authority (RTA)</x:v>
      </x:c>
      <x:c r="F82" s="56" t="str">
        <x:v>R08: 3,259 (2024), candidate; scope unverified</x:v>
      </x:c>
      <x:c r="G82" s="3" t="n">
        <x:v>1000</x:v>
      </x:c>
      <x:c r="H82" s="24"/>
      <x:c r="I82" s="56" t="str">
        <x:v>S07: include as subscription in proposed model; current CAPEX remains fact.</x:v>
      </x:c>
      <x:c r="J82" s="3"/>
      <x:c r="K82" s="3"/>
      <x:c r="L82" s="2"/>
      <x:c r="M82" s="60"/>
      <x:c r="N82" s="2"/>
    </x:row>
    <x:row r="83" ht="50" customHeight="1">
      <x:c r="A83" s="2"/>
      <x:c r="B83" s="2"/>
      <x:c r="C83" s="2" t="n">
        <x:v>77</x:v>
      </x:c>
      <x:c r="D83" s="2" t="n">
        <x:v>75</x:v>
      </x:c>
      <x:c r="E83" s="56" t="str">
        <x:v>Security Industry Regulatory Authority</x:v>
      </x:c>
      <x:c r="F83" s="56" t="str">
        <x:v>—</x:v>
      </x:c>
      <x:c r="G83" s="3"/>
      <x:c r="H83" s="24"/>
      <x:c r="I83" s="56" t="str">
        <x:v>Entity-specific workforce and paid-user demand remain unestablished.</x:v>
      </x:c>
      <x:c r="J83" s="3"/>
      <x:c r="K83" s="3"/>
      <x:c r="L83" s="2"/>
      <x:c r="M83" s="60"/>
      <x:c r="N83" s="2"/>
    </x:row>
    <x:row r="84" ht="50" customHeight="1">
      <x:c r="A84" s="2"/>
      <x:c r="B84" s="2"/>
      <x:c r="C84" s="2" t="n">
        <x:v>78</x:v>
      </x:c>
      <x:c r="D84" s="2" t="n">
        <x:v>76</x:v>
      </x:c>
      <x:c r="E84" s="56" t="str">
        <x:v>State Security - Dubai</x:v>
      </x:c>
      <x:c r="F84" s="56" t="str">
        <x:v>—</x:v>
      </x:c>
      <x:c r="G84" s="3"/>
      <x:c r="H84" s="24"/>
      <x:c r="I84" s="56" t="str">
        <x:v>Entity-specific workforce and paid-user demand remain unestablished.</x:v>
      </x:c>
      <x:c r="J84" s="3"/>
      <x:c r="K84" s="3"/>
      <x:c r="L84" s="2"/>
      <x:c r="M84" s="60"/>
      <x:c r="N84" s="2"/>
    </x:row>
    <x:row r="85" ht="50" customHeight="1">
      <x:c r="A85" s="2"/>
      <x:c r="B85" s="2"/>
      <x:c r="C85" s="2" t="n">
        <x:v>79</x:v>
      </x:c>
      <x:c r="D85" s="2" t="n">
        <x:v>77</x:v>
      </x:c>
      <x:c r="E85" s="56" t="str">
        <x:v>Supreme Council of Energy Dubai</x:v>
      </x:c>
      <x:c r="F85" s="56" t="str">
        <x:v>—</x:v>
      </x:c>
      <x:c r="G85" s="3"/>
      <x:c r="H85" s="24"/>
      <x:c r="I85" s="56" t="str">
        <x:v>Entity-specific workforce and paid-user demand remain unestablished.</x:v>
      </x:c>
      <x:c r="J85" s="3"/>
      <x:c r="K85" s="3"/>
      <x:c r="L85" s="2"/>
      <x:c r="M85" s="60"/>
      <x:c r="N85" s="2"/>
    </x:row>
    <x:row r="86" ht="50" customHeight="1">
      <x:c r="A86" s="2"/>
      <x:c r="B86" s="2"/>
      <x:c r="C86" s="2" t="n">
        <x:v>80</x:v>
      </x:c>
      <x:c r="D86" s="2" t="n">
        <x:v>78</x:v>
      </x:c>
      <x:c r="E86" s="56" t="str">
        <x:v>Supreme Legislation Committee</x:v>
      </x:c>
      <x:c r="F86" s="56" t="str">
        <x:v>—</x:v>
      </x:c>
      <x:c r="G86" s="3"/>
      <x:c r="H86" s="24"/>
      <x:c r="I86" s="56" t="str">
        <x:v>R18: Supreme Legislation Committee alias with row 85.</x:v>
      </x:c>
      <x:c r="J86" s="3"/>
      <x:c r="K86" s="3"/>
      <x:c r="L86" s="2"/>
      <x:c r="M86" s="60"/>
      <x:c r="N86" s="2"/>
    </x:row>
    <x:row r="87" ht="50" customHeight="1">
      <x:c r="A87" s="2"/>
      <x:c r="B87" s="2"/>
      <x:c r="C87" s="2" t="n">
        <x:v>81</x:v>
      </x:c>
      <x:c r="D87" s="2" t="n">
        <x:v>79</x:v>
      </x:c>
      <x:c r="E87" s="56" t="str">
        <x:v>The Executive Council - Dubai</x:v>
      </x:c>
      <x:c r="F87" s="56" t="str">
        <x:v>—</x:v>
      </x:c>
      <x:c r="G87" s="3"/>
      <x:c r="H87" s="24"/>
      <x:c r="I87" s="56" t="str">
        <x:v>Entity-specific workforce and paid-user demand remain unestablished.</x:v>
      </x:c>
      <x:c r="J87" s="3"/>
      <x:c r="K87" s="3"/>
      <x:c r="L87" s="2"/>
      <x:c r="M87" s="60"/>
      <x:c r="N87" s="2"/>
    </x:row>
    <x:row r="88" ht="50" customHeight="1">
      <x:c r="A88" s="2"/>
      <x:c r="B88" s="2"/>
      <x:c r="C88" s="2" t="n">
        <x:v>82</x:v>
      </x:c>
      <x:c r="D88" s="2" t="n">
        <x:v>80</x:v>
      </x:c>
      <x:c r="E88" s="56" t="str">
        <x:v>The Governement of Dubai Human Resources Department</x:v>
      </x:c>
      <x:c r="F88" s="56" t="str">
        <x:v>—</x:v>
      </x:c>
      <x:c r="G88" s="3"/>
      <x:c r="H88" s="24"/>
      <x:c r="I88" s="56" t="str">
        <x:v>Human Resources alias candidate with row 31.</x:v>
      </x:c>
      <x:c r="J88" s="3"/>
      <x:c r="K88" s="3"/>
      <x:c r="L88" s="2"/>
      <x:c r="M88" s="60"/>
      <x:c r="N88" s="2"/>
    </x:row>
    <x:row r="89" ht="50" customHeight="1">
      <x:c r="A89" s="2"/>
      <x:c r="B89" s="2"/>
      <x:c r="C89" s="2" t="n">
        <x:v>83</x:v>
      </x:c>
      <x:c r="D89" s="2" t="n">
        <x:v>81</x:v>
      </x:c>
      <x:c r="E89" s="56" t="str">
        <x:v>The Government of Dubai Legal Affairs Department</x:v>
      </x:c>
      <x:c r="F89" s="56" t="str">
        <x:v>—</x:v>
      </x:c>
      <x:c r="G89" s="3"/>
      <x:c r="H89" s="24"/>
      <x:c r="I89" s="56" t="str">
        <x:v>Entity-specific workforce and paid-user demand remain unestablished.</x:v>
      </x:c>
      <x:c r="J89" s="3"/>
      <x:c r="K89" s="3"/>
      <x:c r="L89" s="2"/>
      <x:c r="M89" s="60"/>
      <x:c r="N89" s="2"/>
    </x:row>
    <x:row r="90" ht="50" customHeight="1">
      <x:c r="A90" s="2"/>
      <x:c r="B90" s="2"/>
      <x:c r="C90" s="2" t="n">
        <x:v>84</x:v>
      </x:c>
      <x:c r="D90" s="2" t="n">
        <x:v>82</x:v>
      </x:c>
      <x:c r="E90" s="56" t="str">
        <x:v>The Government of Dubai Media Office</x:v>
      </x:c>
      <x:c r="F90" s="56" t="str">
        <x:v>—</x:v>
      </x:c>
      <x:c r="G90" s="3"/>
      <x:c r="H90" s="24"/>
      <x:c r="I90" s="56" t="str">
        <x:v>Entity-specific workforce and paid-user demand remain unestablished.</x:v>
      </x:c>
      <x:c r="J90" s="3"/>
      <x:c r="K90" s="3"/>
      <x:c r="L90" s="2"/>
      <x:c r="M90" s="60"/>
      <x:c r="N90" s="2"/>
    </x:row>
    <x:row r="91" ht="50" customHeight="1">
      <x:c r="A91" s="2"/>
      <x:c r="B91" s="2"/>
      <x:c r="C91" s="2" t="n">
        <x:v>85</x:v>
      </x:c>
      <x:c r="D91" s="2" t="n">
        <x:v>83</x:v>
      </x:c>
      <x:c r="E91" s="56" t="str">
        <x:v>The Supreme Legislation Committee</x:v>
      </x:c>
      <x:c r="F91" s="56" t="str">
        <x:v>—</x:v>
      </x:c>
      <x:c r="G91" s="3"/>
      <x:c r="H91" s="24"/>
      <x:c r="I91" s="56" t="str">
        <x:v>R18: Supreme Legislation Committee alias with row 80.</x:v>
      </x:c>
      <x:c r="J91" s="3"/>
      <x:c r="K91" s="3"/>
      <x:c r="L91" s="2"/>
      <x:c r="M91" s="2"/>
      <x:c r="N91" s="2"/>
    </x:row>
    <x:row r="92" ht="50" customHeight="1">
      <x:c r="A92" s="2"/>
      <x:c r="B92" s="2"/>
      <x:c r="C92" s="2" t="n">
        <x:v>86</x:v>
      </x:c>
      <x:c r="D92" s="2" t="n">
        <x:v>84</x:v>
      </x:c>
      <x:c r="E92" s="56" t="str">
        <x:v>Trakhees Corporation</x:v>
      </x:c>
      <x:c r="F92" s="56" t="str">
        <x:v>—</x:v>
      </x:c>
      <x:c r="G92" s="3"/>
      <x:c r="H92" s="24"/>
      <x:c r="I92" s="56" t="str">
        <x:v>PCFC/Trakhees scope needs confirmation.</x:v>
      </x:c>
      <x:c r="J92" s="3"/>
      <x:c r="K92" s="3"/>
      <x:c r="L92" s="2"/>
      <x:c r="M92" s="2"/>
      <x:c r="N92" s="2"/>
    </x:row>
    <x:row r="93" ht="50" customHeight="1">
      <x:c r="A93" s="2"/>
      <x:c r="B93" s="2"/>
      <x:c r="C93" s="2" t="n">
        <x:v>87</x:v>
      </x:c>
      <x:c r="D93" s="2" t="n">
        <x:v>85</x:v>
      </x:c>
      <x:c r="E93" s="56" t="str">
        <x:v>UAE Food Bank</x:v>
      </x:c>
      <x:c r="F93" s="56" t="str">
        <x:v>—</x:v>
      </x:c>
      <x:c r="G93" s="3"/>
      <x:c r="H93" s="24"/>
      <x:c r="I93" s="56" t="str">
        <x:v>Program vs standalone employer scope needs confirmation.</x:v>
      </x:c>
      <x:c r="J93" s="3"/>
      <x:c r="K93" s="3"/>
      <x:c r="L93" s="2"/>
      <x:c r="M93" s="2"/>
      <x:c r="N93" s="2"/>
    </x:row>
    <x:row r="94" ht="50" customHeight="1">
      <x:c r="A94" s="2"/>
      <x:c r="B94" s="2"/>
      <x:c r="C94" s="2" t="n">
        <x:v>88</x:v>
      </x:c>
      <x:c r="D94" s="2" t="n">
        <x:v>86</x:v>
      </x:c>
      <x:c r="E94" s="56" t="str">
        <x:v>Visit Dubai</x:v>
      </x:c>
      <x:c r="F94" s="56" t="str">
        <x:v>—</x:v>
      </x:c>
      <x:c r="G94" s="3"/>
      <x:c r="H94" s="24"/>
      <x:c r="I94" s="56" t="str">
        <x:v>DET-related brand scope requires confirmation; no workforce assigned.</x:v>
      </x:c>
      <x:c r="J94" s="3"/>
      <x:c r="K94" s="3"/>
      <x:c r="L94" s="2"/>
      <x:c r="M94" s="2"/>
      <x:c r="N94" s="2"/>
    </x:row>
    <x:row r="95" ht="50" customHeight="1">
      <x:c r="A95" s="2"/>
      <x:c r="B95" s="2"/>
      <x:c r="C95" s="2" t="n">
        <x:v>89</x:v>
      </x:c>
      <x:c r="D95" s="2" t="n">
        <x:v>87</x:v>
      </x:c>
      <x:c r="E95" s="56" t="str">
        <x:v>Emirates Integrated Telecommunications Company (du)</x:v>
      </x:c>
      <x:c r="F95" s="56" t="str">
        <x:v>R04: 2,687 (2025); source period inconsistency noted</x:v>
      </x:c>
      <x:c r="G95" s="3"/>
      <x:c r="H95" s="24"/>
      <x:c r="I95" s="56" t="str">
        <x:v>R04: corporate workforce; DDA procurement eligibility to confirm.</x:v>
      </x:c>
      <x:c r="J95" s="3"/>
      <x:c r="K95" s="3"/>
      <x:c r="L95" s="2"/>
      <x:c r="M95" s="2"/>
      <x:c r="N95" s="2"/>
    </x:row>
    <x:row r="96" ht="50" customHeight="1">
      <x:c r="A96" s="2"/>
      <x:c r="B96" s="2"/>
      <x:c r="C96" s="2" t="n">
        <x:v>90</x:v>
      </x:c>
      <x:c r="D96" s="2" t="n">
        <x:v>88</x:v>
      </x:c>
      <x:c r="E96" s="56" t="str">
        <x:v>Mohammed Bin Rashid Al Maktoum Global Initiatives</x:v>
      </x:c>
      <x:c r="F96" s="56" t="str">
        <x:v>—</x:v>
      </x:c>
      <x:c r="G96" s="3"/>
      <x:c r="H96" s="24"/>
      <x:c r="I96" s="56" t="str">
        <x:v>Entity-specific workforce and paid-user demand remain unestablished.</x:v>
      </x:c>
      <x:c r="J96" s="3"/>
      <x:c r="K96" s="3"/>
      <x:c r="L96" s="2"/>
      <x:c r="M96" s="2"/>
      <x:c r="N96" s="2"/>
    </x:row>
    <x:row r="97" ht="50" customHeight="1">
      <x:c r="A97" s="2"/>
      <x:c r="B97" s="2"/>
      <x:c r="C97" s="2" t="n">
        <x:v>91</x:v>
      </x:c>
      <x:c r="D97" s="2" t="n">
        <x:v>89</x:v>
      </x:c>
      <x:c r="E97" s="56" t="str">
        <x:v>Mohammed Bin Rashid Centre for Government Innovation - Dubai</x:v>
      </x:c>
      <x:c r="F97" s="56" t="str">
        <x:v>—</x:v>
      </x:c>
      <x:c r="G97" s="3"/>
      <x:c r="H97" s="24"/>
      <x:c r="I97" s="56" t="str">
        <x:v>Entity-specific workforce and paid-user demand remain unestablished.</x:v>
      </x:c>
      <x:c r="J97" s="3"/>
      <x:c r="K97" s="3"/>
      <x:c r="L97" s="2"/>
      <x:c r="M97" s="2"/>
      <x:c r="N97" s="2"/>
    </x:row>
    <x:row r="98" ht="50" customHeight="1">
      <x:c r="A98" s="2"/>
      <x:c r="B98" s="2"/>
      <x:c r="C98" s="2" t="n">
        <x:v>92</x:v>
      </x:c>
      <x:c r="D98" s="2" t="n">
        <x:v>90</x:v>
      </x:c>
      <x:c r="E98" s="56" t="str">
        <x:v>Sheikh Zayed Housing Programme</x:v>
      </x:c>
      <x:c r="F98" s="56" t="str">
        <x:v>—</x:v>
      </x:c>
      <x:c r="G98" s="3"/>
      <x:c r="H98" s="24"/>
      <x:c r="I98" s="56" t="str">
        <x:v>R13: federal MoEI program; DDA procurement eligibility unresolved.</x:v>
      </x:c>
      <x:c r="J98" s="3"/>
      <x:c r="K98" s="3"/>
      <x:c r="L98" s="2"/>
      <x:c r="M98" s="2"/>
      <x:c r="N98" s="2"/>
    </x:row>
    <x:row r="99" ht="50" customHeight="1">
      <x:c r="A99" s="2"/>
      <x:c r="B99" s="2"/>
      <x:c r="C99" s="2" t="n">
        <x:v>93</x:v>
      </x:c>
      <x:c r="D99" s="2" t="n">
        <x:v>91</x:v>
      </x:c>
      <x:c r="E99" s="56" t="str">
        <x:v>Dubai Healthcare City Authority</x:v>
      </x:c>
      <x:c r="F99" s="56" t="str">
        <x:v>—</x:v>
      </x:c>
      <x:c r="G99" s="3" t="n">
        <x:v>150</x:v>
      </x:c>
      <x:c r="H99" s="24"/>
      <x:c r="I99" s="56" t="str">
        <x:v>Authority staff distinct from healthcare-zone provider workforce.</x:v>
      </x:c>
      <x:c r="J99" s="3"/>
      <x:c r="K99" s="3"/>
      <x:c r="L99" s="2"/>
      <x:c r="M99" s="2"/>
      <x:c r="N99" s="2"/>
    </x:row>
    <x:row r="100" ht="24" customHeight="1">
      <x:c r="A100" s="2"/>
      <x:c r="B100" s="2"/>
      <x:c r="C100" s="2"/>
      <x:c r="D100" s="2"/>
      <x:c r="E100" s="3"/>
      <x:c r="F100" s="3"/>
      <x:c r="G100" s="3"/>
      <x:c r="H100" s="3"/>
      <x:c r="I100" s="3"/>
      <x:c r="J100" s="3"/>
      <x:c r="K100" s="3"/>
      <x:c r="L100" s="2"/>
      <x:c r="M100" s="2"/>
      <x:c r="N100" s="2"/>
    </x:row>
    <x:row r="101" ht="24" customHeight="1">
      <x:c r="A101" s="2"/>
      <x:c r="B101" s="2"/>
      <x:c r="C101" s="2"/>
      <x:c r="D101" s="2"/>
      <x:c r="E101" s="3"/>
      <x:c r="F101" s="3"/>
      <x:c r="G101" s="3"/>
      <x:c r="H101" s="3"/>
      <x:c r="I101" s="3"/>
      <x:c r="J101" s="3"/>
      <x:c r="K101" s="3"/>
      <x:c r="L101" s="2"/>
      <x:c r="M101" s="2"/>
      <x:c r="N101" s="2"/>
    </x:row>
    <x:row r="102" ht="24" customHeight="1">
      <x:c r="A102" s="2"/>
      <x:c r="B102" s="2"/>
      <x:c r="C102" s="12" t="str">
        <x:v>New allocations are blank pending entity mapping. Enter each distinct demand group once, after resolving aliases and eligibility.</x:v>
      </x:c>
      <x:c r="D102" s="2"/>
      <x:c r="E102" s="3"/>
      <x:c r="F102" s="3"/>
      <x:c r="G102" s="3"/>
      <x:c r="H102" s="3"/>
      <x:c r="I102" s="3"/>
      <x:c r="J102" s="3"/>
      <x:c r="K102" s="3"/>
      <x:c r="L102" s="2"/>
      <x:c r="M102" s="2"/>
      <x:c r="N102" s="2"/>
    </x:row>
    <x:row r="103" ht="24" customHeight="1">
      <x:c r="A103" s="2"/>
      <x:c r="B103" s="2"/>
      <x:c r="C103" s="12" t="str">
        <x:v>This intake does not drive purchased capacity. Procurement commitment and evidence-backed allocation remain separate.</x:v>
      </x:c>
      <x:c r="D103" s="2"/>
      <x:c r="E103" s="3"/>
      <x:c r="F103" s="3"/>
      <x:c r="G103" s="3"/>
      <x:c r="H103" s="3"/>
      <x:c r="I103" s="3"/>
      <x:c r="J103" s="3"/>
      <x:c r="K103" s="3"/>
      <x:c r="L103" s="2"/>
      <x:c r="M103" s="2"/>
      <x:c r="N103" s="2"/>
    </x:row>
    <x:row r="104" ht="24" customHeight="1">
      <x:c r="A104" s="2"/>
      <x:c r="B104" s="2"/>
      <x:c r="C104" s="2"/>
      <x:c r="D104" s="2"/>
      <x:c r="E104" s="3"/>
      <x:c r="F104" s="3"/>
      <x:c r="G104" s="3"/>
      <x:c r="H104" s="3"/>
      <x:c r="I104" s="3"/>
      <x:c r="J104" s="3"/>
      <x:c r="K104" s="3"/>
      <x:c r="L104" s="2"/>
      <x:c r="M104" s="2"/>
      <x:c r="N104" s="2"/>
    </x:row>
    <x:row r="105" ht="24" customHeight="1">
      <x:c r="A105" s="2"/>
      <x:c r="B105" s="2"/>
      <x:c r="C105" s="2"/>
      <x:c r="D105" s="2"/>
      <x:c r="E105" s="3"/>
      <x:c r="F105" s="3"/>
      <x:c r="G105" s="3"/>
      <x:c r="H105" s="3"/>
      <x:c r="I105" s="3"/>
      <x:c r="J105" s="3"/>
      <x:c r="K105" s="3"/>
      <x:c r="L105" s="2"/>
      <x:c r="M105" s="2"/>
      <x:c r="N105" s="2"/>
    </x:row>
    <x:row r="106" ht="24" customHeight="1">
      <x:c r="A106" s="2"/>
      <x:c r="B106" s="2"/>
      <x:c r="C106" s="2"/>
      <x:c r="D106" s="2"/>
      <x:c r="E106" s="3"/>
      <x:c r="F106" s="3"/>
      <x:c r="G106" s="3"/>
      <x:c r="H106" s="3"/>
      <x:c r="I106" s="3"/>
      <x:c r="J106" s="3"/>
      <x:c r="K106" s="3"/>
      <x:c r="L106" s="2"/>
      <x:c r="M106" s="2"/>
      <x:c r="N106" s="2"/>
    </x:row>
    <x:row r="107" ht="24" customHeight="1">
      <x:c r="A107" s="2"/>
      <x:c r="B107" s="2"/>
      <x:c r="C107" s="2"/>
      <x:c r="D107" s="2"/>
      <x:c r="E107" s="3"/>
      <x:c r="F107" s="3"/>
      <x:c r="G107" s="3"/>
      <x:c r="H107" s="3"/>
      <x:c r="I107" s="3"/>
      <x:c r="J107" s="3"/>
      <x:c r="K107" s="3"/>
      <x:c r="L107" s="2"/>
      <x:c r="M107" s="2"/>
      <x:c r="N107" s="2"/>
    </x:row>
    <x:row r="108" ht="24" customHeight="1">
      <x:c r="A108" s="2"/>
      <x:c r="B108" s="2"/>
      <x:c r="C108" s="2"/>
      <x:c r="D108" s="2"/>
      <x:c r="E108" s="3"/>
      <x:c r="F108" s="3"/>
      <x:c r="G108" s="3"/>
      <x:c r="H108" s="3"/>
      <x:c r="I108" s="3"/>
      <x:c r="J108" s="3"/>
      <x:c r="K108" s="3"/>
      <x:c r="L108" s="2"/>
      <x:c r="M108" s="2"/>
      <x:c r="N108" s="2"/>
    </x:row>
    <x:row r="109" ht="24" customHeight="1">
      <x:c r="A109" s="2"/>
      <x:c r="B109" s="2"/>
      <x:c r="C109" s="2"/>
      <x:c r="D109" s="2"/>
      <x:c r="E109" s="3"/>
      <x:c r="F109" s="3"/>
      <x:c r="G109" s="3"/>
      <x:c r="H109" s="3"/>
      <x:c r="I109" s="3"/>
      <x:c r="J109" s="3"/>
      <x:c r="K109" s="3"/>
      <x:c r="L109" s="2"/>
      <x:c r="M109" s="2"/>
      <x:c r="N109" s="2"/>
    </x:row>
    <x:row r="110" ht="24" customHeight="1">
      <x:c r="A110" s="2"/>
      <x:c r="B110" s="2"/>
      <x:c r="C110" s="2"/>
      <x:c r="D110" s="2"/>
      <x:c r="E110" s="3"/>
      <x:c r="F110" s="3"/>
      <x:c r="G110" s="3"/>
      <x:c r="H110" s="3"/>
      <x:c r="I110" s="3"/>
      <x:c r="J110" s="3"/>
      <x:c r="K110" s="3"/>
      <x:c r="L110" s="2"/>
      <x:c r="M110" s="2"/>
      <x:c r="N110" s="2"/>
    </x:row>
  </x:sheetData>
  <x:dataValidations count="1">
    <x:dataValidation type="whole" operator="greaterThanOrEqual" sqref="H8:H99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58" hidden="0" customWidth="1"/>
    <x:col min="5" max="5" width="65" hidden="0" customWidth="1"/>
    <x:col min="6" max="6" width="8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External research and evidence limits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12" t="str">
        <x:v>External research as recorded on 20 September 2026. Scope and evidence limits remain attached to each source.</x:v>
      </x:c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Source</x:v>
      </x:c>
      <x:c r="D7" s="19" t="str">
        <x:v>Finding</x:v>
      </x:c>
      <x:c r="E7" s="20" t="str">
        <x:v>Evidence limits</x:v>
      </x:c>
      <x:c r="F7" s="20" t="str">
        <x:v>Primary URL</x:v>
      </x:c>
      <x:c r="G7" s="3"/>
      <x:c r="H7" s="3"/>
      <x:c r="I7" s="3"/>
      <x:c r="J7" s="3"/>
      <x:c r="K7" s="3"/>
      <x:c r="L7" s="2"/>
      <x:c r="M7" s="60"/>
      <x:c r="N7" s="2"/>
    </x:row>
    <x:row r="8" ht="96" customHeight="1">
      <x:c r="A8" s="2"/>
      <x:c r="B8" s="2"/>
      <x:c r="C8" s="2" t="str">
        <x:v>R01</x:v>
      </x:c>
      <x:c r="D8" s="55" t="str">
        <x:v>Smart Employee served over 76,000 employees across 76 government entities.</x:v>
      </x:c>
      <x:c r="E8" s="56" t="str">
        <x:v>Strong first-party scale benchmark. Do not add entity headcounts to this aggregate or treat HR self-service users as paid signature users.</x:v>
      </x:c>
      <x:c r="F8" s="56" t="str">
        <x:v>https://www.digitaldubai.ae/newsroom/news/dubai-to-make-presence-felt-at-gitex-europe-x-ai-everything-2025-with-a-joint-pavilion-featuring-12-government-and-private-entities</x:v>
      </x:c>
      <x:c r="G8" s="3"/>
      <x:c r="H8" s="3"/>
      <x:c r="I8" s="3"/>
      <x:c r="J8" s="3"/>
      <x:c r="K8" s="3"/>
      <x:c r="L8" s="2"/>
      <x:c r="M8" s="60"/>
      <x:c r="N8" s="2"/>
    </x:row>
    <x:row r="9" ht="96" customHeight="1">
      <x:c r="A9" s="2"/>
      <x:c r="B9" s="2"/>
      <x:c r="C9" s="2" t="str">
        <x:v>R02</x:v>
      </x:c>
      <x:c r="D9" s="55" t="str">
        <x:v>10,764 employees reported for 2025.</x:v>
      </x:c>
      <x:c r="E9" s="56" t="str">
        <x:v>Workforce context for DEWA. Primary search-index extracts corroborate the total; full DEWA PDF retrieval exceeded tool size limit. Operational workers are not automatically paid sign users.</x:v>
      </x:c>
      <x:c r="F9" s="56" t="str">
        <x:v>https://www.dewa.gov.ae/-/media/Files/Investor-Relations-Files/Integrated-report-for-the-year-2025.ashx</x:v>
      </x:c>
      <x:c r="G9" s="3"/>
      <x:c r="H9" s="3"/>
      <x:c r="I9" s="3"/>
      <x:c r="J9" s="3"/>
      <x:c r="K9" s="3"/>
      <x:c r="L9" s="2"/>
      <x:c r="M9" s="60"/>
      <x:c r="N9" s="2"/>
    </x:row>
    <x:row r="10" ht="96" customHeight="1">
      <x:c r="A10" s="2"/>
      <x:c r="B10" s="2"/>
      <x:c r="C10" s="2" t="str">
        <x:v>R03</x:v>
      </x:c>
      <x:c r="D10" s="55" t="str">
        <x:v>More than 11,000 professionals in the 2023 announcement; 2024 entity announcement describes 11,000 employees. Dubai Academic Health Corporation operates as Dubai Health. DHA has a separate regulatory role.</x:v>
      </x:c>
      <x:c r="E10" s="56" t="str">
        <x:v>Historical workforce scale; one delivery-system population, not two. Do not reuse historic DHA headcounts without accounting for restructuring, or assume all clinicians need Circularo seats.</x:v>
      </x:c>
      <x:c r="F10" s="56" t="str">
        <x:v>https://mediaoffice.ae/en/news/2023/November/11-11/Dubai-Health</x:v>
      </x:c>
      <x:c r="G10" s="3"/>
      <x:c r="H10" s="3"/>
      <x:c r="I10" s="3"/>
      <x:c r="J10" s="3"/>
      <x:c r="K10" s="3"/>
      <x:c r="L10" s="2"/>
      <x:c r="M10" s="60"/>
      <x:c r="N10" s="2"/>
    </x:row>
    <x:row r="11" ht="96" customHeight="1">
      <x:c r="A11" s="2"/>
      <x:c r="B11" s="2"/>
      <x:c r="C11" s="2" t="str">
        <x:v>R04</x:v>
      </x:c>
      <x:c r="D11" s="55" t="str">
        <x:v>2,687 total employees.</x:v>
      </x:c>
      <x:c r="E11" s="56" t="str">
        <x:v>Entity/corporate workforce context, subject to procurement-scope confirmation. The sustainability report introduction identifies 2025, but its GRI index contains a 2024 period statement; retain this source inconsistency. Annual-report search extract corroborates the number.</x:v>
      </x:c>
      <x:c r="F11" s="56" t="str">
        <x:v>https://investors.du.ae/static-files/db00b561-a6f2-41e5-a0de-c73bbad518d2</x:v>
      </x:c>
      <x:c r="G11" s="3"/>
      <x:c r="H11" s="3"/>
      <x:c r="I11" s="3"/>
      <x:c r="J11" s="3"/>
      <x:c r="K11" s="3"/>
      <x:c r="L11" s="2"/>
      <x:c r="M11" s="60"/>
      <x:c r="N11" s="2"/>
    </x:row>
    <x:row r="12" ht="96" customHeight="1">
      <x:c r="A12" s="2"/>
      <x:c r="B12" s="2"/>
      <x:c r="C12" s="2" t="str">
        <x:v>R05</x:v>
      </x:c>
      <x:c r="D12" s="55" t="str">
        <x:v>Dubai Duty Free reports 5,800+ employees supporting operations.</x:v>
      </x:c>
      <x:c r="E12" s="56" t="str">
        <x:v>Search-index evidence; full PDF retrieval failed. Do not turn this rounded floor into an exact count, or count it again inside ICD-wide workforce.</x:v>
      </x:c>
      <x:c r="F12" s="56" t="str">
        <x:v>https://icd.gov.ae/wp-content/uploads/2025/11/ICD-AR2025-Full-Report-2.pdf</x:v>
      </x:c>
      <x:c r="G12" s="3"/>
      <x:c r="H12" s="3"/>
      <x:c r="I12" s="3"/>
      <x:c r="J12" s="3"/>
      <x:c r="K12" s="3"/>
      <x:c r="L12" s="2"/>
      <x:c r="M12" s="60"/>
      <x:c r="N12" s="2"/>
    </x:row>
    <x:row r="13" ht="96" customHeight="1">
      <x:c r="A13" s="2"/>
      <x:c r="B13" s="2"/>
      <x:c r="C13" s="2" t="str">
        <x:v>R06</x:v>
      </x:c>
      <x:c r="D13" s="55" t="str">
        <x:v>The entity page states 2,880 personnel.</x:v>
      </x:c>
      <x:c r="E13" s="56" t="str">
        <x:v>Reported but undated; not accepted as a current 2026 count. A recent crawl does not establish a recent underlying observation.</x:v>
      </x:c>
      <x:c r="F13" s="56" t="str">
        <x:v>https://www.dubaicustoms.gov.ae/en/SocialResponsibility/Csr/OurEmployees/Pages/default.aspx</x:v>
      </x:c>
      <x:c r="G13" s="3"/>
      <x:c r="H13" s="3"/>
      <x:c r="I13" s="3"/>
      <x:c r="J13" s="3"/>
      <x:c r="K13" s="3"/>
      <x:c r="L13" s="2"/>
      <x:c r="M13" s="60"/>
      <x:c r="N13" s="2"/>
    </x:row>
    <x:row r="14" ht="96" customHeight="1">
      <x:c r="A14" s="2"/>
      <x:c r="B14" s="2"/>
      <x:c r="C14" s="2" t="str">
        <x:v>R07</x:v>
      </x:c>
      <x:c r="D14" s="55" t="str">
        <x:v>Describes 1,375 personnel managing and operating specialized ambulance services.</x:v>
      </x:c>
      <x:c r="E14" s="56" t="str">
        <x:v>Operational-team scope, not established total entity headcount; use only as contextual evidence. S03's 275 licensed users remains the direct current-customer input.</x:v>
      </x:c>
      <x:c r="F14" s="56" t="str">
        <x:v>https://www.mediaoffice.ae/en/news/2024/april/04-04/dubai-ambulance-responds-to-over</x:v>
      </x:c>
      <x:c r="G14" s="3"/>
      <x:c r="H14" s="3"/>
      <x:c r="I14" s="3"/>
      <x:c r="J14" s="3"/>
      <x:c r="K14" s="3"/>
      <x:c r="L14" s="2"/>
      <x:c r="M14" s="60"/>
      <x:c r="N14" s="2"/>
    </x:row>
    <x:row r="15" ht="96" customHeight="1">
      <x:c r="A15" s="2"/>
      <x:c r="B15" s="2"/>
      <x:c r="C15" s="2" t="str">
        <x:v>R08</x:v>
      </x:c>
      <x:c r="D15" s="55" t="str">
        <x:v>An employee-category table includes a 2024 total of 3,259.</x:v>
      </x:c>
      <x:c r="E15" s="56" t="str">
        <x:v>Candidate only: text extraction and search rendering differ in language/layout; screenshot retrieval failed. Confirm table purpose and population before using this as workforce or an adoption denominator. Keep S03's 1,000 users.</x:v>
      </x:c>
      <x:c r="F15" s="56" t="str">
        <x:v>https://www.rta.ae/wps/wcm/connect/rta/b7653aa3-5dbc-436f-90a3-8dd1aeb270d0/RTA%2BSustainability%2BReport%2B2024-%2BFinal.pdf?MOD=AJPERES</x:v>
      </x:c>
      <x:c r="G15" s="3"/>
      <x:c r="H15" s="3"/>
      <x:c r="I15" s="3"/>
      <x:c r="J15" s="3"/>
      <x:c r="K15" s="3"/>
      <x:c r="L15" s="2"/>
      <x:c r="M15" s="60"/>
      <x:c r="N15" s="2"/>
    </x:row>
    <x:row r="16" ht="96" customHeight="1">
      <x:c r="A16" s="2"/>
      <x:c r="B16" s="2"/>
      <x:c r="C16" s="2" t="str">
        <x:v>R09</x:v>
      </x:c>
      <x:c r="D16" s="55" t="str">
        <x:v>Search extract places 1,275 beside total employees, with separate administrative and judicial metrics.</x:v>
      </x:c>
      <x:c r="E16" s="56" t="str">
        <x:v>Candidate only: full retrieval failed and visual association was not verified. Do not use 1,275 in a base-case calculation until the source page is confirmed.</x:v>
      </x:c>
      <x:c r="F16" s="56" t="str">
        <x:v>https://www.dc.gov.ae/publicservices/websitefiles/Annual_Report/Annual-Report-2024-En.pdf</x:v>
      </x:c>
      <x:c r="G16" s="3"/>
      <x:c r="H16" s="3"/>
      <x:c r="I16" s="3"/>
      <x:c r="J16" s="3"/>
      <x:c r="K16" s="3"/>
      <x:c r="L16" s="2"/>
      <x:c r="M16" s="60"/>
      <x:c r="N16" s="2"/>
    </x:row>
    <x:row r="17" ht="96" customHeight="1">
      <x:c r="A17" s="2"/>
      <x:c r="B17" s="2"/>
      <x:c r="C17" s="2" t="str">
        <x:v>R10</x:v>
      </x:c>
      <x:c r="D17" s="55" t="str">
        <x:v>Profile states 11,000 employees in 34 departments.</x:v>
      </x:c>
      <x:c r="E17" s="56" t="str">
        <x:v>Undated self-description; similar figures appear in much older coverage. Lower confidence than a dated annual report; do not treat as current verified workforce.</x:v>
      </x:c>
      <x:c r="F17" s="56" t="str">
        <x:v>https://www.linkedin.com/company/dubai-municipality</x:v>
      </x:c>
      <x:c r="G17" s="3"/>
      <x:c r="H17" s="3"/>
      <x:c r="I17" s="3"/>
      <x:c r="J17" s="3"/>
      <x:c r="K17" s="3"/>
      <x:c r="L17" s="2"/>
      <x:c r="M17" s="60"/>
      <x:c r="N17" s="2"/>
    </x:row>
    <x:row r="18" ht="96" customHeight="1">
      <x:c r="A18" s="2"/>
      <x:c r="B18" s="2"/>
      <x:c r="C18" s="2" t="str">
        <x:v>R11</x:v>
      </x:c>
      <x:c r="D18" s="55" t="str">
        <x:v>Dubai Economy and Dubai Tourism merged into the Department of Economy and Tourism.</x:v>
      </x:c>
      <x:c r="E18" s="56" t="str">
        <x:v>Supports predecessor/alias review. No workforce count is supplied; do not sum their historic workforces with DET.</x:v>
      </x:c>
      <x:c r="F18" s="56" t="str">
        <x:v>https://pddportalstg.dubai.gov.ae/en/media-listing/news-events/mohammed-bin-rashid-issues-decision-to-merge-dubai-economy-dubai-tourism-to-become-dubai-s-department-of-economy-and-tourism/</x:v>
      </x:c>
      <x:c r="G18" s="3"/>
      <x:c r="H18" s="3"/>
      <x:c r="I18" s="3"/>
      <x:c r="J18" s="3"/>
      <x:c r="K18" s="3"/>
      <x:c r="L18" s="2"/>
      <x:c r="M18" s="60"/>
      <x:c r="N18" s="2"/>
    </x:row>
    <x:row r="19" ht="96" customHeight="1">
      <x:c r="A19" s="2"/>
      <x:c r="B19" s="2"/>
      <x:c r="C19" s="2" t="str">
        <x:v>R12</x:v>
      </x:c>
      <x:c r="D19" s="55" t="str">
        <x:v>Nedaa is the Professional Communication Corporation.</x:v>
      </x:c>
      <x:c r="E19" s="56" t="str">
        <x:v>Source names for the two Nedaa rows refer to the same named organization; retain both raw rows, propose one demand group.</x:v>
      </x:c>
      <x:c r="F19" s="56" t="str">
        <x:v>https://www.nedaa.ae/en/Pages/aboutus.aspx</x:v>
      </x:c>
      <x:c r="G19" s="3"/>
      <x:c r="H19" s="3"/>
      <x:c r="I19" s="3"/>
      <x:c r="J19" s="3"/>
      <x:c r="K19" s="3"/>
      <x:c r="L19" s="2"/>
      <x:c r="M19" s="60"/>
      <x:c r="N19" s="2"/>
    </x:row>
    <x:row r="20" ht="96" customHeight="1">
      <x:c r="A20" s="2"/>
      <x:c r="B20" s="2"/>
      <x:c r="C20" s="2" t="str">
        <x:v>R13</x:v>
      </x:c>
      <x:c r="D20" s="55" t="str">
        <x:v>Sheikh Zayed Housing Programme is federal and was merged into MoEI in 2020.</x:v>
      </x:c>
      <x:c r="E20" s="56" t="str">
        <x:v>Flag eligibility under a DDA purchase for confirmation; do not silently delete the user-supplied potential entity.</x:v>
      </x:c>
      <x:c r="F20" s="56" t="str">
        <x:v>https://u.ae/en/information-and-services/housing/housing-authorities-and-programmes</x:v>
      </x:c>
      <x:c r="G20" s="3"/>
      <x:c r="H20" s="3"/>
      <x:c r="I20" s="3"/>
      <x:c r="J20" s="3"/>
      <x:c r="K20" s="3"/>
      <x:c r="L20" s="2"/>
      <x:c r="M20" s="60"/>
      <x:c r="N20" s="2"/>
    </x:row>
    <x:row r="21" ht="96" customHeight="1">
      <x:c r="A21" s="2"/>
      <x:c r="B21" s="2"/>
      <x:c r="C21" s="2" t="str">
        <x:v>R14</x:v>
      </x:c>
      <x:c r="D21" s="55" t="str">
        <x:v>DIEZ covers DAFZ, Dubai Silicon Oasis, and Dubai CommerCity.</x:v>
      </x:c>
      <x:c r="E21" s="56" t="str">
        <x:v>Parent/zone relationships require workforce boundaries. Zone tenant employees are not automatically authority employees or eligible subscribers.</x:v>
      </x:c>
      <x:c r="F21" s="56" t="str">
        <x:v>https://mediaoffice.ae/en/news/2026/april/09-04/dubai-integrated-economic-zones-authority-launches-set-of-economic-measures</x:v>
      </x:c>
      <x:c r="G21" s="3"/>
      <x:c r="H21" s="3"/>
      <x:c r="I21" s="3"/>
      <x:c r="J21" s="3"/>
      <x:c r="K21" s="3"/>
      <x:c r="L21" s="2"/>
      <x:c r="M21" s="60"/>
      <x:c r="N21" s="2"/>
    </x:row>
    <x:row r="22" ht="96" customHeight="1">
      <x:c r="A22" s="2"/>
      <x:c r="B22" s="2"/>
      <x:c r="C22" s="2" t="str">
        <x:v>R15</x:v>
      </x:c>
      <x:c r="D22" s="55" t="str">
        <x:v>Its Happiness Club reached over 76,000 employees across 39 companies.</x:v>
      </x:c>
      <x:c r="E22" s="56" t="str">
        <x:v>This is an ICD-affiliated network, not ICD headquarters headcount. It is also a different population from R01 despite the similar number. Exclude from employee totals.</x:v>
      </x:c>
      <x:c r="F22" s="56" t="str">
        <x:v>https://icd.gov.ae/corporate-social-responsibility/</x:v>
      </x:c>
      <x:c r="G22" s="3"/>
      <x:c r="H22" s="3"/>
      <x:c r="I22" s="3"/>
      <x:c r="J22" s="3"/>
      <x:c r="K22" s="3"/>
      <x:c r="L22" s="2"/>
      <x:c r="M22" s="60"/>
      <x:c r="N22" s="2"/>
    </x:row>
    <x:row r="23" ht="96" customHeight="1">
      <x:c r="A23" s="2"/>
      <x:c r="B23" s="2"/>
      <x:c r="C23" s="2" t="str">
        <x:v>R16</x:v>
      </x:c>
      <x:c r="D23" s="55" t="str">
        <x:v>45,000 training participants span the wider airport community, including partners.</x:v>
      </x:c>
      <x:c r="E23" s="56" t="str">
        <x:v>Exclude as an employer headcount or paid-user estimate. Airport-community scale must not be assigned entirely to Dubai Airports.</x:v>
      </x:c>
      <x:c r="F23" s="56" t="str">
        <x:v>https://media.dubaiairports.ae/dubai-airports-redefines-accessible-travel-and-enhances-autism-services-and-training/</x:v>
      </x:c>
      <x:c r="G23" s="3"/>
      <x:c r="H23" s="3"/>
      <x:c r="I23" s="3"/>
      <x:c r="J23" s="3"/>
      <x:c r="K23" s="3"/>
      <x:c r="L23" s="2"/>
      <x:c r="M23" s="60"/>
      <x:c r="N23" s="2"/>
    </x:row>
    <x:row r="24" ht="96" customHeight="1">
      <x:c r="A24" s="2"/>
      <x:c r="B24" s="2"/>
      <x:c r="C24" s="2" t="str">
        <x:v>R17</x:v>
      </x:c>
      <x:c r="D24" s="55" t="str">
        <x:v>DDA describes a public-sector HR data initiative and a centralized HR system with regular/outsourced employee records.</x:v>
      </x:c>
      <x:c r="E24" s="56" t="str">
        <x:v>Indicates an authoritative route for aggregate counts by entity and role. This research has not accessed those records or requested personal data.</x:v>
      </x:c>
      <x:c r="F24" s="56" t="str">
        <x:v>https://www.digitaldubai.ae/knowledge-hub/blogs/the-dubai-hr-register-why-human-decisions-need-sound-data</x:v>
      </x:c>
      <x:c r="G24" s="3"/>
      <x:c r="H24" s="3"/>
      <x:c r="I24" s="3"/>
      <x:c r="J24" s="3"/>
      <x:c r="K24" s="3"/>
      <x:c r="L24" s="2"/>
      <x:c r="M24" s="60"/>
      <x:c r="N24" s="2"/>
    </x:row>
    <x:row r="25" ht="96" customHeight="1">
      <x:c r="A25" s="2"/>
      <x:c r="B25" s="2"/>
      <x:c r="C25" s="2" t="str">
        <x:v>R18</x:v>
      </x:c>
      <x:c r="D25" s="55" t="str">
        <x:v>Official name and remit of the Supreme Legislation Committee.</x:v>
      </x:c>
      <x:c r="E25" s="56" t="str">
        <x:v>Supports alias review for the two SLC names in the supplied list.</x:v>
      </x:c>
      <x:c r="F25" s="56" t="str">
        <x:v>https://slc.dubai.gov.ae/en/</x:v>
      </x:c>
      <x:c r="G25" s="3"/>
      <x:c r="H25" s="3"/>
      <x:c r="I25" s="3"/>
      <x:c r="J25" s="3"/>
      <x:c r="K25" s="3"/>
      <x:c r="L25" s="2"/>
      <x:c r="M25" s="60"/>
      <x:c r="N25" s="2"/>
    </x:row>
    <x:row r="26" ht="24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2"/>
      <x:c r="M26" s="60"/>
      <x:c r="N26" s="2"/>
    </x:row>
    <x:row r="27" ht="24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2"/>
      <x:c r="M27" s="60"/>
      <x:c r="N27" s="2"/>
    </x:row>
    <x:row r="28" ht="24" customHeight="1">
      <x:c r="A28" s="2"/>
      <x:c r="B28" s="2"/>
      <x:c r="C28" s="12" t="str">
        <x:v>Workforce references are context only. No workforce percentage from 91 Entities Model enters the central demand forecast.</x:v>
      </x:c>
      <x:c r="D28" s="2"/>
      <x:c r="E28" s="3"/>
      <x:c r="F28" s="3"/>
      <x:c r="G28" s="3"/>
      <x:c r="H28" s="3"/>
      <x:c r="I28" s="3"/>
      <x:c r="J28" s="3"/>
      <x:c r="K28" s="3"/>
      <x:c r="L28" s="2"/>
      <x:c r="M28" s="60"/>
      <x:c r="N28" s="2"/>
    </x:row>
    <x:row r="29" ht="24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2"/>
      <x:c r="M29" s="60"/>
      <x:c r="N29" s="2"/>
    </x:row>
    <x:row r="30" ht="24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2"/>
      <x:c r="M32" s="60"/>
      <x:c r="N32" s="2"/>
    </x:row>
    <x:row r="33" ht="24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2"/>
      <x:c r="M33" s="60"/>
      <x:c r="N33" s="2"/>
    </x:row>
    <x:row r="34" ht="24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2"/>
      <x:c r="M34" s="60"/>
      <x:c r="N34" s="2"/>
    </x:row>
    <x:row r="35" ht="24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2"/>
      <x:c r="M35" s="60"/>
      <x:c r="N35" s="2"/>
    </x:row>
    <x:row r="36" ht="24" customHeight="1">
      <x:c r="A36" s="2"/>
      <x:c r="B36" s="2"/>
      <x:c r="C36" s="2"/>
      <x:c r="D36" s="2"/>
      <x:c r="E36" s="3"/>
      <x:c r="F36" s="3"/>
      <x:c r="G36" s="3"/>
      <x:c r="H36" s="3"/>
      <x:c r="I36" s="3"/>
      <x:c r="J36" s="3"/>
      <x:c r="K36" s="3"/>
      <x:c r="L36" s="2"/>
      <x:c r="M36" s="60"/>
      <x:c r="N36" s="2"/>
    </x:row>
    <x:row r="37" ht="24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2"/>
      <x:c r="M37" s="60"/>
      <x:c r="N37" s="2"/>
    </x:row>
    <x:row r="38" ht="24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2"/>
      <x:c r="M38" s="60"/>
      <x:c r="N38" s="2"/>
    </x:row>
    <x:row r="39" ht="24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2"/>
      <x:c r="M39" s="60"/>
      <x:c r="N39" s="2"/>
    </x:row>
    <x:row r="40" ht="24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2"/>
      <x:c r="M40" s="60"/>
      <x:c r="N40" s="2"/>
    </x:row>
    <x:row r="41" ht="24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2"/>
      <x:c r="M41" s="60"/>
      <x:c r="N41" s="2"/>
    </x:row>
    <x:row r="42" ht="24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2"/>
      <x:c r="M42" s="60"/>
      <x:c r="N42" s="2"/>
    </x:row>
    <x:row r="43" ht="24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2"/>
      <x:c r="M43" s="60"/>
      <x:c r="N43" s="2"/>
    </x:row>
    <x:row r="44" ht="24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2"/>
      <x:c r="M44" s="60"/>
      <x:c r="N44" s="2"/>
    </x:row>
    <x:row r="45" ht="24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2"/>
      <x:c r="M45" s="60"/>
      <x:c r="N45" s="2"/>
    </x:row>
    <x:row r="46" ht="24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2"/>
      <x:c r="M46" s="60"/>
      <x:c r="N46" s="2"/>
    </x:row>
    <x:row r="47" ht="24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2"/>
      <x:c r="M47" s="60"/>
      <x:c r="N47" s="2"/>
    </x:row>
    <x:row r="48" ht="24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2"/>
      <x:c r="M48" s="60"/>
      <x:c r="N48" s="2"/>
    </x:row>
    <x:row r="49" ht="24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2"/>
      <x:c r="M49" s="60"/>
      <x:c r="N49" s="2"/>
    </x:row>
    <x:row r="50" ht="24" customHeight="1">
      <x:c r="A50" s="2"/>
      <x:c r="B50" s="2"/>
      <x:c r="C50" s="2"/>
      <x:c r="D50" s="2"/>
      <x:c r="E50" s="3"/>
      <x:c r="F50" s="3"/>
      <x:c r="G50" s="3"/>
      <x:c r="H50" s="3"/>
      <x:c r="I50" s="3"/>
      <x:c r="J50" s="3"/>
      <x:c r="K50" s="3"/>
      <x:c r="L50" s="2"/>
      <x:c r="M50" s="60"/>
      <x:c r="N50" s="2"/>
    </x:row>
    <x:row r="51" ht="24" customHeight="1">
      <x:c r="A51" s="2"/>
      <x:c r="B51" s="2"/>
      <x:c r="C51" s="2"/>
      <x:c r="D51" s="2"/>
      <x:c r="E51" s="3"/>
      <x:c r="F51" s="3"/>
      <x:c r="G51" s="3"/>
      <x:c r="H51" s="3"/>
      <x:c r="I51" s="3"/>
      <x:c r="J51" s="3"/>
      <x:c r="K51" s="3"/>
      <x:c r="L51" s="2"/>
      <x:c r="M51" s="60"/>
      <x:c r="N51" s="2"/>
    </x:row>
    <x:row r="52" ht="24" customHeight="1">
      <x:c r="A52" s="2"/>
      <x:c r="B52" s="2"/>
      <x:c r="C52" s="2"/>
      <x:c r="D52" s="2"/>
      <x:c r="E52" s="3"/>
      <x:c r="F52" s="3"/>
      <x:c r="G52" s="3"/>
      <x:c r="H52" s="3"/>
      <x:c r="I52" s="3"/>
      <x:c r="J52" s="3"/>
      <x:c r="K52" s="3"/>
      <x:c r="L52" s="2"/>
      <x:c r="M52" s="60"/>
      <x:c r="N52" s="2"/>
    </x:row>
    <x:row r="53" ht="24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2"/>
      <x:c r="M53" s="60"/>
      <x:c r="N53" s="2"/>
    </x:row>
    <x:row r="54" ht="24" customHeight="1">
      <x:c r="A54" s="2"/>
      <x:c r="B54" s="2"/>
      <x:c r="C54" s="2"/>
      <x:c r="D54" s="2"/>
      <x:c r="E54" s="3"/>
      <x:c r="F54" s="3"/>
      <x:c r="G54" s="3"/>
      <x:c r="H54" s="3"/>
      <x:c r="I54" s="3"/>
      <x:c r="J54" s="3"/>
      <x:c r="K54" s="3"/>
      <x:c r="L54" s="2"/>
      <x:c r="M54" s="60"/>
      <x:c r="N54" s="2"/>
    </x:row>
    <x:row r="55" ht="24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2"/>
      <x:c r="M55" s="60"/>
      <x:c r="N55" s="2"/>
    </x:row>
    <x:row r="56" ht="24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2"/>
      <x:c r="M56" s="60"/>
      <x:c r="N56" s="2"/>
    </x:row>
    <x:row r="57" ht="24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4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2"/>
      <x:c r="M65" s="60"/>
      <x:c r="N65" s="2"/>
    </x:row>
    <x:row r="66" ht="24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2"/>
      <x:c r="M66" s="60"/>
      <x:c r="N66" s="2"/>
    </x:row>
    <x:row r="67" ht="24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6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" hidden="0" customWidth="1"/>
    <x:col min="13" max="13" width="100" hidden="0" customWidth="1"/>
  </x:cols>
  <x:sheetData>
    <x:row r="1" ht="24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2"/>
      <x:c r="M1" s="60"/>
      <x:c r="N1" s="2"/>
    </x:row>
    <x:row r="2" ht="24" customHeight="1">
      <x:c r="A2" s="2"/>
      <x:c r="B2" s="2"/>
      <x:c r="C2" s="4" t="str">
        <x:v>Model checks and unresolved inputs</x:v>
      </x:c>
      <x:c r="D2" s="2"/>
      <x:c r="E2" s="3"/>
      <x:c r="F2" s="3"/>
      <x:c r="G2" s="3"/>
      <x:c r="H2" s="3"/>
      <x:c r="I2" s="3"/>
      <x:c r="J2" s="3"/>
      <x:c r="K2" s="3"/>
      <x:c r="L2" s="2"/>
      <x:c r="M2" s="60"/>
      <x:c r="N2" s="2"/>
    </x:row>
    <x:row r="3" ht="24" customHeight="1">
      <x:c r="A3" s="2"/>
      <x:c r="B3" s="2"/>
      <x:c r="C3" s="5"/>
      <x:c r="D3" s="5"/>
      <x:c r="E3" s="6"/>
      <x:c r="F3" s="6"/>
      <x:c r="G3" s="6"/>
      <x:c r="H3" s="6"/>
      <x:c r="I3" s="6"/>
      <x:c r="J3" s="6"/>
      <x:c r="K3" s="6"/>
      <x:c r="L3" s="2"/>
      <x:c r="M3" s="60"/>
      <x:c r="N3" s="2"/>
    </x:row>
    <x:row r="4" ht="24" customHeight="1">
      <x:c r="A4" s="2"/>
      <x:c r="B4" s="2"/>
      <x:c r="C4" s="2" t="str">
        <x:v>Case selected</x:v>
      </x:c>
      <x:c r="D4" s="2"/>
      <x:c r="E4" s="8" t="str">
        <x:f>'Assumptions'!E5</x:f>
        <x:v>Base</x:v>
      </x:c>
      <x:c r="F4" s="8"/>
      <x:c r="G4" s="3"/>
      <x:c r="H4" s="3"/>
      <x:c r="I4" s="3"/>
      <x:c r="J4" s="3"/>
      <x:c r="K4" s="3"/>
      <x:c r="L4" s="2"/>
      <x:c r="M4" s="60"/>
      <x:c r="N4" s="2"/>
    </x:row>
    <x:row r="5" ht="24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2"/>
      <x:c r="M5" s="60"/>
      <x:c r="N5" s="2"/>
    </x:row>
    <x:row r="6" ht="24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2"/>
      <x:c r="M6" s="60"/>
      <x:c r="N6" s="2"/>
    </x:row>
    <x:row r="7" ht="30" customHeight="1">
      <x:c r="A7" s="2"/>
      <x:c r="B7" s="2"/>
      <x:c r="C7" s="19" t="str">
        <x:v>Check</x:v>
      </x:c>
      <x:c r="D7" s="19" t="str">
        <x:v>Unit</x:v>
      </x:c>
      <x:c r="E7" s="20" t="str">
        <x:v>Result</x:v>
      </x:c>
      <x:c r="F7" s="3"/>
      <x:c r="G7" s="3"/>
      <x:c r="H7" s="3"/>
      <x:c r="I7" s="3"/>
      <x:c r="J7" s="3"/>
      <x:c r="K7" s="3"/>
      <x:c r="L7" s="2"/>
      <x:c r="M7" s="60"/>
      <x:c r="N7" s="2"/>
    </x:row>
    <x:row r="8" ht="24" customHeight="1">
      <x:c r="A8" s="2"/>
      <x:c r="B8" s="2"/>
      <x:c r="C8" s="2" t="str">
        <x:v>Source-name rows</x:v>
      </x:c>
      <x:c r="D8" s="2" t="str">
        <x:v>Rows</x:v>
      </x:c>
      <x:c r="E8" s="7" t="n">
        <x:f>COUNTA('Entity scope'!E8:E99)</x:f>
        <x:v>92</x:v>
      </x:c>
      <x:c r="F8" s="3"/>
      <x:c r="G8" s="3"/>
      <x:c r="H8" s="3"/>
      <x:c r="I8" s="3"/>
      <x:c r="J8" s="3"/>
      <x:c r="K8" s="3"/>
      <x:c r="L8" s="2"/>
      <x:c r="M8" s="60" t="str">
        <x:v>Expected raw count 92, not unique eligible entities.</x:v>
      </x:c>
      <x:c r="N8" s="2"/>
    </x:row>
    <x:row r="9" ht="24" customHeight="1">
      <x:c r="A9" s="2"/>
      <x:c r="B9" s="2"/>
      <x:c r="C9" s="2" t="str">
        <x:v>Existing users total</x:v>
      </x:c>
      <x:c r="D9" s="2" t="str">
        <x:v>Users</x:v>
      </x:c>
      <x:c r="E9" s="7" t="n">
        <x:f>SUM('Customers'!F8:F16)</x:f>
        <x:v>1830</x:v>
      </x:c>
      <x:c r="F9" s="3"/>
      <x:c r="G9" s="3"/>
      <x:c r="H9" s="3"/>
      <x:c r="I9" s="3"/>
      <x:c r="J9" s="3"/>
      <x:c r="K9" s="3"/>
      <x:c r="L9" s="2"/>
      <x:c r="M9" s="60" t="str">
        <x:v>Expected 1,830.</x:v>
      </x:c>
      <x:c r="N9" s="2"/>
    </x:row>
    <x:row r="10" ht="24" customHeight="1">
      <x:c r="A10" s="2"/>
      <x:c r="B10" s="2"/>
      <x:c r="C10" s="2" t="str">
        <x:v>Existing on-premise users</x:v>
      </x:c>
      <x:c r="D10" s="2" t="str">
        <x:v>Users</x:v>
      </x:c>
      <x:c r="E10" s="7" t="n">
        <x:f>'Assumptions'!E19</x:f>
        <x:v>1260</x:v>
      </x:c>
      <x:c r="F10" s="3"/>
      <x:c r="G10" s="3"/>
      <x:c r="H10" s="3"/>
      <x:c r="I10" s="3"/>
      <x:c r="J10" s="3"/>
      <x:c r="K10" s="3"/>
      <x:c r="L10" s="2"/>
      <x:c r="M10" s="60" t="str">
        <x:v>Expected 1,260.</x:v>
      </x:c>
      <x:c r="N10" s="2"/>
    </x:row>
    <x:row r="11" ht="24" customHeight="1">
      <x:c r="A11" s="2"/>
      <x:c r="B11" s="2"/>
      <x:c r="C11" s="2" t="str">
        <x:v>Source rows missing new allocations</x:v>
      </x:c>
      <x:c r="D11" s="2" t="str">
        <x:v>Rows</x:v>
      </x:c>
      <x:c r="E11" s="7" t="n">
        <x:f>COUNTBLANK('Entity scope'!H8:H99)</x:f>
        <x:v>92</x:v>
      </x:c>
      <x:c r="F11" s="3"/>
      <x:c r="G11" s="3"/>
      <x:c r="H11" s="3"/>
      <x:c r="I11" s="3"/>
      <x:c r="J11" s="3"/>
      <x:c r="K11" s="3"/>
      <x:c r="L11" s="2"/>
      <x:c r="M11" s="60"/>
      <x:c r="N11" s="2"/>
    </x:row>
    <x:row r="12" ht="24" customHeight="1">
      <x:c r="A12" s="2"/>
      <x:c r="B12" s="2"/>
      <x:c r="C12" s="2" t="str">
        <x:v>Initial allocation gap after proposals</x:v>
      </x:c>
      <x:c r="D12" s="2" t="str">
        <x:v>Users</x:v>
      </x:c>
      <x:c r="E12" s="7" t="n">
        <x:f>'Assumptions'!E14-SUM('Entity scope'!G8:H99)</x:f>
        <x:v>8170</x:v>
      </x:c>
      <x:c r="F12" s="3"/>
      <x:c r="G12" s="3"/>
      <x:c r="H12" s="3"/>
      <x:c r="I12" s="3"/>
      <x:c r="J12" s="3"/>
      <x:c r="K12" s="3"/>
      <x:c r="L12" s="2"/>
      <x:c r="M12" s="60" t="str">
        <x:v>Positive gap means more named allocation is needed. Duplicate proposals require review.</x:v>
      </x:c>
      <x:c r="N12" s="2"/>
    </x:row>
    <x:row r="13" ht="24" customHeight="1">
      <x:c r="A13" s="2"/>
      <x:c r="B13" s="2"/>
      <x:c r="C13" s="2" t="str">
        <x:v>Missing reported support amounts</x:v>
      </x:c>
      <x:c r="D13" s="2" t="str">
        <x:v>Rows</x:v>
      </x:c>
      <x:c r="E13" s="7" t="n">
        <x:f>COUNTBLANK('Customers'!I8:I16)</x:f>
        <x:v>6</x:v>
      </x:c>
      <x:c r="F13" s="3"/>
      <x:c r="G13" s="3"/>
      <x:c r="H13" s="3"/>
      <x:c r="I13" s="3"/>
      <x:c r="J13" s="3"/>
      <x:c r="K13" s="3"/>
      <x:c r="L13" s="2"/>
      <x:c r="M13" s="60" t="str">
        <x:v>Missing means unknown, not free or zero.</x:v>
      </x:c>
      <x:c r="N13" s="2"/>
    </x:row>
    <x:row r="14" ht="24" customHeight="1">
      <x:c r="A14" s="2"/>
      <x:c r="B14" s="2"/>
      <x:c r="C14" s="2" t="str">
        <x:v>Central recurring cost reconciliation</x:v>
      </x:c>
      <x:c r="D14" s="2" t="str">
        <x:v>AED</x:v>
      </x:c>
      <x:c r="E14" s="7" t="n">
        <x:f>'Cost model'!K28-SUM('Cost model'!E25:I27)</x:f>
        <x:v>0</x:v>
      </x:c>
      <x:c r="F14" s="3"/>
      <x:c r="G14" s="3"/>
      <x:c r="H14" s="3"/>
      <x:c r="I14" s="3"/>
      <x:c r="J14" s="3"/>
      <x:c r="K14" s="3"/>
      <x:c r="L14" s="2"/>
      <x:c r="M14" s="60"/>
      <x:c r="N14" s="2"/>
    </x:row>
    <x:row r="15" ht="24" customHeight="1">
      <x:c r="A15" s="2"/>
      <x:c r="B15" s="2"/>
      <x:c r="C15" s="2" t="str">
        <x:v>Benefit reconciliation</x:v>
      </x:c>
      <x:c r="D15" s="2" t="str">
        <x:v>AED</x:v>
      </x:c>
      <x:c r="E15" s="7" t="n">
        <x:f>'Cost model'!K34-('Cost model'!K23-'Cost model'!K32)</x:f>
        <x:v>0</x:v>
      </x:c>
      <x:c r="F15" s="3"/>
      <x:c r="G15" s="3"/>
      <x:c r="H15" s="3"/>
      <x:c r="I15" s="3"/>
      <x:c r="J15" s="3"/>
      <x:c r="K15" s="3"/>
      <x:c r="L15" s="2"/>
      <x:c r="M15" s="60"/>
      <x:c r="N15" s="2"/>
    </x:row>
    <x:row r="16" ht="24" customHeight="1">
      <x:c r="A16" s="2"/>
      <x:c r="B16" s="2"/>
      <x:c r="C16" s="2" t="str">
        <x:v>Deployed users exceed paid capacity</x:v>
      </x:c>
      <x:c r="D16" s="2" t="str">
        <x:v>Periods</x:v>
      </x:c>
      <x:c r="E16" s="7" t="n">
        <x:f>COUNTIF('Cost model'!E12:I12,"&lt;0")</x:f>
        <x:v>0</x:v>
      </x:c>
      <x:c r="F16" s="3"/>
      <x:c r="G16" s="3"/>
      <x:c r="H16" s="3"/>
      <x:c r="I16" s="3"/>
      <x:c r="J16" s="3"/>
      <x:c r="K16" s="3"/>
      <x:c r="L16" s="2"/>
      <x:c r="M16" s="60"/>
      <x:c r="N16" s="2"/>
    </x:row>
    <x:row r="17" ht="24" customHeight="1">
      <x:c r="A17" s="2"/>
      <x:c r="B17" s="2"/>
      <x:c r="C17" s="2" t="str">
        <x:v>New onboarding entities total</x:v>
      </x:c>
      <x:c r="D17" s="2" t="str">
        <x:v>Entities</x:v>
      </x:c>
      <x:c r="E17" s="7" t="n">
        <x:f>SUM('Cost model'!E13:I13)</x:f>
        <x:v>40</x:v>
      </x:c>
      <x:c r="F17" s="3"/>
      <x:c r="G17" s="3"/>
      <x:c r="H17" s="3"/>
      <x:c r="I17" s="3"/>
      <x:c r="J17" s="3"/>
      <x:c r="K17" s="3"/>
      <x:c r="L17" s="2"/>
      <x:c r="M17" s="60"/>
      <x:c r="N17" s="2"/>
    </x:row>
    <x:row r="18" ht="24" customHeight="1">
      <x:c r="A18" s="2"/>
      <x:c r="B18" s="2"/>
      <x:c r="C18" s="2" t="str">
        <x:v>Selected driver input errors</x:v>
      </x:c>
      <x:c r="D18" s="2" t="str">
        <x:v>Cells</x:v>
      </x:c>
      <x:c r="E18" s="7" t="n">
        <x:f>SUMPRODUCT(--ISERROR('Assumptions'!E26:I26))+SUMPRODUCT(--ISERROR('Assumptions'!E32:I32))+SUMPRODUCT(--ISERROR('Assumptions'!E38:I38))</x:f>
        <x:v>0</x:v>
      </x:c>
      <x:c r="F18" s="3"/>
      <x:c r="G18" s="3"/>
      <x:c r="H18" s="3"/>
      <x:c r="I18" s="3"/>
      <x:c r="J18" s="3"/>
      <x:c r="K18" s="3"/>
      <x:c r="L18" s="2"/>
      <x:c r="M18" s="60"/>
      <x:c r="N18" s="2"/>
    </x:row>
    <x:row r="19" ht="24" customHeight="1">
      <x:c r="A19" s="2"/>
      <x:c r="B19" s="2"/>
      <x:c r="C19" s="2"/>
      <x:c r="D19" s="2"/>
      <x:c r="E19" s="3"/>
      <x:c r="F19" s="3"/>
      <x:c r="G19" s="3"/>
      <x:c r="H19" s="3"/>
      <x:c r="I19" s="3"/>
      <x:c r="J19" s="3"/>
      <x:c r="K19" s="3"/>
      <x:c r="L19" s="2"/>
      <x:c r="M19" s="60"/>
      <x:c r="N19" s="2"/>
    </x:row>
    <x:row r="20" ht="24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2"/>
      <x:c r="M20" s="60"/>
      <x:c r="N20" s="2"/>
    </x:row>
    <x:row r="21" ht="24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2"/>
      <x:c r="M21" s="60"/>
      <x:c r="N21" s="2"/>
    </x:row>
    <x:row r="22" ht="24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2"/>
      <x:c r="M22" s="60"/>
      <x:c r="N22" s="2"/>
    </x:row>
    <x:row r="23" ht="25" customHeight="1">
      <x:c r="A23" s="2"/>
      <x:c r="B23" s="2"/>
      <x:c r="C23" s="30" t="str">
        <x:v>Review before external use</x:v>
      </x:c>
      <x:c r="D23" s="30"/>
      <x:c r="E23" s="31"/>
      <x:c r="F23" s="31"/>
      <x:c r="G23" s="31"/>
      <x:c r="H23" s="31"/>
      <x:c r="I23" s="31"/>
      <x:c r="J23" s="31"/>
      <x:c r="K23" s="31"/>
      <x:c r="L23" s="2"/>
      <x:c r="M23" s="60"/>
      <x:c r="N23" s="2"/>
    </x:row>
    <x:row r="24" ht="24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2"/>
      <x:c r="M24" s="60"/>
      <x:c r="N24" s="2"/>
    </x:row>
    <x:row r="25" ht="24" customHeight="1">
      <x:c r="A25" s="2"/>
      <x:c r="B25" s="2"/>
      <x:c r="C25" s="12" t="str">
        <x:v>Map survey respondents to entities and remove overlap with current customers.</x:v>
      </x:c>
      <x:c r="D25" s="2"/>
      <x:c r="E25" s="3"/>
      <x:c r="F25" s="3"/>
      <x:c r="G25" s="3"/>
      <x:c r="H25" s="3"/>
      <x:c r="I25" s="3"/>
      <x:c r="J25" s="3"/>
      <x:c r="K25" s="3"/>
      <x:c r="L25" s="2"/>
      <x:c r="M25" s="60"/>
      <x:c r="N25" s="2"/>
    </x:row>
    <x:row r="26" ht="24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2"/>
      <x:c r="M26" s="60"/>
      <x:c r="N26" s="2"/>
    </x:row>
    <x:row r="27" ht="24" customHeight="1">
      <x:c r="A27" s="2"/>
      <x:c r="B27" s="2"/>
      <x:c r="C27" s="12" t="str">
        <x:v>Confirm distinct eligible entities and funded user allocations for the 10,000 commitment.</x:v>
      </x:c>
      <x:c r="D27" s="2"/>
      <x:c r="E27" s="3"/>
      <x:c r="F27" s="3"/>
      <x:c r="G27" s="3"/>
      <x:c r="H27" s="3"/>
      <x:c r="I27" s="3"/>
      <x:c r="J27" s="3"/>
      <x:c r="K27" s="3"/>
      <x:c r="L27" s="2"/>
      <x:c r="M27" s="60"/>
      <x:c r="N27" s="2"/>
    </x:row>
    <x:row r="28" ht="24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2"/>
      <x:c r="M28" s="60"/>
      <x:c r="N28" s="2"/>
    </x:row>
    <x:row r="29" ht="24" customHeight="1">
      <x:c r="A29" s="2"/>
      <x:c r="B29" s="2"/>
      <x:c r="C29" s="12" t="str">
        <x:v>Confirm added-seat price lock, migration dates, contract cessations and any credits.</x:v>
      </x:c>
      <x:c r="D29" s="2"/>
      <x:c r="E29" s="3"/>
      <x:c r="F29" s="3"/>
      <x:c r="G29" s="3"/>
      <x:c r="H29" s="3"/>
      <x:c r="I29" s="3"/>
      <x:c r="J29" s="3"/>
      <x:c r="K29" s="3"/>
      <x:c r="L29" s="2"/>
      <x:c r="M29" s="60"/>
      <x:c r="N29" s="2"/>
    </x:row>
    <x:row r="30" ht="24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2"/>
      <x:c r="M30" s="60"/>
      <x:c r="N30" s="2"/>
    </x:row>
    <x:row r="31" ht="24" customHeight="1">
      <x:c r="A31" s="2"/>
      <x:c r="B31" s="2"/>
      <x:c r="C31" s="12" t="str">
        <x:v>Price additional services and establish tax, current-charge scope and missing support amounts.</x:v>
      </x:c>
      <x:c r="D31" s="2"/>
      <x:c r="E31" s="3"/>
      <x:c r="F31" s="3"/>
      <x:c r="G31" s="3"/>
      <x:c r="H31" s="3"/>
      <x:c r="I31" s="3"/>
      <x:c r="J31" s="3"/>
      <x:c r="K31" s="3"/>
      <x:c r="L31" s="2"/>
      <x:c r="M31" s="60"/>
      <x:c r="N31" s="2"/>
    </x:row>
    <x:row r="32" ht="24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2"/>
      <x:c r="M32" s="60"/>
      <x:c r="N32" s="2"/>
    </x:row>
    <x:row r="33" ht="24" customHeight="1">
      <x:c r="A33" s="2"/>
      <x:c r="B33" s="2"/>
      <x:c r="C33" s="12" t="str">
        <x:v>Confirm the ROI definition, onboarding schedule and adoption assumptions with DDA.</x:v>
      </x:c>
      <x:c r="D33" s="2"/>
      <x:c r="E33" s="3"/>
      <x:c r="F33" s="3"/>
      <x:c r="G33" s="3"/>
      <x:c r="H33" s="3"/>
      <x:c r="I33" s="3"/>
      <x:c r="J33" s="3"/>
      <x:c r="K33" s="3"/>
      <x:c r="L33" s="2"/>
      <x:c r="M33" s="60"/>
      <x:c r="N33" s="2"/>
    </x:row>
    <x:row r="34" ht="24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2"/>
      <x:c r="M34" s="60"/>
      <x:c r="N34" s="2"/>
    </x:row>
    <x:row r="35" ht="24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2"/>
      <x:c r="M35" s="60"/>
      <x:c r="N35" s="2"/>
    </x:row>
    <x:row r="36" ht="24" customHeight="1">
      <x:c r="A36" s="2"/>
      <x:c r="B36" s="2"/>
      <x:c r="C36" s="2"/>
      <x:c r="D36" s="2"/>
      <x:c r="E36" s="3"/>
      <x:c r="F36" s="3"/>
      <x:c r="G36" s="3"/>
      <x:c r="H36" s="3"/>
      <x:c r="I36" s="3"/>
      <x:c r="J36" s="3"/>
      <x:c r="K36" s="3"/>
      <x:c r="L36" s="2"/>
      <x:c r="M36" s="60"/>
      <x:c r="N36" s="2"/>
    </x:row>
    <x:row r="37" ht="24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2"/>
      <x:c r="M37" s="60"/>
      <x:c r="N37" s="2"/>
    </x:row>
    <x:row r="38" ht="24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2"/>
      <x:c r="M38" s="60"/>
      <x:c r="N38" s="2"/>
    </x:row>
    <x:row r="39" ht="24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2"/>
      <x:c r="M39" s="60"/>
      <x:c r="N39" s="2"/>
    </x:row>
    <x:row r="40" ht="24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2"/>
      <x:c r="M40" s="60"/>
      <x:c r="N40" s="2"/>
    </x:row>
    <x:row r="41" ht="24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2"/>
      <x:c r="M41" s="60"/>
      <x:c r="N41" s="2"/>
    </x:row>
    <x:row r="42" ht="24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2"/>
      <x:c r="M42" s="60"/>
      <x:c r="N42" s="2"/>
    </x:row>
    <x:row r="43" ht="24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2"/>
      <x:c r="M43" s="60"/>
      <x:c r="N43" s="2"/>
    </x:row>
    <x:row r="44" ht="24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2"/>
      <x:c r="M44" s="60"/>
      <x:c r="N44" s="2"/>
    </x:row>
    <x:row r="45" ht="24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2"/>
      <x:c r="M45" s="60"/>
      <x:c r="N45" s="2"/>
    </x:row>
    <x:row r="46" ht="24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2"/>
      <x:c r="M46" s="60"/>
      <x:c r="N46" s="2"/>
    </x:row>
    <x:row r="47" ht="24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2"/>
      <x:c r="M47" s="60"/>
      <x:c r="N47" s="2"/>
    </x:row>
    <x:row r="48" ht="24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2"/>
      <x:c r="M48" s="60"/>
      <x:c r="N48" s="2"/>
    </x:row>
    <x:row r="49" ht="24" customHeight="1">
      <x:c r="A49" s="2"/>
      <x:c r="B49" s="2"/>
      <x:c r="C49" s="2"/>
      <x:c r="D49" s="2"/>
      <x:c r="E49" s="3"/>
      <x:c r="F49" s="3"/>
      <x:c r="G49" s="3"/>
      <x:c r="H49" s="3"/>
      <x:c r="I49" s="3"/>
      <x:c r="J49" s="3"/>
      <x:c r="K49" s="3"/>
      <x:c r="L49" s="2"/>
      <x:c r="M49" s="60"/>
      <x:c r="N49" s="2"/>
    </x:row>
    <x:row r="50" ht="24" customHeight="1">
      <x:c r="A50" s="2"/>
      <x:c r="B50" s="2"/>
      <x:c r="C50" s="2"/>
      <x:c r="D50" s="2"/>
      <x:c r="E50" s="3"/>
      <x:c r="F50" s="3"/>
      <x:c r="G50" s="3"/>
      <x:c r="H50" s="3"/>
      <x:c r="I50" s="3"/>
      <x:c r="J50" s="3"/>
      <x:c r="K50" s="3"/>
      <x:c r="L50" s="2"/>
      <x:c r="M50" s="60"/>
      <x:c r="N50" s="2"/>
    </x:row>
    <x:row r="51" ht="24" customHeight="1">
      <x:c r="A51" s="2"/>
      <x:c r="B51" s="2"/>
      <x:c r="C51" s="2"/>
      <x:c r="D51" s="2"/>
      <x:c r="E51" s="3"/>
      <x:c r="F51" s="3"/>
      <x:c r="G51" s="3"/>
      <x:c r="H51" s="3"/>
      <x:c r="I51" s="3"/>
      <x:c r="J51" s="3"/>
      <x:c r="K51" s="3"/>
      <x:c r="L51" s="2"/>
      <x:c r="M51" s="60"/>
      <x:c r="N51" s="2"/>
    </x:row>
    <x:row r="52" ht="24" customHeight="1">
      <x:c r="A52" s="2"/>
      <x:c r="B52" s="2"/>
      <x:c r="C52" s="2"/>
      <x:c r="D52" s="2"/>
      <x:c r="E52" s="3"/>
      <x:c r="F52" s="3"/>
      <x:c r="G52" s="3"/>
      <x:c r="H52" s="3"/>
      <x:c r="I52" s="3"/>
      <x:c r="J52" s="3"/>
      <x:c r="K52" s="3"/>
      <x:c r="L52" s="2"/>
      <x:c r="M52" s="60"/>
      <x:c r="N52" s="2"/>
    </x:row>
    <x:row r="53" ht="24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2"/>
      <x:c r="M53" s="60"/>
      <x:c r="N53" s="2"/>
    </x:row>
    <x:row r="54" ht="24" customHeight="1">
      <x:c r="A54" s="2"/>
      <x:c r="B54" s="2"/>
      <x:c r="C54" s="2"/>
      <x:c r="D54" s="2"/>
      <x:c r="E54" s="3"/>
      <x:c r="F54" s="3"/>
      <x:c r="G54" s="3"/>
      <x:c r="H54" s="3"/>
      <x:c r="I54" s="3"/>
      <x:c r="J54" s="3"/>
      <x:c r="K54" s="3"/>
      <x:c r="L54" s="2"/>
      <x:c r="M54" s="60"/>
      <x:c r="N54" s="2"/>
    </x:row>
    <x:row r="55" ht="24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2"/>
      <x:c r="M55" s="60"/>
      <x:c r="N55" s="2"/>
    </x:row>
    <x:row r="56" ht="24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2"/>
      <x:c r="M56" s="60"/>
      <x:c r="N56" s="2"/>
    </x:row>
    <x:row r="57" ht="24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2"/>
      <x:c r="M57" s="60"/>
      <x:c r="N57" s="2"/>
    </x:row>
    <x:row r="58" ht="24" customHeight="1">
      <x:c r="A58" s="2"/>
      <x:c r="B58" s="2"/>
      <x:c r="C58" s="2"/>
      <x:c r="D58" s="2"/>
      <x:c r="E58" s="3"/>
      <x:c r="F58" s="3"/>
      <x:c r="G58" s="3"/>
      <x:c r="H58" s="3"/>
      <x:c r="I58" s="3"/>
      <x:c r="J58" s="3"/>
      <x:c r="K58" s="3"/>
      <x:c r="L58" s="2"/>
      <x:c r="M58" s="60"/>
      <x:c r="N58" s="2"/>
    </x:row>
    <x:row r="59" ht="24" customHeight="1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2"/>
      <x:c r="M59" s="60"/>
      <x:c r="N59" s="2"/>
    </x:row>
    <x:row r="60" ht="24" customHeight="1">
      <x:c r="A60" s="2"/>
      <x:c r="B60" s="2"/>
      <x:c r="C60" s="2"/>
      <x:c r="D60" s="2"/>
      <x:c r="E60" s="3"/>
      <x:c r="F60" s="3"/>
      <x:c r="G60" s="3"/>
      <x:c r="H60" s="3"/>
      <x:c r="I60" s="3"/>
      <x:c r="J60" s="3"/>
      <x:c r="K60" s="3"/>
      <x:c r="L60" s="2"/>
      <x:c r="M60" s="60"/>
      <x:c r="N60" s="2"/>
    </x:row>
    <x:row r="61" ht="24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2"/>
      <x:c r="M61" s="60"/>
      <x:c r="N61" s="2"/>
    </x:row>
    <x:row r="62" ht="24" customHeight="1">
      <x:c r="A62" s="2"/>
      <x:c r="B62" s="2"/>
      <x:c r="C62" s="2"/>
      <x:c r="D62" s="2"/>
      <x:c r="E62" s="3"/>
      <x:c r="F62" s="3"/>
      <x:c r="G62" s="3"/>
      <x:c r="H62" s="3"/>
      <x:c r="I62" s="3"/>
      <x:c r="J62" s="3"/>
      <x:c r="K62" s="3"/>
      <x:c r="L62" s="2"/>
      <x:c r="M62" s="60"/>
      <x:c r="N62" s="2"/>
    </x:row>
    <x:row r="63" ht="24" customHeight="1">
      <x:c r="A63" s="2"/>
      <x:c r="B63" s="2"/>
      <x:c r="C63" s="2"/>
      <x:c r="D63" s="2"/>
      <x:c r="E63" s="3"/>
      <x:c r="F63" s="3"/>
      <x:c r="G63" s="3"/>
      <x:c r="H63" s="3"/>
      <x:c r="I63" s="3"/>
      <x:c r="J63" s="3"/>
      <x:c r="K63" s="3"/>
      <x:c r="L63" s="2"/>
      <x:c r="M63" s="60"/>
      <x:c r="N63" s="2"/>
    </x:row>
    <x:row r="64" ht="24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2"/>
      <x:c r="M64" s="60"/>
      <x:c r="N64" s="2"/>
    </x:row>
    <x:row r="65" ht="24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2"/>
      <x:c r="M65" s="60"/>
      <x:c r="N65" s="2"/>
    </x:row>
    <x:row r="66" ht="24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2"/>
      <x:c r="M66" s="60"/>
      <x:c r="N66" s="2"/>
    </x:row>
    <x:row r="67" ht="24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2"/>
      <x:c r="M67" s="60"/>
      <x:c r="N67" s="2"/>
    </x:row>
    <x:row r="68" ht="24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2"/>
      <x:c r="M68" s="60"/>
      <x:c r="N68" s="2"/>
    </x:row>
    <x:row r="69" ht="24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2"/>
      <x:c r="M69" s="60"/>
      <x:c r="N69" s="2"/>
    </x:row>
    <x:row r="70" ht="24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2"/>
      <x:c r="M70" s="60"/>
      <x:c r="N70" s="2"/>
    </x:row>
    <x:row r="71" ht="24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2"/>
      <x:c r="M71" s="60"/>
      <x:c r="N71" s="2"/>
    </x:row>
    <x:row r="72" ht="24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2"/>
      <x:c r="M72" s="60"/>
      <x:c r="N72" s="2"/>
    </x:row>
    <x:row r="73" ht="24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2"/>
      <x:c r="M73" s="60"/>
      <x:c r="N73" s="2"/>
    </x:row>
    <x:row r="74" ht="24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2"/>
      <x:c r="M74" s="60"/>
      <x:c r="N74" s="2"/>
    </x:row>
    <x:row r="75" ht="24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2"/>
      <x:c r="M75" s="60"/>
      <x:c r="N75" s="2"/>
    </x:row>
    <x:row r="76" ht="24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2"/>
      <x:c r="M76" s="60"/>
      <x:c r="N76" s="2"/>
    </x:row>
    <x:row r="77" ht="24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2"/>
      <x:c r="M77" s="60"/>
      <x:c r="N77" s="2"/>
    </x:row>
    <x:row r="78" ht="24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2"/>
      <x:c r="M78" s="60"/>
      <x:c r="N78" s="2"/>
    </x:row>
    <x:row r="79" ht="24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2"/>
      <x:c r="M79" s="60"/>
      <x:c r="N79" s="2"/>
    </x:row>
    <x:row r="80" ht="24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2"/>
      <x:c r="M80" s="60"/>
      <x:c r="N80" s="2"/>
    </x:row>
    <x:row r="81" ht="24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2"/>
      <x:c r="M81" s="60"/>
      <x:c r="N81" s="2"/>
    </x:row>
    <x:row r="82" ht="24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2"/>
      <x:c r="M82" s="60"/>
      <x:c r="N82" s="2"/>
    </x:row>
    <x:row r="83" ht="24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2"/>
      <x:c r="M83" s="60"/>
      <x:c r="N83" s="2"/>
    </x:row>
    <x:row r="84" ht="24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2"/>
      <x:c r="M84" s="60"/>
      <x:c r="N84" s="2"/>
    </x:row>
    <x:row r="85" ht="24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2"/>
      <x:c r="M85" s="60"/>
      <x:c r="N85" s="2"/>
    </x:row>
    <x:row r="86" ht="24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2"/>
      <x:c r="M86" s="60"/>
      <x:c r="N86" s="2"/>
    </x:row>
    <x:row r="87" ht="24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2"/>
      <x:c r="M87" s="60"/>
      <x:c r="N87" s="2"/>
    </x:row>
    <x:row r="88" ht="24" customHeight="1">
      <x:c r="A88" s="2"/>
      <x:c r="B88" s="2"/>
      <x:c r="C88" s="2"/>
      <x:c r="D88" s="2"/>
      <x:c r="E88" s="3"/>
      <x:c r="F88" s="3"/>
      <x:c r="G88" s="3"/>
      <x:c r="H88" s="3"/>
      <x:c r="I88" s="3"/>
      <x:c r="J88" s="3"/>
      <x:c r="K88" s="3"/>
      <x:c r="L88" s="2"/>
      <x:c r="M88" s="60"/>
      <x:c r="N88" s="2"/>
    </x:row>
    <x:row r="89" ht="24" customHeight="1">
      <x:c r="A89" s="2"/>
      <x:c r="B89" s="2"/>
      <x:c r="C89" s="2"/>
      <x:c r="D89" s="2"/>
      <x:c r="E89" s="3"/>
      <x:c r="F89" s="3"/>
      <x:c r="G89" s="3"/>
      <x:c r="H89" s="3"/>
      <x:c r="I89" s="3"/>
      <x:c r="J89" s="3"/>
      <x:c r="K89" s="3"/>
      <x:c r="L89" s="2"/>
      <x:c r="M89" s="60"/>
      <x:c r="N89" s="2"/>
    </x:row>
    <x:row r="90" ht="24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2"/>
      <x:c r="M90" s="60"/>
      <x:c r="N90" s="2"/>
    </x:row>
  </x:sheetData>
  <x:conditionalFormatting sqref="E14:E16">
    <x:cfRule type="cellIs" dxfId="0" priority="1" operator="notEqual">
      <x:formula>0</x:formula>
    </x:cfRule>
  </x:conditionalFormatting>
  <x:pageMargins left="0.7" right="0.7" top="0.75" bottom="0.75" header="0.3" footer="0.3"/>
</x:worksheet>
</file>