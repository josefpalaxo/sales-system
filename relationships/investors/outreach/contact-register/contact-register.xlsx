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a3e2a6942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s" sheetId="1" r:id="Rc0eb867730104f31"/>
    <x:sheet xmlns:r="http://schemas.openxmlformats.org/officeDocument/2006/relationships" name="Activity" sheetId="2" r:id="Rcf0ef92e7f37445a"/>
    <x:sheet xmlns:r="http://schemas.openxmlformats.org/officeDocument/2006/relationships" name="Organisations" sheetId="3" r:id="R0716c5ceecf0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color rgb="FF203549"/>
      <x:name val="Arial"/>
    </x:font>
    <x:font>
      <x:b/>
      <x:sz val="19"/>
      <x:color rgb="FFFFFFFF"/>
      <x:name val="Arial"/>
    </x:font>
    <x:font>
      <x:sz val="10"/>
      <x:color rgb="FF536779"/>
      <x:name val="Arial"/>
    </x:font>
    <x:font>
      <x:b/>
      <x:sz val="10"/>
      <x:color rgb="FFFFFFFF"/>
      <x:name val="Arial"/>
    </x:font>
    <x:font>
      <x:sz val="10"/>
      <x:color rgb="FF1F5FA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765700"/>
      </x:font>
      <x:fill>
        <x:patternFill patternType="solid">
          <x:bgColor rgb="FFFFF0C4"/>
        </x:patternFill>
      </x:fill>
    </x:dxf>
    <x:dxf>
      <x:font>
        <x:color rgb="FF185735"/>
      </x:font>
      <x:fill>
        <x:patternFill patternType="solid">
          <x:bgColor rgb="FFDCED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4e5d7c3f74c30" /><Relationship Type="http://schemas.openxmlformats.org/officeDocument/2006/relationships/theme" Target="/xl/theme/theme1.xml" Id="R9a6fab4d6fa644a8" /><Relationship Type="http://schemas.openxmlformats.org/officeDocument/2006/relationships/sharedStrings" Target="/xl/sharedStrings.xml" Id="R87a3d2a0dd9a498f" /><Relationship Type="http://schemas.openxmlformats.org/officeDocument/2006/relationships/worksheet" Target="/xl/worksheets/sheet1.xml" Id="Rc0eb867730104f31" /><Relationship Type="http://schemas.openxmlformats.org/officeDocument/2006/relationships/worksheet" Target="/xl/worksheets/sheet2.xml" Id="Rcf0ef92e7f37445a" /><Relationship Type="http://schemas.openxmlformats.org/officeDocument/2006/relationships/worksheet" Target="/xl/worksheets/sheet3.xml" Id="R0716c5ceecf04e45" /></Relationships>
</file>

<file path=xl/tables/table1.xml><?xml version="1.0" encoding="utf-8"?>
<x:table xmlns:x="http://schemas.openxmlformats.org/spreadsheetml/2006/main" id="1" name="ContactsTable" displayName="ContactsTable" ref="A7:Q93" headerRowCount="1" totalsRowCount="0" totalsRowShown="0">
  <x:autoFilter ref="A7:Q93"/>
  <x:tableColumns count="17">
    <x:tableColumn id="1" name="Contact ID"/>
    <x:tableColumn id="2" name="Name"/>
    <x:tableColumn id="3" name="Organisation"/>
    <x:tableColumn id="4" name="Latest logged status"/>
    <x:tableColumn id="5" name="First recorded contact"/>
    <x:tableColumn id="6" name="Last activity date"/>
    <x:tableColumn id="7" name="Follow-up date"/>
    <x:tableColumn id="8" name="Next action"/>
    <x:tableColumn id="9" name="LinkedIn profile"/>
    <x:tableColumn id="10" name="Batches"/>
    <x:tableColumn id="11" name="Published role / relevance"/>
    <x:tableColumn id="12" name="Source files"/>
    <x:tableColumn id="13" name="Verification / role caution"/>
    <x:tableColumn id="14" name="Latest log entry"/>
    <x:tableColumn id="15" name="Last channel"/>
    <x:tableColumn id="16" name="Conversation file"/>
    <x:tableColumn id="17" name="Thread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vityTable" displayName="ActivityTable" ref="A7:O17" headerRowCount="1" totalsRowCount="0" totalsRowShown="0">
  <x:autoFilter ref="A7:O17"/>
  <x:tableColumns count="15">
    <x:tableColumn id="1" name="Entry"/>
    <x:tableColumn id="2" name="Contact ID"/>
    <x:tableColumn id="3" name="Date"/>
    <x:tableColumn id="4" name="Displayed time"/>
    <x:tableColumn id="5" name="Timezone"/>
    <x:tableColumn id="6" name="Channel"/>
    <x:tableColumn id="7" name="Direction"/>
    <x:tableColumn id="8" name="Status"/>
    <x:tableColumn id="9" name="Subject / interaction"/>
    <x:tableColumn id="10" name="Follow-up date"/>
    <x:tableColumn id="11" name="Next action"/>
    <x:tableColumn id="12" name="Thread URL"/>
    <x:tableColumn id="13" name="Conversation file"/>
    <x:tableColumn id="14" name="Owner"/>
    <x:tableColumn id="15" name="Evidence /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ganisationsTable" displayName="OrganisationsTable" ref="A7:J137" headerRowCount="1" totalsRowCount="0" totalsRowShown="0">
  <x:autoFilter ref="A7:J137"/>
  <x:tableColumns count="10">
    <x:tableColumn id="1" name="Organisation ID"/>
    <x:tableColumn id="2" name="Organisation"/>
    <x:tableColumn id="3" name="Batches"/>
    <x:tableColumn id="4" name="Named contacts"/>
    <x:tableColumn id="5" name="Website"/>
    <x:tableColumn id="6" name="Company LinkedIn"/>
    <x:tableColumn id="7" name="Region / location"/>
    <x:tableColumn id="8" name="Investor type"/>
    <x:tableColumn id="9" name="Source files"/>
    <x:tableColumn id="10" name="Qualification ca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04641c5aa640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ec9857cd8674e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6971bde32f4656" /></Relationships>
</file>

<file path=xl/worksheets/sheet1.xml><?xml version="1.0" encoding="utf-8"?>
<x:worksheet xmlns:x="http://schemas.openxmlformats.org/spreadsheetml/2006/main">
  <x:sheetPr>
    <x:tabColor rgb="FF173B56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29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43" hidden="0" customWidth="1"/>
    <x:col min="10" max="10" width="23" hidden="0" customWidth="1"/>
    <x:col min="11" max="11" width="48" hidden="0" customWidth="1"/>
    <x:col min="12" max="12" width="56" hidden="0" customWidth="1"/>
    <x:col min="13" max="13" width="80" hidden="0" customWidth="1"/>
    <x:col min="14" max="14" width="15" hidden="0" customWidth="1"/>
    <x:col min="15" max="15" width="16" hidden="0" customWidth="1"/>
    <x:col min="16" max="16" width="50" hidden="0" customWidth="1"/>
    <x:col min="17" max="17" width="60" hidden="0" customWidth="1"/>
  </x:cols>
  <x:sheetData>
    <x:row r="1" ht="34" customHeight="1">
      <x:c r="A1" s="3" t="str">
        <x:v>Circularo investor contact register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4" t="str">
        <x:v>One row per person across batches 01–04. Add interactions on Activity; status and dates update here.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4" t="str">
        <x:v>Draft · confidential · local register · checked 2026-10-03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1" t="str">
        <x:v>Contacts</x:v>
      </x:c>
      <x:c r="B5" s="1" t="n">
        <x:f>COUNTA(ContactsTable[Contact ID])</x:f>
        <x:v>86</x:v>
      </x:c>
      <x:c r="C5" s="1" t="str">
        <x:v>Awaiting reply</x:v>
      </x:c>
      <x:c r="D5" s="1" t="n">
        <x:f>COUNTIFS(ContactsTable[Latest logged status],"Sent awaiting reply")</x:f>
        <x:v>8</x:v>
      </x:c>
      <x:c r="E5" s="1" t="str">
        <x:v>No activity recorded</x:v>
      </x:c>
      <x:c r="F5" s="1" t="n">
        <x:f>COUNTIFS(ContactsTable[Latest logged status],"No outreach recorded")</x:f>
        <x:v>78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2" customHeight="1">
      <x:c r="A7" s="6" t="str">
        <x:v>Contact ID</x:v>
      </x:c>
      <x:c r="B7" s="6" t="str">
        <x:v>Name</x:v>
      </x:c>
      <x:c r="C7" s="6" t="str">
        <x:v>Organisation</x:v>
      </x:c>
      <x:c r="D7" s="6" t="str">
        <x:v>Latest logged status</x:v>
      </x:c>
      <x:c r="E7" s="6" t="str">
        <x:v>First recorded contact</x:v>
      </x:c>
      <x:c r="F7" s="6" t="str">
        <x:v>Last activity date</x:v>
      </x:c>
      <x:c r="G7" s="6" t="str">
        <x:v>Follow-up date</x:v>
      </x:c>
      <x:c r="H7" s="6" t="str">
        <x:v>Next action</x:v>
      </x:c>
      <x:c r="I7" s="6" t="str">
        <x:v>LinkedIn profile</x:v>
      </x:c>
      <x:c r="J7" s="6" t="str">
        <x:v>Batches</x:v>
      </x:c>
      <x:c r="K7" s="6" t="str">
        <x:v>Published role / relevance</x:v>
      </x:c>
      <x:c r="L7" s="6" t="str">
        <x:v>Source files</x:v>
      </x:c>
      <x:c r="M7" s="6" t="str">
        <x:v>Verification / role caution</x:v>
      </x:c>
      <x:c r="N7" s="6" t="str">
        <x:v>Latest log entry</x:v>
      </x:c>
      <x:c r="O7" s="6" t="str">
        <x:v>Last channel</x:v>
      </x:c>
      <x:c r="P7" s="6" t="str">
        <x:v>Conversation file</x:v>
      </x:c>
      <x:c r="Q7" s="6" t="str">
        <x:v>Thread URL</x:v>
      </x:c>
    </x:row>
    <x:row r="8" ht="34" customHeight="1">
      <x:c r="A8" s="8" t="str">
        <x:v>CON-9284e55365</x:v>
      </x:c>
      <x:c r="B8" s="8" t="str">
        <x:v>Alex Neo</x:v>
      </x:c>
      <x:c r="C8" s="8" t="str">
        <x:v>Singtel Innov8</x:v>
      </x:c>
      <x:c r="D8" s="8" t="str">
        <x:f>IF($N8="","No outreach recorded",_xlfn.XLOOKUP($N8,'Activity'!$A$8:$A$1007,'Activity'!$H$8:$H$1007,""))</x:f>
        <x:v>Sent awaiting reply</x:v>
      </x:c>
      <x:c r="E8" s="9" t="n">
        <x:f>IF($N8="","",_xlfn.MINIFS('Activity'!$C$8:$C$1007,'Activity'!$B$8:$B$1007,$A8))</x:f>
        <x:v>46298</x:v>
      </x:c>
      <x:c r="F8" s="9" t="n">
        <x:f>IF($N8="","",_xlfn.MAXIFS('Activity'!$C$8:$C$1007,'Activity'!$B$8:$B$1007,$A8))</x:f>
        <x:v>46298</x:v>
      </x:c>
      <x:c r="G8" s="9" t="str">
        <x:f>IF($N8="","",IF(_xlfn.XLOOKUP($N8,'Activity'!$A$8:$A$1007,'Activity'!$J$8:$J$1007,"")=0,"",_xlfn.XLOOKUP($N8,'Activity'!$A$8:$A$1007,'Activity'!$J$8:$J$1007,"")))</x:f>
      </x:c>
      <x:c r="H8" s="8" t="str">
        <x:f>IF($N8="","",IF(_xlfn.XLOOKUP($N8,'Activity'!$A$8:$A$1007,'Activity'!$K$8:$K$1007,"")=0,"",_xlfn.XLOOKUP($N8,'Activity'!$A$8:$A$1007,'Activity'!$K$8:$K$1007,"")))</x:f>
        <x:v>Review reply; arrange introductory call</x:v>
      </x:c>
      <x:c r="I8" s="8" t="str">
        <x:v>https://www.linkedin.com/in/neoalex/</x:v>
      </x:c>
      <x:c r="J8" s="8" t="str">
        <x:v>Batch 03</x:v>
      </x:c>
      <x:c r="K8" s="8" t="str">
        <x:v>Director (Investments), Singapore; APAC enterprise SaaS/infrastructure focus and prior cybersecurity experience. Suggested first sector/operating-fit discussion</x:v>
      </x:c>
      <x:c r="L8" s="8" t="str">
        <x:v>outreach-batch-03/leads/singtel-innov8.md</x:v>
      </x:c>
      <x:c r="M8" s="8" t="str">
        <x:v>Authenticated profile header checked 2026-10-03 confirms Director (Investments), Singtel Innov8, Singapore. Focus/background remain attributed to the earlier official-source review | Batch 03 suggested contact; transaction authority and interest unconfirmed.</x:v>
      </x:c>
      <x:c r="N8" s="8" t="n">
        <x:f>IF(COUNTIFS('Activity'!$B$8:$B$1007,$A8)=0,"",_xlfn.MAXIFS('Activity'!$A$8:$A$1007,'Activity'!$B$8:$B$1007,$A8))</x:f>
        <x:v>8</x:v>
      </x:c>
      <x:c r="O8" s="8" t="str">
        <x:f>IF($N8="","",IF(_xlfn.XLOOKUP($N8,'Activity'!$A$8:$A$1007,'Activity'!$F$8:$F$1007,"")=0,"",_xlfn.XLOOKUP($N8,'Activity'!$A$8:$A$1007,'Activity'!$F$8:$F$1007,"")))</x:f>
        <x:v>LinkedIn</x:v>
      </x:c>
      <x:c r="P8" s="8" t="str">
        <x:f>IF($N8="","",IF(_xlfn.XLOOKUP($N8,'Activity'!$A$8:$A$1007,'Activity'!$M$8:$M$1007,"")=0,"",_xlfn.XLOOKUP($N8,'Activity'!$A$8:$A$1007,'Activity'!$M$8:$M$1007,"")))</x:f>
        <x:v>conversations/alex-neo.md</x:v>
      </x:c>
      <x:c r="Q8" s="8" t="str">
        <x:f>IF($N8="","",IF(_xlfn.XLOOKUP($N8,'Activity'!$A$8:$A$1007,'Activity'!$L$8:$L$1007,"")=0,"",_xlfn.XLOOKUP($N8,'Activity'!$A$8:$A$1007,'Activity'!$L$8:$L$1007,"")))</x:f>
        <x:v>https://www.linkedin.com/messaging/thread/2-NjI0YWIyYzAtMWQ5Ni00ZDM1LWI1ZWEtMzUxNDNiNjljMzZjXzEwMA==/</x:v>
      </x:c>
    </x:row>
    <x:row r="9" ht="34" customHeight="1">
      <x:c r="A9" s="8" t="str">
        <x:v>CON-c2f2509ec0</x:v>
      </x:c>
      <x:c r="B9" s="8" t="str">
        <x:v>Dylan Pearce</x:v>
      </x:c>
      <x:c r="C9" s="8" t="str">
        <x:v>Greycroft</x:v>
      </x:c>
      <x:c r="D9" s="8" t="str">
        <x:f>IF($N9="","No outreach recorded",_xlfn.XLOOKUP($N9,'Activity'!$A$8:$A$1007,'Activity'!$H$8:$H$1007,""))</x:f>
        <x:v>Sent awaiting reply</x:v>
      </x:c>
      <x:c r="E9" s="9" t="n">
        <x:f>IF($N9="","",_xlfn.MINIFS('Activity'!$C$8:$C$1007,'Activity'!$B$8:$B$1007,$A9))</x:f>
        <x:v>46298</x:v>
      </x:c>
      <x:c r="F9" s="9" t="n">
        <x:f>IF($N9="","",_xlfn.MAXIFS('Activity'!$C$8:$C$1007,'Activity'!$B$8:$B$1007,$A9))</x:f>
        <x:v>46298</x:v>
      </x:c>
      <x:c r="G9" s="9" t="str">
        <x:f>IF($N9="","",IF(_xlfn.XLOOKUP($N9,'Activity'!$A$8:$A$1007,'Activity'!$J$8:$J$1007,"")=0,"",_xlfn.XLOOKUP($N9,'Activity'!$A$8:$A$1007,'Activity'!$J$8:$J$1007,"")))</x:f>
      </x:c>
      <x:c r="H9" s="8" t="str">
        <x:f>IF($N9="","",IF(_xlfn.XLOOKUP($N9,'Activity'!$A$8:$A$1007,'Activity'!$K$8:$K$1007,"")=0,"",_xlfn.XLOOKUP($N9,'Activity'!$A$8:$A$1007,'Activity'!$K$8:$K$1007,"")))</x:f>
        <x:v>Review reply; arrange LA meeting</x:v>
      </x:c>
      <x:c r="I9" s="8" t="str">
        <x:v>https://www.linkedin.com/in/pearcedylan/</x:v>
      </x:c>
      <x:c r="J9" s="8" t="str">
        <x:v>Batch 03; Batch 04</x:v>
      </x:c>
      <x:c r="K9" s="8" t="str">
        <x:v>Partner</x:v>
      </x:c>
      <x:c r="L9" s="8" t="str">
        <x:v>outreach-batch-03/leads/greycroft-dylan-pearce.md; outreach-batch-04/research.json</x:v>
      </x:c>
      <x:c r="M9" s="8" t="str">
        <x:v>Public indexed result checked on 2026-10-02; name, Greycroft association and Los Angeles location match the official biography. Full authenticated profile was not inspected | authenticated LinkedIn header inspected 2026-10-03; matches named firm and location | Batch 03 suggested contact; transaction authority and interest unconfirmed. | Existing user tip; software/AI contact locally based</x:v>
      </x:c>
      <x:c r="N9" s="8" t="n">
        <x:f>IF(COUNTIFS('Activity'!$B$8:$B$1007,$A9)=0,"",_xlfn.MAXIFS('Activity'!$A$8:$A$1007,'Activity'!$B$8:$B$1007,$A9))</x:f>
        <x:v>7</x:v>
      </x:c>
      <x:c r="O9" s="8" t="str">
        <x:f>IF($N9="","",IF(_xlfn.XLOOKUP($N9,'Activity'!$A$8:$A$1007,'Activity'!$F$8:$F$1007,"")=0,"",_xlfn.XLOOKUP($N9,'Activity'!$A$8:$A$1007,'Activity'!$F$8:$F$1007,"")))</x:f>
        <x:v>LinkedIn</x:v>
      </x:c>
      <x:c r="P9" s="8" t="str">
        <x:f>IF($N9="","",IF(_xlfn.XLOOKUP($N9,'Activity'!$A$8:$A$1007,'Activity'!$M$8:$M$1007,"")=0,"",_xlfn.XLOOKUP($N9,'Activity'!$A$8:$A$1007,'Activity'!$M$8:$M$1007,"")))</x:f>
        <x:v>conversations/dylan-pearce.md</x:v>
      </x:c>
      <x:c r="Q9" s="8" t="str">
        <x:f>IF($N9="","",IF(_xlfn.XLOOKUP($N9,'Activity'!$A$8:$A$1007,'Activity'!$L$8:$L$1007,"")=0,"",_xlfn.XLOOKUP($N9,'Activity'!$A$8:$A$1007,'Activity'!$L$8:$L$1007,"")))</x:f>
        <x:v>https://www.linkedin.com/messaging/thread/2-ODcxZjQ0MzEtNzU0Zi00YzJjLTk1NDQtMDAzNzYwNDQ4NzBjXzEwMA==/</x:v>
      </x:c>
    </x:row>
    <x:row r="10" ht="34" customHeight="1">
      <x:c r="A10" s="8" t="str">
        <x:v>CON-13fe0d21fb</x:v>
      </x:c>
      <x:c r="B10" s="8" t="str">
        <x:v>Hasan Askari</x:v>
      </x:c>
      <x:c r="C10" s="8" t="str">
        <x:v>K1 Investment Management</x:v>
      </x:c>
      <x:c r="D10" s="8" t="str">
        <x:f>IF($N10="","No outreach recorded",_xlfn.XLOOKUP($N10,'Activity'!$A$8:$A$1007,'Activity'!$H$8:$H$1007,""))</x:f>
        <x:v>Sent awaiting reply</x:v>
      </x:c>
      <x:c r="E10" s="9" t="n">
        <x:f>IF($N10="","",_xlfn.MINIFS('Activity'!$C$8:$C$1007,'Activity'!$B$8:$B$1007,$A10))</x:f>
        <x:v>46298</x:v>
      </x:c>
      <x:c r="F10" s="9" t="n">
        <x:f>IF($N10="","",_xlfn.MAXIFS('Activity'!$C$8:$C$1007,'Activity'!$B$8:$B$1007,$A10))</x:f>
        <x:v>46298</x:v>
      </x:c>
      <x:c r="G10" s="9" t="str">
        <x:f>IF($N10="","",IF(_xlfn.XLOOKUP($N10,'Activity'!$A$8:$A$1007,'Activity'!$J$8:$J$1007,"")=0,"",_xlfn.XLOOKUP($N10,'Activity'!$A$8:$A$1007,'Activity'!$J$8:$J$1007,"")))</x:f>
      </x:c>
      <x:c r="H10" s="8" t="str">
        <x:f>IF($N10="","",IF(_xlfn.XLOOKUP($N10,'Activity'!$A$8:$A$1007,'Activity'!$K$8:$K$1007,"")=0,"",_xlfn.XLOOKUP($N10,'Activity'!$A$8:$A$1007,'Activity'!$K$8:$K$1007,"")))</x:f>
        <x:v>Review reply; arrange LA meeting</x:v>
      </x:c>
      <x:c r="I10" s="8" t="str">
        <x:v>https://www.linkedin.com/in/hasan-askari-19512019/</x:v>
      </x:c>
      <x:c r="J10" s="8" t="str">
        <x:v>Batch 04</x:v>
      </x:c>
      <x:c r="K10" s="8" t="str">
        <x:v>Managing Partner</x:v>
      </x:c>
      <x:c r="L10" s="8" t="str">
        <x:v>outreach-batch-04/research.json</x:v>
      </x:c>
      <x:c r="M10" s="8" t="str">
        <x:v>authenticated LinkedIn header inspected 2026-10-03; matches named firm and location | Senior founder/transaction sponsor</x:v>
      </x:c>
      <x:c r="N10" s="8" t="n">
        <x:f>IF(COUNTIFS('Activity'!$B$8:$B$1007,$A10)=0,"",_xlfn.MAXIFS('Activity'!$A$8:$A$1007,'Activity'!$B$8:$B$1007,$A10))</x:f>
        <x:v>4</x:v>
      </x:c>
      <x:c r="O10" s="8" t="str">
        <x:f>IF($N10="","",IF(_xlfn.XLOOKUP($N10,'Activity'!$A$8:$A$1007,'Activity'!$F$8:$F$1007,"")=0,"",_xlfn.XLOOKUP($N10,'Activity'!$A$8:$A$1007,'Activity'!$F$8:$F$1007,"")))</x:f>
        <x:v>LinkedIn</x:v>
      </x:c>
      <x:c r="P10" s="8" t="str">
        <x:f>IF($N10="","",IF(_xlfn.XLOOKUP($N10,'Activity'!$A$8:$A$1007,'Activity'!$M$8:$M$1007,"")=0,"",_xlfn.XLOOKUP($N10,'Activity'!$A$8:$A$1007,'Activity'!$M$8:$M$1007,"")))</x:f>
        <x:v>conversations/hasan-askari.md</x:v>
      </x:c>
      <x:c r="Q10" s="8" t="str">
        <x:f>IF($N10="","",IF(_xlfn.XLOOKUP($N10,'Activity'!$A$8:$A$1007,'Activity'!$L$8:$L$1007,"")=0,"",_xlfn.XLOOKUP($N10,'Activity'!$A$8:$A$1007,'Activity'!$L$8:$L$1007,"")))</x:f>
        <x:v>https://www.linkedin.com/messaging/thread/2-ZmY4NDNjZGMtNjE3Ny00MjgyLTlkZTEtN2UwNTVjNTI1NGJjXzEwMA==/</x:v>
      </x:c>
    </x:row>
    <x:row r="11" ht="34" customHeight="1">
      <x:c r="A11" s="8" t="str">
        <x:v>CON-97c191fcf4</x:v>
      </x:c>
      <x:c r="B11" s="8" t="str">
        <x:v>Jed Leidheiser</x:v>
      </x:c>
      <x:c r="C11" s="8" t="str">
        <x:v>March Capital</x:v>
      </x:c>
      <x:c r="D11" s="8" t="str">
        <x:f>IF($N11="","No outreach recorded",_xlfn.XLOOKUP($N11,'Activity'!$A$8:$A$1007,'Activity'!$H$8:$H$1007,""))</x:f>
        <x:v>Sent awaiting reply</x:v>
      </x:c>
      <x:c r="E11" s="9" t="n">
        <x:f>IF($N11="","",_xlfn.MINIFS('Activity'!$C$8:$C$1007,'Activity'!$B$8:$B$1007,$A11))</x:f>
        <x:v>46298</x:v>
      </x:c>
      <x:c r="F11" s="9" t="n">
        <x:f>IF($N11="","",_xlfn.MAXIFS('Activity'!$C$8:$C$1007,'Activity'!$B$8:$B$1007,$A11))</x:f>
        <x:v>46298</x:v>
      </x:c>
      <x:c r="G11" s="9" t="str">
        <x:f>IF($N11="","",IF(_xlfn.XLOOKUP($N11,'Activity'!$A$8:$A$1007,'Activity'!$J$8:$J$1007,"")=0,"",_xlfn.XLOOKUP($N11,'Activity'!$A$8:$A$1007,'Activity'!$J$8:$J$1007,"")))</x:f>
      </x:c>
      <x:c r="H11" s="8" t="str">
        <x:f>IF($N11="","",IF(_xlfn.XLOOKUP($N11,'Activity'!$A$8:$A$1007,'Activity'!$K$8:$K$1007,"")=0,"",_xlfn.XLOOKUP($N11,'Activity'!$A$8:$A$1007,'Activity'!$K$8:$K$1007,"")))</x:f>
        <x:v>Review reply; arrange LA meeting</x:v>
      </x:c>
      <x:c r="I11" s="8" t="str">
        <x:v>https://www.linkedin.com/in/jedleidheiser/</x:v>
      </x:c>
      <x:c r="J11" s="8" t="str">
        <x:v>Batch 04</x:v>
      </x:c>
      <x:c r="K11" s="8" t="str">
        <x:v>Partner</x:v>
      </x:c>
      <x:c r="L11" s="8" t="str">
        <x:v>outreach-batch-04/research.json</x:v>
      </x:c>
      <x:c r="M11" s="8" t="str">
        <x:v>authenticated LinkedIn header inspected 2026-10-03; matches named firm and location | Cybersecurity investment lead and enterprise operating experience</x:v>
      </x:c>
      <x:c r="N11" s="8" t="n">
        <x:f>IF(COUNTIFS('Activity'!$B$8:$B$1007,$A11)=0,"",_xlfn.MAXIFS('Activity'!$A$8:$A$1007,'Activity'!$B$8:$B$1007,$A11))</x:f>
        <x:v>5</x:v>
      </x:c>
      <x:c r="O11" s="8" t="str">
        <x:f>IF($N11="","",IF(_xlfn.XLOOKUP($N11,'Activity'!$A$8:$A$1007,'Activity'!$F$8:$F$1007,"")=0,"",_xlfn.XLOOKUP($N11,'Activity'!$A$8:$A$1007,'Activity'!$F$8:$F$1007,"")))</x:f>
        <x:v>LinkedIn</x:v>
      </x:c>
      <x:c r="P11" s="8" t="str">
        <x:f>IF($N11="","",IF(_xlfn.XLOOKUP($N11,'Activity'!$A$8:$A$1007,'Activity'!$M$8:$M$1007,"")=0,"",_xlfn.XLOOKUP($N11,'Activity'!$A$8:$A$1007,'Activity'!$M$8:$M$1007,"")))</x:f>
        <x:v>conversations/jed-leidheiser.md</x:v>
      </x:c>
      <x:c r="Q11" s="8" t="str">
        <x:f>IF($N11="","",IF(_xlfn.XLOOKUP($N11,'Activity'!$A$8:$A$1007,'Activity'!$L$8:$L$1007,"")=0,"",_xlfn.XLOOKUP($N11,'Activity'!$A$8:$A$1007,'Activity'!$L$8:$L$1007,"")))</x:f>
        <x:v>https://www.linkedin.com/messaging/thread/2-ZDI2NTUzNTYtOTZlMS00NjYzLTkyNTMtNWVmOGJiYjI2MzRjXzEwMA==/</x:v>
      </x:c>
    </x:row>
    <x:row r="12" ht="34" customHeight="1">
      <x:c r="A12" s="8" t="str">
        <x:v>CON-3693ac5238</x:v>
      </x:c>
      <x:c r="B12" s="8" t="str">
        <x:v>Kobie Fuller</x:v>
      </x:c>
      <x:c r="C12" s="8" t="str">
        <x:v>Upfront Ventures</x:v>
      </x:c>
      <x:c r="D12" s="8" t="str">
        <x:f>IF($N12="","No outreach recorded",_xlfn.XLOOKUP($N12,'Activity'!$A$8:$A$1007,'Activity'!$H$8:$H$1007,""))</x:f>
        <x:v>Sent awaiting reply</x:v>
      </x:c>
      <x:c r="E12" s="9" t="n">
        <x:f>IF($N12="","",_xlfn.MINIFS('Activity'!$C$8:$C$1007,'Activity'!$B$8:$B$1007,$A12))</x:f>
        <x:v>46298</x:v>
      </x:c>
      <x:c r="F12" s="9" t="n">
        <x:f>IF($N12="","",_xlfn.MAXIFS('Activity'!$C$8:$C$1007,'Activity'!$B$8:$B$1007,$A12))</x:f>
        <x:v>46298</x:v>
      </x:c>
      <x:c r="G12" s="9" t="str">
        <x:f>IF($N12="","",IF(_xlfn.XLOOKUP($N12,'Activity'!$A$8:$A$1007,'Activity'!$J$8:$J$1007,"")=0,"",_xlfn.XLOOKUP($N12,'Activity'!$A$8:$A$1007,'Activity'!$J$8:$J$1007,"")))</x:f>
      </x:c>
      <x:c r="H12" s="8" t="str">
        <x:f>IF($N12="","",IF(_xlfn.XLOOKUP($N12,'Activity'!$A$8:$A$1007,'Activity'!$K$8:$K$1007,"")=0,"",_xlfn.XLOOKUP($N12,'Activity'!$A$8:$A$1007,'Activity'!$K$8:$K$1007,"")))</x:f>
        <x:v>Review reply; arrange LA meeting</x:v>
      </x:c>
      <x:c r="I12" s="8" t="str">
        <x:v>https://www.linkedin.com/in/kobiefuller/</x:v>
      </x:c>
      <x:c r="J12" s="8" t="str">
        <x:v>Batch 04</x:v>
      </x:c>
      <x:c r="K12" s="8" t="str">
        <x:v>General Partner</x:v>
      </x:c>
      <x:c r="L12" s="8" t="str">
        <x:v>outreach-batch-04/research.json</x:v>
      </x:c>
      <x:c r="M12" s="8" t="str">
        <x:v>authenticated LinkedIn header inspected 2026-10-03; matches named firm and location | Enterprise/AI discussion and LA introductions</x:v>
      </x:c>
      <x:c r="N12" s="8" t="n">
        <x:f>IF(COUNTIFS('Activity'!$B$8:$B$1007,$A12)=0,"",_xlfn.MAXIFS('Activity'!$A$8:$A$1007,'Activity'!$B$8:$B$1007,$A12))</x:f>
        <x:v>1</x:v>
      </x:c>
      <x:c r="O12" s="8" t="str">
        <x:f>IF($N12="","",IF(_xlfn.XLOOKUP($N12,'Activity'!$A$8:$A$1007,'Activity'!$F$8:$F$1007,"")=0,"",_xlfn.XLOOKUP($N12,'Activity'!$A$8:$A$1007,'Activity'!$F$8:$F$1007,"")))</x:f>
        <x:v>LinkedIn</x:v>
      </x:c>
      <x:c r="P12" s="8" t="str">
        <x:f>IF($N12="","",IF(_xlfn.XLOOKUP($N12,'Activity'!$A$8:$A$1007,'Activity'!$M$8:$M$1007,"")=0,"",_xlfn.XLOOKUP($N12,'Activity'!$A$8:$A$1007,'Activity'!$M$8:$M$1007,"")))</x:f>
        <x:v>conversations/kobie-fuller.md</x:v>
      </x:c>
      <x:c r="Q12" s="8" t="str">
        <x:f>IF($N12="","",IF(_xlfn.XLOOKUP($N12,'Activity'!$A$8:$A$1007,'Activity'!$L$8:$L$1007,"")=0,"",_xlfn.XLOOKUP($N12,'Activity'!$A$8:$A$1007,'Activity'!$L$8:$L$1007,"")))</x:f>
        <x:v>https://www.linkedin.com/messaging/thread/2-YjNlNmQwZGQtNDRhNy00NGY2LTkwY2MtOTI1N2E1NzM5ZDgwXzEwMA==/</x:v>
      </x:c>
    </x:row>
    <x:row r="13" ht="34" customHeight="1">
      <x:c r="A13" s="8" t="str">
        <x:v>CON-b47cdf8025</x:v>
      </x:c>
      <x:c r="B13" s="8" t="str">
        <x:v>Paul Huber</x:v>
      </x:c>
      <x:c r="C13" s="8" t="str">
        <x:v>Clearlake Capital Group</x:v>
      </x:c>
      <x:c r="D13" s="8" t="str">
        <x:f>IF($N13="","No outreach recorded",_xlfn.XLOOKUP($N13,'Activity'!$A$8:$A$1007,'Activity'!$H$8:$H$1007,""))</x:f>
        <x:v>Sent awaiting reply</x:v>
      </x:c>
      <x:c r="E13" s="9" t="n">
        <x:f>IF($N13="","",_xlfn.MINIFS('Activity'!$C$8:$C$1007,'Activity'!$B$8:$B$1007,$A13))</x:f>
        <x:v>46298</x:v>
      </x:c>
      <x:c r="F13" s="9" t="n">
        <x:f>IF($N13="","",_xlfn.MAXIFS('Activity'!$C$8:$C$1007,'Activity'!$B$8:$B$1007,$A13))</x:f>
        <x:v>46298</x:v>
      </x:c>
      <x:c r="G13" s="9" t="str">
        <x:f>IF($N13="","",IF(_xlfn.XLOOKUP($N13,'Activity'!$A$8:$A$1007,'Activity'!$J$8:$J$1007,"")=0,"",_xlfn.XLOOKUP($N13,'Activity'!$A$8:$A$1007,'Activity'!$J$8:$J$1007,"")))</x:f>
      </x:c>
      <x:c r="H13" s="8" t="str">
        <x:f>IF($N13="","",IF(_xlfn.XLOOKUP($N13,'Activity'!$A$8:$A$1007,'Activity'!$K$8:$K$1007,"")=0,"",_xlfn.XLOOKUP($N13,'Activity'!$A$8:$A$1007,'Activity'!$K$8:$K$1007,"")))</x:f>
        <x:v>Review reply; arrange LA meeting</x:v>
      </x:c>
      <x:c r="I13" s="8" t="str">
        <x:v>https://www.linkedin.com/in/paulcampbellhuber/</x:v>
      </x:c>
      <x:c r="J13" s="8" t="str">
        <x:v>Batch 04</x:v>
      </x:c>
      <x:c r="K13" s="8" t="str">
        <x:v>Partner and Managing Director</x:v>
      </x:c>
      <x:c r="L13" s="8" t="str">
        <x:v>outreach-batch-04/research.json</x:v>
      </x:c>
      <x:c r="M13" s="8" t="str">
        <x:v>authenticated LinkedIn header inspected 2026-10-03; matches named firm and location | Software/identity transaction sponsor; Quest adjacency</x:v>
      </x:c>
      <x:c r="N13" s="8" t="n">
        <x:f>IF(COUNTIFS('Activity'!$B$8:$B$1007,$A13)=0,"",_xlfn.MAXIFS('Activity'!$A$8:$A$1007,'Activity'!$B$8:$B$1007,$A13))</x:f>
        <x:v>2</x:v>
      </x:c>
      <x:c r="O13" s="8" t="str">
        <x:f>IF($N13="","",IF(_xlfn.XLOOKUP($N13,'Activity'!$A$8:$A$1007,'Activity'!$F$8:$F$1007,"")=0,"",_xlfn.XLOOKUP($N13,'Activity'!$A$8:$A$1007,'Activity'!$F$8:$F$1007,"")))</x:f>
        <x:v>LinkedIn</x:v>
      </x:c>
      <x:c r="P13" s="8" t="str">
        <x:f>IF($N13="","",IF(_xlfn.XLOOKUP($N13,'Activity'!$A$8:$A$1007,'Activity'!$M$8:$M$1007,"")=0,"",_xlfn.XLOOKUP($N13,'Activity'!$A$8:$A$1007,'Activity'!$M$8:$M$1007,"")))</x:f>
        <x:v>conversations/paul-huber.md</x:v>
      </x:c>
      <x:c r="Q13" s="8" t="str">
        <x:f>IF($N13="","",IF(_xlfn.XLOOKUP($N13,'Activity'!$A$8:$A$1007,'Activity'!$L$8:$L$1007,"")=0,"",_xlfn.XLOOKUP($N13,'Activity'!$A$8:$A$1007,'Activity'!$L$8:$L$1007,"")))</x:f>
        <x:v>https://www.linkedin.com/messaging/thread/2-ZmJmYmZkM2QtMmY0Zi00YzZkLWJmZmItN2NlMGU2ZjVmNGY3XzEwMA==/</x:v>
      </x:c>
    </x:row>
    <x:row r="14" ht="34" customHeight="1">
      <x:c r="A14" s="8" t="str">
        <x:v>CON-d0c4e0ef20</x:v>
      </x:c>
      <x:c r="B14" s="8" t="str">
        <x:v>Ryan Laurin</x:v>
      </x:c>
      <x:c r="C14" s="8" t="str">
        <x:v>Marlin Equity Partners</x:v>
      </x:c>
      <x:c r="D14" s="8" t="str">
        <x:f>IF($N14="","No outreach recorded",_xlfn.XLOOKUP($N14,'Activity'!$A$8:$A$1007,'Activity'!$H$8:$H$1007,""))</x:f>
        <x:v>Sent awaiting reply</x:v>
      </x:c>
      <x:c r="E14" s="9" t="n">
        <x:f>IF($N14="","",_xlfn.MINIFS('Activity'!$C$8:$C$1007,'Activity'!$B$8:$B$1007,$A14))</x:f>
        <x:v>46298</x:v>
      </x:c>
      <x:c r="F14" s="9" t="n">
        <x:f>IF($N14="","",_xlfn.MAXIFS('Activity'!$C$8:$C$1007,'Activity'!$B$8:$B$1007,$A14))</x:f>
        <x:v>46298</x:v>
      </x:c>
      <x:c r="G14" s="9" t="str">
        <x:f>IF($N14="","",IF(_xlfn.XLOOKUP($N14,'Activity'!$A$8:$A$1007,'Activity'!$J$8:$J$1007,"")=0,"",_xlfn.XLOOKUP($N14,'Activity'!$A$8:$A$1007,'Activity'!$J$8:$J$1007,"")))</x:f>
      </x:c>
      <x:c r="H14" s="8" t="str">
        <x:f>IF($N14="","",IF(_xlfn.XLOOKUP($N14,'Activity'!$A$8:$A$1007,'Activity'!$K$8:$K$1007,"")=0,"",_xlfn.XLOOKUP($N14,'Activity'!$A$8:$A$1007,'Activity'!$K$8:$K$1007,"")))</x:f>
        <x:v>Review reply; arrange LA meeting</x:v>
      </x:c>
      <x:c r="I14" s="8" t="str">
        <x:v>https://www.linkedin.com/in/ryanlaurin/</x:v>
      </x:c>
      <x:c r="J14" s="8" t="str">
        <x:v>Batch 04</x:v>
      </x:c>
      <x:c r="K14" s="8" t="str">
        <x:v>Managing Director</x:v>
      </x:c>
      <x:c r="L14" s="8" t="str">
        <x:v>outreach-batch-04/research.json</x:v>
      </x:c>
      <x:c r="M14" s="8" t="str">
        <x:v>authenticated LinkedIn header inspected 2026-10-03; matches named firm and location | Direct deal-origination and qualification route</x:v>
      </x:c>
      <x:c r="N14" s="8" t="n">
        <x:f>IF(COUNTIFS('Activity'!$B$8:$B$1007,$A14)=0,"",_xlfn.MAXIFS('Activity'!$A$8:$A$1007,'Activity'!$B$8:$B$1007,$A14))</x:f>
        <x:v>3</x:v>
      </x:c>
      <x:c r="O14" s="8" t="str">
        <x:f>IF($N14="","",IF(_xlfn.XLOOKUP($N14,'Activity'!$A$8:$A$1007,'Activity'!$F$8:$F$1007,"")=0,"",_xlfn.XLOOKUP($N14,'Activity'!$A$8:$A$1007,'Activity'!$F$8:$F$1007,"")))</x:f>
        <x:v>LinkedIn</x:v>
      </x:c>
      <x:c r="P14" s="8" t="str">
        <x:f>IF($N14="","",IF(_xlfn.XLOOKUP($N14,'Activity'!$A$8:$A$1007,'Activity'!$M$8:$M$1007,"")=0,"",_xlfn.XLOOKUP($N14,'Activity'!$A$8:$A$1007,'Activity'!$M$8:$M$1007,"")))</x:f>
        <x:v>conversations/ryan-laurin.md</x:v>
      </x:c>
      <x:c r="Q14" s="8" t="str">
        <x:f>IF($N14="","",IF(_xlfn.XLOOKUP($N14,'Activity'!$A$8:$A$1007,'Activity'!$L$8:$L$1007,"")=0,"",_xlfn.XLOOKUP($N14,'Activity'!$A$8:$A$1007,'Activity'!$L$8:$L$1007,"")))</x:f>
        <x:v>https://www.linkedin.com/messaging/thread/2-YzQ2ZDlhZjItM2EwMi00YWQ1LWI4ZGQtMGYyYWIzY2ZmNWNjXzEwMA==/</x:v>
      </x:c>
    </x:row>
    <x:row r="15" ht="34" customHeight="1">
      <x:c r="A15" s="8" t="str">
        <x:v>CON-58878be8b7</x:v>
      </x:c>
      <x:c r="B15" s="8" t="str">
        <x:v>Thomas Oh</x:v>
      </x:c>
      <x:c r="C15" s="8" t="str">
        <x:v>Arrowroot Capital</x:v>
      </x:c>
      <x:c r="D15" s="8" t="str">
        <x:f>IF($N15="","No outreach recorded",_xlfn.XLOOKUP($N15,'Activity'!$A$8:$A$1007,'Activity'!$H$8:$H$1007,""))</x:f>
        <x:v>Sent awaiting reply</x:v>
      </x:c>
      <x:c r="E15" s="9" t="n">
        <x:f>IF($N15="","",_xlfn.MINIFS('Activity'!$C$8:$C$1007,'Activity'!$B$8:$B$1007,$A15))</x:f>
        <x:v>46298</x:v>
      </x:c>
      <x:c r="F15" s="9" t="n">
        <x:f>IF($N15="","",_xlfn.MAXIFS('Activity'!$C$8:$C$1007,'Activity'!$B$8:$B$1007,$A15))</x:f>
        <x:v>46298</x:v>
      </x:c>
      <x:c r="G15" s="9" t="str">
        <x:f>IF($N15="","",IF(_xlfn.XLOOKUP($N15,'Activity'!$A$8:$A$1007,'Activity'!$J$8:$J$1007,"")=0,"",_xlfn.XLOOKUP($N15,'Activity'!$A$8:$A$1007,'Activity'!$J$8:$J$1007,"")))</x:f>
      </x:c>
      <x:c r="H15" s="8" t="str">
        <x:f>IF($N15="","",IF(_xlfn.XLOOKUP($N15,'Activity'!$A$8:$A$1007,'Activity'!$K$8:$K$1007,"")=0,"",_xlfn.XLOOKUP($N15,'Activity'!$A$8:$A$1007,'Activity'!$K$8:$K$1007,"")))</x:f>
        <x:v>Review reply; arrange LA meeting</x:v>
      </x:c>
      <x:c r="I15" s="8" t="str">
        <x:v>https://www.linkedin.com/in/thomasoh52/</x:v>
      </x:c>
      <x:c r="J15" s="8" t="str">
        <x:v>Batch 04</x:v>
      </x:c>
      <x:c r="K15" s="8" t="str">
        <x:v>Partner</x:v>
      </x:c>
      <x:c r="L15" s="8" t="str">
        <x:v>outreach-batch-04/research.json</x:v>
      </x:c>
      <x:c r="M15" s="8" t="str">
        <x:v>authenticated LinkedIn header inspected 2026-10-03; matches named firm and location | Sourcing, transaction execution and portfolio management</x:v>
      </x:c>
      <x:c r="N15" s="8" t="n">
        <x:f>IF(COUNTIFS('Activity'!$B$8:$B$1007,$A15)=0,"",_xlfn.MAXIFS('Activity'!$A$8:$A$1007,'Activity'!$B$8:$B$1007,$A15))</x:f>
        <x:v>6</x:v>
      </x:c>
      <x:c r="O15" s="8" t="str">
        <x:f>IF($N15="","",IF(_xlfn.XLOOKUP($N15,'Activity'!$A$8:$A$1007,'Activity'!$F$8:$F$1007,"")=0,"",_xlfn.XLOOKUP($N15,'Activity'!$A$8:$A$1007,'Activity'!$F$8:$F$1007,"")))</x:f>
        <x:v>LinkedIn</x:v>
      </x:c>
      <x:c r="P15" s="8" t="str">
        <x:f>IF($N15="","",IF(_xlfn.XLOOKUP($N15,'Activity'!$A$8:$A$1007,'Activity'!$M$8:$M$1007,"")=0,"",_xlfn.XLOOKUP($N15,'Activity'!$A$8:$A$1007,'Activity'!$M$8:$M$1007,"")))</x:f>
        <x:v>conversations/thomas-oh.md</x:v>
      </x:c>
      <x:c r="Q15" s="8" t="str">
        <x:f>IF($N15="","",IF(_xlfn.XLOOKUP($N15,'Activity'!$A$8:$A$1007,'Activity'!$L$8:$L$1007,"")=0,"",_xlfn.XLOOKUP($N15,'Activity'!$A$8:$A$1007,'Activity'!$L$8:$L$1007,"")))</x:f>
        <x:v>https://www.linkedin.com/messaging/thread/2-MmQ4MzczOTgtMDM0MC00MzU5LTk1ZDktNWNhMGI5NTNkMDAzXzEwMA==/</x:v>
      </x:c>
    </x:row>
    <x:row r="16" ht="34" customHeight="1">
      <x:c r="A16" s="8" t="str">
        <x:v>CON-a388e98b0f</x:v>
      </x:c>
      <x:c r="B16" s="8" t="str">
        <x:v>Alameen Alhazmi</x:v>
      </x:c>
      <x:c r="C16" s="8" t="str">
        <x:v>Elm</x:v>
      </x:c>
      <x:c r="D16" s="8" t="str">
        <x:f>IF($N16="","No outreach recorded",_xlfn.XLOOKUP($N16,'Activity'!$A$8:$A$1007,'Activity'!$H$8:$H$1007,""))</x:f>
        <x:v>No outreach recorded</x:v>
      </x:c>
      <x:c r="E16" s="9" t="str">
        <x:f>IF($N16="","",_xlfn.MINIFS('Activity'!$C$8:$C$1007,'Activity'!$B$8:$B$1007,$A16))</x:f>
      </x:c>
      <x:c r="F16" s="9" t="str">
        <x:f>IF($N16="","",_xlfn.MAXIFS('Activity'!$C$8:$C$1007,'Activity'!$B$8:$B$1007,$A16))</x:f>
      </x:c>
      <x:c r="G16" s="9" t="str">
        <x:f>IF($N16="","",IF(_xlfn.XLOOKUP($N16,'Activity'!$A$8:$A$1007,'Activity'!$J$8:$J$1007,"")=0,"",_xlfn.XLOOKUP($N16,'Activity'!$A$8:$A$1007,'Activity'!$J$8:$J$1007,"")))</x:f>
      </x:c>
      <x:c r="H16" s="8" t="str">
        <x:f>IF($N16="","",IF(_xlfn.XLOOKUP($N16,'Activity'!$A$8:$A$1007,'Activity'!$K$8:$K$1007,"")=0,"",_xlfn.XLOOKUP($N16,'Activity'!$A$8:$A$1007,'Activity'!$K$8:$K$1007,"")))</x:f>
      </x:c>
      <x:c r="I16" s="8" t="str">
        <x:v>https://www.linkedin.com/in/alameen-alhazmi-664ab31/</x:v>
      </x:c>
      <x:c r="J16" s="8" t="str">
        <x:v>Batch 01; Batch 02</x:v>
      </x:c>
      <x:c r="K16" s="8" t="str">
        <x:v>Group Chief, Integrated Solutions</x:v>
      </x:c>
      <x:c r="L16" s="8" t="str">
        <x:v>outreach-batch-01/contacts.csv; outreach-batch-02/contacts.csv</x:v>
      </x:c>
      <x:c r="M16" s="8" t="str">
        <x:v>Authenticated LinkedIn page read | Official page says Group Chief, Integrated Solutions; LinkedIn says Chief Integrated Solutions Officer.</x:v>
      </x:c>
      <x:c r="N16" s="8" t="str">
        <x:f>IF(COUNTIFS('Activity'!$B$8:$B$1007,$A16)=0,"",_xlfn.MAXIFS('Activity'!$A$8:$A$1007,'Activity'!$B$8:$B$1007,$A16))</x:f>
      </x:c>
      <x:c r="O16" s="8" t="str">
        <x:f>IF($N16="","",IF(_xlfn.XLOOKUP($N16,'Activity'!$A$8:$A$1007,'Activity'!$F$8:$F$1007,"")=0,"",_xlfn.XLOOKUP($N16,'Activity'!$A$8:$A$1007,'Activity'!$F$8:$F$1007,"")))</x:f>
      </x:c>
      <x:c r="P16" s="8" t="str">
        <x:f>IF($N16="","",IF(_xlfn.XLOOKUP($N16,'Activity'!$A$8:$A$1007,'Activity'!$M$8:$M$1007,"")=0,"",_xlfn.XLOOKUP($N16,'Activity'!$A$8:$A$1007,'Activity'!$M$8:$M$1007,"")))</x:f>
      </x:c>
      <x:c r="Q16" s="8" t="str">
        <x:f>IF($N16="","",IF(_xlfn.XLOOKUP($N16,'Activity'!$A$8:$A$1007,'Activity'!$L$8:$L$1007,"")=0,"",_xlfn.XLOOKUP($N16,'Activity'!$A$8:$A$1007,'Activity'!$L$8:$L$1007,"")))</x:f>
      </x:c>
    </x:row>
    <x:row r="17" ht="34" customHeight="1">
      <x:c r="A17" s="8" t="str">
        <x:v>CON-cbf925c23f</x:v>
      </x:c>
      <x:c r="B17" s="8" t="str">
        <x:v>Alex Malvone (Alexander Malvone)</x:v>
      </x:c>
      <x:c r="C17" s="8" t="str">
        <x:v>FTV Capital / Ascend</x:v>
      </x:c>
      <x:c r="D17" s="8" t="str">
        <x:f>IF($N17="","No outreach recorded",_xlfn.XLOOKUP($N17,'Activity'!$A$8:$A$1007,'Activity'!$H$8:$H$1007,""))</x:f>
        <x:v>No outreach recorded</x:v>
      </x:c>
      <x:c r="E17" s="9" t="str">
        <x:f>IF($N17="","",_xlfn.MINIFS('Activity'!$C$8:$C$1007,'Activity'!$B$8:$B$1007,$A17))</x:f>
      </x:c>
      <x:c r="F17" s="9" t="str">
        <x:f>IF($N17="","",_xlfn.MAXIFS('Activity'!$C$8:$C$1007,'Activity'!$B$8:$B$1007,$A17))</x:f>
      </x:c>
      <x:c r="G17" s="9" t="str">
        <x:f>IF($N17="","",IF(_xlfn.XLOOKUP($N17,'Activity'!$A$8:$A$1007,'Activity'!$J$8:$J$1007,"")=0,"",_xlfn.XLOOKUP($N17,'Activity'!$A$8:$A$1007,'Activity'!$J$8:$J$1007,"")))</x:f>
      </x:c>
      <x:c r="H17" s="8" t="str">
        <x:f>IF($N17="","",IF(_xlfn.XLOOKUP($N17,'Activity'!$A$8:$A$1007,'Activity'!$K$8:$K$1007,"")=0,"",_xlfn.XLOOKUP($N17,'Activity'!$A$8:$A$1007,'Activity'!$K$8:$K$1007,"")))</x:f>
      </x:c>
      <x:c r="I17" s="8" t="str">
        <x:v>https://www.linkedin.com/in/alexandermalvone/</x:v>
      </x:c>
      <x:c r="J17" s="8" t="str">
        <x:v>Batch 02</x:v>
      </x:c>
      <x:c r="K17" s="8" t="str">
        <x:v>Partner; co-head of FTV Ascend</x:v>
      </x:c>
      <x:c r="L17" s="8" t="str">
        <x:v>outreach-batch-02/contacts.csv</x:v>
      </x:c>
      <x:c r="M17" s="8" t="str">
        <x:v>Indexed LinkedIn profile matched to official role | Public role observed; exact transaction authority not established.</x:v>
      </x:c>
      <x:c r="N17" s="8" t="str">
        <x:f>IF(COUNTIFS('Activity'!$B$8:$B$1007,$A17)=0,"",_xlfn.MAXIFS('Activity'!$A$8:$A$1007,'Activity'!$B$8:$B$1007,$A17))</x:f>
      </x:c>
      <x:c r="O17" s="8" t="str">
        <x:f>IF($N17="","",IF(_xlfn.XLOOKUP($N17,'Activity'!$A$8:$A$1007,'Activity'!$F$8:$F$1007,"")=0,"",_xlfn.XLOOKUP($N17,'Activity'!$A$8:$A$1007,'Activity'!$F$8:$F$1007,"")))</x:f>
      </x:c>
      <x:c r="P17" s="8" t="str">
        <x:f>IF($N17="","",IF(_xlfn.XLOOKUP($N17,'Activity'!$A$8:$A$1007,'Activity'!$M$8:$M$1007,"")=0,"",_xlfn.XLOOKUP($N17,'Activity'!$A$8:$A$1007,'Activity'!$M$8:$M$1007,"")))</x:f>
      </x:c>
      <x:c r="Q17" s="8" t="str">
        <x:f>IF($N17="","",IF(_xlfn.XLOOKUP($N17,'Activity'!$A$8:$A$1007,'Activity'!$L$8:$L$1007,"")=0,"",_xlfn.XLOOKUP($N17,'Activity'!$A$8:$A$1007,'Activity'!$L$8:$L$1007,"")))</x:f>
      </x:c>
    </x:row>
    <x:row r="18" ht="34" customHeight="1">
      <x:c r="A18" s="8" t="str">
        <x:v>CON-3cbd1c508d</x:v>
      </x:c>
      <x:c r="B18" s="8" t="str">
        <x:v>Amit Sinha</x:v>
      </x:c>
      <x:c r="C18" s="8" t="str">
        <x:v>DigiCert</x:v>
      </x:c>
      <x:c r="D18" s="8" t="str">
        <x:f>IF($N18="","No outreach recorded",_xlfn.XLOOKUP($N18,'Activity'!$A$8:$A$1007,'Activity'!$H$8:$H$1007,""))</x:f>
        <x:v>No outreach recorded</x:v>
      </x:c>
      <x:c r="E18" s="9" t="str">
        <x:f>IF($N18="","",_xlfn.MINIFS('Activity'!$C$8:$C$1007,'Activity'!$B$8:$B$1007,$A18))</x:f>
      </x:c>
      <x:c r="F18" s="9" t="str">
        <x:f>IF($N18="","",_xlfn.MAXIFS('Activity'!$C$8:$C$1007,'Activity'!$B$8:$B$1007,$A18))</x:f>
      </x:c>
      <x:c r="G18" s="9" t="str">
        <x:f>IF($N18="","",IF(_xlfn.XLOOKUP($N18,'Activity'!$A$8:$A$1007,'Activity'!$J$8:$J$1007,"")=0,"",_xlfn.XLOOKUP($N18,'Activity'!$A$8:$A$1007,'Activity'!$J$8:$J$1007,"")))</x:f>
      </x:c>
      <x:c r="H18" s="8" t="str">
        <x:f>IF($N18="","",IF(_xlfn.XLOOKUP($N18,'Activity'!$A$8:$A$1007,'Activity'!$K$8:$K$1007,"")=0,"",_xlfn.XLOOKUP($N18,'Activity'!$A$8:$A$1007,'Activity'!$K$8:$K$1007,"")))</x:f>
      </x:c>
      <x:c r="I18" s="8" t="str">
        <x:v>https://www.linkedin.com/in/amitsinha/</x:v>
      </x:c>
      <x:c r="J18" s="8" t="str">
        <x:v>Batch 02</x:v>
      </x:c>
      <x:c r="K18" s="8" t="str">
        <x:v>CEO</x:v>
      </x:c>
      <x:c r="L18" s="8" t="str">
        <x:v>outreach-batch-02/contacts.csv</x:v>
      </x:c>
      <x:c r="M18" s="8" t="str">
        <x:v>Indexed LinkedIn profile matched to official role | Public role observed; exact transaction authority not established.</x:v>
      </x:c>
      <x:c r="N18" s="8" t="str">
        <x:f>IF(COUNTIFS('Activity'!$B$8:$B$1007,$A18)=0,"",_xlfn.MAXIFS('Activity'!$A$8:$A$1007,'Activity'!$B$8:$B$1007,$A18))</x:f>
      </x:c>
      <x:c r="O18" s="8" t="str">
        <x:f>IF($N18="","",IF(_xlfn.XLOOKUP($N18,'Activity'!$A$8:$A$1007,'Activity'!$F$8:$F$1007,"")=0,"",_xlfn.XLOOKUP($N18,'Activity'!$A$8:$A$1007,'Activity'!$F$8:$F$1007,"")))</x:f>
      </x:c>
      <x:c r="P18" s="8" t="str">
        <x:f>IF($N18="","",IF(_xlfn.XLOOKUP($N18,'Activity'!$A$8:$A$1007,'Activity'!$M$8:$M$1007,"")=0,"",_xlfn.XLOOKUP($N18,'Activity'!$A$8:$A$1007,'Activity'!$M$8:$M$1007,"")))</x:f>
      </x:c>
      <x:c r="Q18" s="8" t="str">
        <x:f>IF($N18="","",IF(_xlfn.XLOOKUP($N18,'Activity'!$A$8:$A$1007,'Activity'!$L$8:$L$1007,"")=0,"",_xlfn.XLOOKUP($N18,'Activity'!$A$8:$A$1007,'Activity'!$L$8:$L$1007,"")))</x:f>
      </x:c>
    </x:row>
    <x:row r="19" ht="34" customHeight="1">
      <x:c r="A19" s="8" t="str">
        <x:v>CON-cc1fea3ac8</x:v>
      </x:c>
      <x:c r="B19" s="8" t="str">
        <x:v>Andrew Kvålseth</x:v>
      </x:c>
      <x:c r="C19" s="8" t="str">
        <x:v>Beyon</x:v>
      </x:c>
      <x:c r="D19" s="8" t="str">
        <x:f>IF($N19="","No outreach recorded",_xlfn.XLOOKUP($N19,'Activity'!$A$8:$A$1007,'Activity'!$H$8:$H$1007,""))</x:f>
        <x:v>No outreach recorded</x:v>
      </x:c>
      <x:c r="E19" s="9" t="str">
        <x:f>IF($N19="","",_xlfn.MINIFS('Activity'!$C$8:$C$1007,'Activity'!$B$8:$B$1007,$A19))</x:f>
      </x:c>
      <x:c r="F19" s="9" t="str">
        <x:f>IF($N19="","",_xlfn.MAXIFS('Activity'!$C$8:$C$1007,'Activity'!$B$8:$B$1007,$A19))</x:f>
      </x:c>
      <x:c r="G19" s="9" t="str">
        <x:f>IF($N19="","",IF(_xlfn.XLOOKUP($N19,'Activity'!$A$8:$A$1007,'Activity'!$J$8:$J$1007,"")=0,"",_xlfn.XLOOKUP($N19,'Activity'!$A$8:$A$1007,'Activity'!$J$8:$J$1007,"")))</x:f>
      </x:c>
      <x:c r="H19" s="8" t="str">
        <x:f>IF($N19="","",IF(_xlfn.XLOOKUP($N19,'Activity'!$A$8:$A$1007,'Activity'!$K$8:$K$1007,"")=0,"",_xlfn.XLOOKUP($N19,'Activity'!$A$8:$A$1007,'Activity'!$K$8:$K$1007,"")))</x:f>
      </x:c>
      <x:c r="I19" s="8" t="str">
        <x:v>https://www.linkedin.com/in/andrew-kv%C3%A5lseth-b5515917/</x:v>
      </x:c>
      <x:c r="J19" s="8" t="str">
        <x:v>Batch 01</x:v>
      </x:c>
      <x:c r="K19" s="8" t="str">
        <x:v>Chief Executive Officer Beyon</x:v>
      </x:c>
      <x:c r="L19" s="8" t="str">
        <x:v>outreach-batch-01/contacts.csv</x:v>
      </x:c>
      <x:c r="M19" s="8" t="str">
        <x:v>Authenticated LinkedIn page read | Public role observed; exact transaction authority not established</x:v>
      </x:c>
      <x:c r="N19" s="8" t="str">
        <x:f>IF(COUNTIFS('Activity'!$B$8:$B$1007,$A19)=0,"",_xlfn.MAXIFS('Activity'!$A$8:$A$1007,'Activity'!$B$8:$B$1007,$A19))</x:f>
      </x:c>
      <x:c r="O19" s="8" t="str">
        <x:f>IF($N19="","",IF(_xlfn.XLOOKUP($N19,'Activity'!$A$8:$A$1007,'Activity'!$F$8:$F$1007,"")=0,"",_xlfn.XLOOKUP($N19,'Activity'!$A$8:$A$1007,'Activity'!$F$8:$F$1007,"")))</x:f>
      </x:c>
      <x:c r="P19" s="8" t="str">
        <x:f>IF($N19="","",IF(_xlfn.XLOOKUP($N19,'Activity'!$A$8:$A$1007,'Activity'!$M$8:$M$1007,"")=0,"",_xlfn.XLOOKUP($N19,'Activity'!$A$8:$A$1007,'Activity'!$M$8:$M$1007,"")))</x:f>
      </x:c>
      <x:c r="Q19" s="8" t="str">
        <x:f>IF($N19="","",IF(_xlfn.XLOOKUP($N19,'Activity'!$A$8:$A$1007,'Activity'!$L$8:$L$1007,"")=0,"",_xlfn.XLOOKUP($N19,'Activity'!$A$8:$A$1007,'Activity'!$L$8:$L$1007,"")))</x:f>
      </x:c>
    </x:row>
    <x:row r="20" ht="34" customHeight="1">
      <x:c r="A20" s="8" t="str">
        <x:v>CON-540abb4c9d</x:v>
      </x:c>
      <x:c r="B20" s="8" t="str">
        <x:v>Anoushka Vaswani</x:v>
      </x:c>
      <x:c r="C20" s="8" t="str">
        <x:v>Lightspeed Venture Partners</x:v>
      </x:c>
      <x:c r="D20" s="8" t="str">
        <x:f>IF($N20="","No outreach recorded",_xlfn.XLOOKUP($N20,'Activity'!$A$8:$A$1007,'Activity'!$H$8:$H$1007,""))</x:f>
        <x:v>No outreach recorded</x:v>
      </x:c>
      <x:c r="E20" s="9" t="str">
        <x:f>IF($N20="","",_xlfn.MINIFS('Activity'!$C$8:$C$1007,'Activity'!$B$8:$B$1007,$A20))</x:f>
      </x:c>
      <x:c r="F20" s="9" t="str">
        <x:f>IF($N20="","",_xlfn.MAXIFS('Activity'!$C$8:$C$1007,'Activity'!$B$8:$B$1007,$A20))</x:f>
      </x:c>
      <x:c r="G20" s="9" t="str">
        <x:f>IF($N20="","",IF(_xlfn.XLOOKUP($N20,'Activity'!$A$8:$A$1007,'Activity'!$J$8:$J$1007,"")=0,"",_xlfn.XLOOKUP($N20,'Activity'!$A$8:$A$1007,'Activity'!$J$8:$J$1007,"")))</x:f>
      </x:c>
      <x:c r="H20" s="8" t="str">
        <x:f>IF($N20="","",IF(_xlfn.XLOOKUP($N20,'Activity'!$A$8:$A$1007,'Activity'!$K$8:$K$1007,"")=0,"",_xlfn.XLOOKUP($N20,'Activity'!$A$8:$A$1007,'Activity'!$K$8:$K$1007,"")))</x:f>
      </x:c>
      <x:c r="I20" s="8" t="str">
        <x:v>https://www.linkedin.com/in/anoushka-vaswani-aa330017/</x:v>
      </x:c>
      <x:c r="J20" s="8" t="str">
        <x:v>Batch 03</x:v>
      </x:c>
      <x:c r="K20" s="8" t="str">
        <x:v>Suggested first enterprise/growth sponsor; enterprise software and infrastructure remit, Temporal announcement co-author</x:v>
      </x:c>
      <x:c r="L20" s="8" t="str">
        <x:v>outreach-batch-03/leads/lightspeed-venture-partners.md</x:v>
      </x:c>
      <x:c r="M20" s="8" t="str">
        <x:v>Current biography lists Partner, Menlo Park, Growth; indexed professional profile matches Lightspeed | Batch 03 suggested contact; transaction authority and interest unconfirmed.</x:v>
      </x:c>
      <x:c r="N20" s="8" t="str">
        <x:f>IF(COUNTIFS('Activity'!$B$8:$B$1007,$A20)=0,"",_xlfn.MAXIFS('Activity'!$A$8:$A$1007,'Activity'!$B$8:$B$1007,$A20))</x:f>
      </x:c>
      <x:c r="O20" s="8" t="str">
        <x:f>IF($N20="","",IF(_xlfn.XLOOKUP($N20,'Activity'!$A$8:$A$1007,'Activity'!$F$8:$F$1007,"")=0,"",_xlfn.XLOOKUP($N20,'Activity'!$A$8:$A$1007,'Activity'!$F$8:$F$1007,"")))</x:f>
      </x:c>
      <x:c r="P20" s="8" t="str">
        <x:f>IF($N20="","",IF(_xlfn.XLOOKUP($N20,'Activity'!$A$8:$A$1007,'Activity'!$M$8:$M$1007,"")=0,"",_xlfn.XLOOKUP($N20,'Activity'!$A$8:$A$1007,'Activity'!$M$8:$M$1007,"")))</x:f>
      </x:c>
      <x:c r="Q20" s="8" t="str">
        <x:f>IF($N20="","",IF(_xlfn.XLOOKUP($N20,'Activity'!$A$8:$A$1007,'Activity'!$L$8:$L$1007,"")=0,"",_xlfn.XLOOKUP($N20,'Activity'!$A$8:$A$1007,'Activity'!$L$8:$L$1007,"")))</x:f>
      </x:c>
    </x:row>
    <x:row r="21" ht="34" customHeight="1">
      <x:c r="A21" s="8" t="str">
        <x:v>CON-f497b99b50</x:v>
      </x:c>
      <x:c r="B21" s="8" t="str">
        <x:v>Arteen Arabshahi</x:v>
      </x:c>
      <x:c r="C21" s="8" t="str">
        <x:v>Fika Ventures</x:v>
      </x:c>
      <x:c r="D21" s="8" t="str">
        <x:f>IF($N21="","No outreach recorded",_xlfn.XLOOKUP($N21,'Activity'!$A$8:$A$1007,'Activity'!$H$8:$H$1007,""))</x:f>
        <x:v>No outreach recorded</x:v>
      </x:c>
      <x:c r="E21" s="9" t="str">
        <x:f>IF($N21="","",_xlfn.MINIFS('Activity'!$C$8:$C$1007,'Activity'!$B$8:$B$1007,$A21))</x:f>
      </x:c>
      <x:c r="F21" s="9" t="str">
        <x:f>IF($N21="","",_xlfn.MAXIFS('Activity'!$C$8:$C$1007,'Activity'!$B$8:$B$1007,$A21))</x:f>
      </x:c>
      <x:c r="G21" s="9" t="str">
        <x:f>IF($N21="","",IF(_xlfn.XLOOKUP($N21,'Activity'!$A$8:$A$1007,'Activity'!$J$8:$J$1007,"")=0,"",_xlfn.XLOOKUP($N21,'Activity'!$A$8:$A$1007,'Activity'!$J$8:$J$1007,"")))</x:f>
      </x:c>
      <x:c r="H21" s="8" t="str">
        <x:f>IF($N21="","",IF(_xlfn.XLOOKUP($N21,'Activity'!$A$8:$A$1007,'Activity'!$K$8:$K$1007,"")=0,"",_xlfn.XLOOKUP($N21,'Activity'!$A$8:$A$1007,'Activity'!$K$8:$K$1007,"")))</x:f>
      </x:c>
      <x:c r="I21" s="8" t="str">
        <x:v>https://www.linkedin.com/in/arteeninla/</x:v>
      </x:c>
      <x:c r="J21" s="8" t="str">
        <x:v>Batch 04</x:v>
      </x:c>
      <x:c r="K21" s="8" t="str">
        <x:v>General Partner</x:v>
      </x:c>
      <x:c r="L21" s="8" t="str">
        <x:v>outreach-batch-04/tech-week-events.json</x:v>
      </x:c>
      <x:c r="M21" s="8" t="str">
        <x:v>authenticated LinkedIn profile header; event agenda | Named moderator. Profile header does not establish LA residence; event is in Culver City.</x:v>
      </x:c>
      <x:c r="N21" s="8" t="str">
        <x:f>IF(COUNTIFS('Activity'!$B$8:$B$1007,$A21)=0,"",_xlfn.MAXIFS('Activity'!$A$8:$A$1007,'Activity'!$B$8:$B$1007,$A21))</x:f>
      </x:c>
      <x:c r="O21" s="8" t="str">
        <x:f>IF($N21="","",IF(_xlfn.XLOOKUP($N21,'Activity'!$A$8:$A$1007,'Activity'!$F$8:$F$1007,"")=0,"",_xlfn.XLOOKUP($N21,'Activity'!$A$8:$A$1007,'Activity'!$F$8:$F$1007,"")))</x:f>
      </x:c>
      <x:c r="P21" s="8" t="str">
        <x:f>IF($N21="","",IF(_xlfn.XLOOKUP($N21,'Activity'!$A$8:$A$1007,'Activity'!$M$8:$M$1007,"")=0,"",_xlfn.XLOOKUP($N21,'Activity'!$A$8:$A$1007,'Activity'!$M$8:$M$1007,"")))</x:f>
      </x:c>
      <x:c r="Q21" s="8" t="str">
        <x:f>IF($N21="","",IF(_xlfn.XLOOKUP($N21,'Activity'!$A$8:$A$1007,'Activity'!$L$8:$L$1007,"")=0,"",_xlfn.XLOOKUP($N21,'Activity'!$A$8:$A$1007,'Activity'!$L$8:$L$1007,"")))</x:f>
      </x:c>
    </x:row>
    <x:row r="22" ht="34" customHeight="1">
      <x:c r="A22" s="8" t="str">
        <x:v>CON-2b5df2a786</x:v>
      </x:c>
      <x:c r="B22" s="8" t="str">
        <x:v>Asger Hattel</x:v>
      </x:c>
      <x:c r="C22" s="8" t="str">
        <x:v>Signicat</x:v>
      </x:c>
      <x:c r="D22" s="8" t="str">
        <x:f>IF($N22="","No outreach recorded",_xlfn.XLOOKUP($N22,'Activity'!$A$8:$A$1007,'Activity'!$H$8:$H$1007,""))</x:f>
        <x:v>No outreach recorded</x:v>
      </x:c>
      <x:c r="E22" s="9" t="str">
        <x:f>IF($N22="","",_xlfn.MINIFS('Activity'!$C$8:$C$1007,'Activity'!$B$8:$B$1007,$A22))</x:f>
      </x:c>
      <x:c r="F22" s="9" t="str">
        <x:f>IF($N22="","",_xlfn.MAXIFS('Activity'!$C$8:$C$1007,'Activity'!$B$8:$B$1007,$A22))</x:f>
      </x:c>
      <x:c r="G22" s="9" t="str">
        <x:f>IF($N22="","",IF(_xlfn.XLOOKUP($N22,'Activity'!$A$8:$A$1007,'Activity'!$J$8:$J$1007,"")=0,"",_xlfn.XLOOKUP($N22,'Activity'!$A$8:$A$1007,'Activity'!$J$8:$J$1007,"")))</x:f>
      </x:c>
      <x:c r="H22" s="8" t="str">
        <x:f>IF($N22="","",IF(_xlfn.XLOOKUP($N22,'Activity'!$A$8:$A$1007,'Activity'!$K$8:$K$1007,"")=0,"",_xlfn.XLOOKUP($N22,'Activity'!$A$8:$A$1007,'Activity'!$K$8:$K$1007,"")))</x:f>
      </x:c>
      <x:c r="I22" s="8" t="str">
        <x:v>https://www.linkedin.com/in/asger-hattel-878813/</x:v>
      </x:c>
      <x:c r="J22" s="8" t="str">
        <x:v>Batch 01; Batch 02</x:v>
      </x:c>
      <x:c r="K22" s="8" t="str">
        <x:v>Chief Executive Officer</x:v>
      </x:c>
      <x:c r="L22" s="8" t="str">
        <x:v>outreach-batch-01/contacts.csv; outreach-batch-02/contacts.csv</x:v>
      </x:c>
      <x:c r="M22" s="8" t="str">
        <x:v>Authenticated LinkedIn page read | Public role observed; exact transaction authority not established</x:v>
      </x:c>
      <x:c r="N22" s="8" t="str">
        <x:f>IF(COUNTIFS('Activity'!$B$8:$B$1007,$A22)=0,"",_xlfn.MAXIFS('Activity'!$A$8:$A$1007,'Activity'!$B$8:$B$1007,$A22))</x:f>
      </x:c>
      <x:c r="O22" s="8" t="str">
        <x:f>IF($N22="","",IF(_xlfn.XLOOKUP($N22,'Activity'!$A$8:$A$1007,'Activity'!$F$8:$F$1007,"")=0,"",_xlfn.XLOOKUP($N22,'Activity'!$A$8:$A$1007,'Activity'!$F$8:$F$1007,"")))</x:f>
      </x:c>
      <x:c r="P22" s="8" t="str">
        <x:f>IF($N22="","",IF(_xlfn.XLOOKUP($N22,'Activity'!$A$8:$A$1007,'Activity'!$M$8:$M$1007,"")=0,"",_xlfn.XLOOKUP($N22,'Activity'!$A$8:$A$1007,'Activity'!$M$8:$M$1007,"")))</x:f>
      </x:c>
      <x:c r="Q22" s="8" t="str">
        <x:f>IF($N22="","",IF(_xlfn.XLOOKUP($N22,'Activity'!$A$8:$A$1007,'Activity'!$L$8:$L$1007,"")=0,"",_xlfn.XLOOKUP($N22,'Activity'!$A$8:$A$1007,'Activity'!$L$8:$L$1007,"")))</x:f>
      </x:c>
    </x:row>
    <x:row r="23" ht="34" customHeight="1">
      <x:c r="A23" s="8" t="str">
        <x:v>CON-188a646973</x:v>
      </x:c>
      <x:c r="B23" s="8" t="str">
        <x:v>Assaf Shamia</x:v>
      </x:c>
      <x:c r="C23" s="8" t="str">
        <x:v>Giesecke+Devrient</x:v>
      </x:c>
      <x:c r="D23" s="8" t="str">
        <x:f>IF($N23="","No outreach recorded",_xlfn.XLOOKUP($N23,'Activity'!$A$8:$A$1007,'Activity'!$H$8:$H$1007,""))</x:f>
        <x:v>No outreach recorded</x:v>
      </x:c>
      <x:c r="E23" s="9" t="str">
        <x:f>IF($N23="","",_xlfn.MINIFS('Activity'!$C$8:$C$1007,'Activity'!$B$8:$B$1007,$A23))</x:f>
      </x:c>
      <x:c r="F23" s="9" t="str">
        <x:f>IF($N23="","",_xlfn.MAXIFS('Activity'!$C$8:$C$1007,'Activity'!$B$8:$B$1007,$A23))</x:f>
      </x:c>
      <x:c r="G23" s="9" t="str">
        <x:f>IF($N23="","",IF(_xlfn.XLOOKUP($N23,'Activity'!$A$8:$A$1007,'Activity'!$J$8:$J$1007,"")=0,"",_xlfn.XLOOKUP($N23,'Activity'!$A$8:$A$1007,'Activity'!$J$8:$J$1007,"")))</x:f>
      </x:c>
      <x:c r="H23" s="8" t="str">
        <x:f>IF($N23="","",IF(_xlfn.XLOOKUP($N23,'Activity'!$A$8:$A$1007,'Activity'!$K$8:$K$1007,"")=0,"",_xlfn.XLOOKUP($N23,'Activity'!$A$8:$A$1007,'Activity'!$K$8:$K$1007,"")))</x:f>
      </x:c>
      <x:c r="I23" s="8" t="str">
        <x:v>https://www.linkedin.com/in/assafshamia/</x:v>
      </x:c>
      <x:c r="J23" s="8" t="str">
        <x:v>Batch 01</x:v>
      </x:c>
      <x:c r="K23" s="8" t="str">
        <x:v>Managing Director, G+D Ventures</x:v>
      </x:c>
      <x:c r="L23" s="8" t="str">
        <x:v>outreach-batch-01/contacts.csv</x:v>
      </x:c>
      <x:c r="M23" s="8" t="str">
        <x:v>Authenticated LinkedIn page read | Official page says Managing Director; LinkedIn says Investment Partner.</x:v>
      </x:c>
      <x:c r="N23" s="8" t="str">
        <x:f>IF(COUNTIFS('Activity'!$B$8:$B$1007,$A23)=0,"",_xlfn.MAXIFS('Activity'!$A$8:$A$1007,'Activity'!$B$8:$B$1007,$A23))</x:f>
      </x:c>
      <x:c r="O23" s="8" t="str">
        <x:f>IF($N23="","",IF(_xlfn.XLOOKUP($N23,'Activity'!$A$8:$A$1007,'Activity'!$F$8:$F$1007,"")=0,"",_xlfn.XLOOKUP($N23,'Activity'!$A$8:$A$1007,'Activity'!$F$8:$F$1007,"")))</x:f>
      </x:c>
      <x:c r="P23" s="8" t="str">
        <x:f>IF($N23="","",IF(_xlfn.XLOOKUP($N23,'Activity'!$A$8:$A$1007,'Activity'!$M$8:$M$1007,"")=0,"",_xlfn.XLOOKUP($N23,'Activity'!$A$8:$A$1007,'Activity'!$M$8:$M$1007,"")))</x:f>
      </x:c>
      <x:c r="Q23" s="8" t="str">
        <x:f>IF($N23="","",IF(_xlfn.XLOOKUP($N23,'Activity'!$A$8:$A$1007,'Activity'!$L$8:$L$1007,"")=0,"",_xlfn.XLOOKUP($N23,'Activity'!$A$8:$A$1007,'Activity'!$L$8:$L$1007,"")))</x:f>
      </x:c>
    </x:row>
    <x:row r="24" ht="34" customHeight="1">
      <x:c r="A24" s="8" t="str">
        <x:v>CON-b2ee9dfe29</x:v>
      </x:c>
      <x:c r="B24" s="8" t="str">
        <x:v>Atul Koul Randev</x:v>
      </x:c>
      <x:c r="C24" s="8" t="str">
        <x:v>Signicat</x:v>
      </x:c>
      <x:c r="D24" s="8" t="str">
        <x:f>IF($N24="","No outreach recorded",_xlfn.XLOOKUP($N24,'Activity'!$A$8:$A$1007,'Activity'!$H$8:$H$1007,""))</x:f>
        <x:v>No outreach recorded</x:v>
      </x:c>
      <x:c r="E24" s="9" t="str">
        <x:f>IF($N24="","",_xlfn.MINIFS('Activity'!$C$8:$C$1007,'Activity'!$B$8:$B$1007,$A24))</x:f>
      </x:c>
      <x:c r="F24" s="9" t="str">
        <x:f>IF($N24="","",_xlfn.MAXIFS('Activity'!$C$8:$C$1007,'Activity'!$B$8:$B$1007,$A24))</x:f>
      </x:c>
      <x:c r="G24" s="9" t="str">
        <x:f>IF($N24="","",IF(_xlfn.XLOOKUP($N24,'Activity'!$A$8:$A$1007,'Activity'!$J$8:$J$1007,"")=0,"",_xlfn.XLOOKUP($N24,'Activity'!$A$8:$A$1007,'Activity'!$J$8:$J$1007,"")))</x:f>
      </x:c>
      <x:c r="H24" s="8" t="str">
        <x:f>IF($N24="","",IF(_xlfn.XLOOKUP($N24,'Activity'!$A$8:$A$1007,'Activity'!$K$8:$K$1007,"")=0,"",_xlfn.XLOOKUP($N24,'Activity'!$A$8:$A$1007,'Activity'!$K$8:$K$1007,"")))</x:f>
      </x:c>
      <x:c r="I24" s="8" t="str">
        <x:v>https://www.linkedin.com/in/atul-randev/</x:v>
      </x:c>
      <x:c r="J24" s="8" t="str">
        <x:v>Batch 01; Batch 02</x:v>
      </x:c>
      <x:c r="K24" s="8" t="str">
        <x:v>Chief Strategy Officer</x:v>
      </x:c>
      <x:c r="L24" s="8" t="str">
        <x:v>outreach-batch-01/contacts.csv; outreach-batch-02/contacts.csv</x:v>
      </x:c>
      <x:c r="M24" s="8" t="str">
        <x:v>Authenticated LinkedIn page read | Public role observed; exact transaction authority not established</x:v>
      </x:c>
      <x:c r="N24" s="8" t="str">
        <x:f>IF(COUNTIFS('Activity'!$B$8:$B$1007,$A24)=0,"",_xlfn.MAXIFS('Activity'!$A$8:$A$1007,'Activity'!$B$8:$B$1007,$A24))</x:f>
      </x:c>
      <x:c r="O24" s="8" t="str">
        <x:f>IF($N24="","",IF(_xlfn.XLOOKUP($N24,'Activity'!$A$8:$A$1007,'Activity'!$F$8:$F$1007,"")=0,"",_xlfn.XLOOKUP($N24,'Activity'!$A$8:$A$1007,'Activity'!$F$8:$F$1007,"")))</x:f>
      </x:c>
      <x:c r="P24" s="8" t="str">
        <x:f>IF($N24="","",IF(_xlfn.XLOOKUP($N24,'Activity'!$A$8:$A$1007,'Activity'!$M$8:$M$1007,"")=0,"",_xlfn.XLOOKUP($N24,'Activity'!$A$8:$A$1007,'Activity'!$M$8:$M$1007,"")))</x:f>
      </x:c>
      <x:c r="Q24" s="8" t="str">
        <x:f>IF($N24="","",IF(_xlfn.XLOOKUP($N24,'Activity'!$A$8:$A$1007,'Activity'!$L$8:$L$1007,"")=0,"",_xlfn.XLOOKUP($N24,'Activity'!$A$8:$A$1007,'Activity'!$L$8:$L$1007,"")))</x:f>
      </x:c>
    </x:row>
    <x:row r="25" ht="34" customHeight="1">
      <x:c r="A25" s="8" t="str">
        <x:v>CON-de6974591b</x:v>
      </x:c>
      <x:c r="B25" s="8" t="str">
        <x:v>Austin Arensberg</x:v>
      </x:c>
      <x:c r="C25" s="8" t="str">
        <x:v>Okta Ventures</x:v>
      </x:c>
      <x:c r="D25" s="8" t="str">
        <x:f>IF($N25="","No outreach recorded",_xlfn.XLOOKUP($N25,'Activity'!$A$8:$A$1007,'Activity'!$H$8:$H$1007,""))</x:f>
        <x:v>No outreach recorded</x:v>
      </x:c>
      <x:c r="E25" s="9" t="str">
        <x:f>IF($N25="","",_xlfn.MINIFS('Activity'!$C$8:$C$1007,'Activity'!$B$8:$B$1007,$A25))</x:f>
      </x:c>
      <x:c r="F25" s="9" t="str">
        <x:f>IF($N25="","",_xlfn.MAXIFS('Activity'!$C$8:$C$1007,'Activity'!$B$8:$B$1007,$A25))</x:f>
      </x:c>
      <x:c r="G25" s="9" t="str">
        <x:f>IF($N25="","",IF(_xlfn.XLOOKUP($N25,'Activity'!$A$8:$A$1007,'Activity'!$J$8:$J$1007,"")=0,"",_xlfn.XLOOKUP($N25,'Activity'!$A$8:$A$1007,'Activity'!$J$8:$J$1007,"")))</x:f>
      </x:c>
      <x:c r="H25" s="8" t="str">
        <x:f>IF($N25="","",IF(_xlfn.XLOOKUP($N25,'Activity'!$A$8:$A$1007,'Activity'!$K$8:$K$1007,"")=0,"",_xlfn.XLOOKUP($N25,'Activity'!$A$8:$A$1007,'Activity'!$K$8:$K$1007,"")))</x:f>
      </x:c>
      <x:c r="I25" s="8" t="str">
        <x:v>https://www.linkedin.com/in/austinarensberg/</x:v>
      </x:c>
      <x:c r="J25" s="8" t="str">
        <x:v>Batch 01</x:v>
      </x:c>
      <x:c r="K25" s="8" t="str">
        <x:v>VP, Okta Ventures</x:v>
      </x:c>
      <x:c r="L25" s="8" t="str">
        <x:v>outreach-batch-01/contacts.csv</x:v>
      </x:c>
      <x:c r="M25" s="8" t="str">
        <x:v>Authenticated LinkedIn page read | Public role observed; exact transaction authority not established</x:v>
      </x:c>
      <x:c r="N25" s="8" t="str">
        <x:f>IF(COUNTIFS('Activity'!$B$8:$B$1007,$A25)=0,"",_xlfn.MAXIFS('Activity'!$A$8:$A$1007,'Activity'!$B$8:$B$1007,$A25))</x:f>
      </x:c>
      <x:c r="O25" s="8" t="str">
        <x:f>IF($N25="","",IF(_xlfn.XLOOKUP($N25,'Activity'!$A$8:$A$1007,'Activity'!$F$8:$F$1007,"")=0,"",_xlfn.XLOOKUP($N25,'Activity'!$A$8:$A$1007,'Activity'!$F$8:$F$1007,"")))</x:f>
      </x:c>
      <x:c r="P25" s="8" t="str">
        <x:f>IF($N25="","",IF(_xlfn.XLOOKUP($N25,'Activity'!$A$8:$A$1007,'Activity'!$M$8:$M$1007,"")=0,"",_xlfn.XLOOKUP($N25,'Activity'!$A$8:$A$1007,'Activity'!$M$8:$M$1007,"")))</x:f>
      </x:c>
      <x:c r="Q25" s="8" t="str">
        <x:f>IF($N25="","",IF(_xlfn.XLOOKUP($N25,'Activity'!$A$8:$A$1007,'Activity'!$L$8:$L$1007,"")=0,"",_xlfn.XLOOKUP($N25,'Activity'!$A$8:$A$1007,'Activity'!$L$8:$L$1007,"")))</x:f>
      </x:c>
    </x:row>
    <x:row r="26" ht="34" customHeight="1">
      <x:c r="A26" s="8" t="str">
        <x:v>CON-a46a2e2b71</x:v>
      </x:c>
      <x:c r="B26" s="8" t="str">
        <x:v>Avery Rosin</x:v>
      </x:c>
      <x:c r="C26" s="8" t="str">
        <x:v>Unresolved: Waveline / Lead Edge</x:v>
      </x:c>
      <x:c r="D26" s="8" t="str">
        <x:f>IF($N26="","No outreach recorded",_xlfn.XLOOKUP($N26,'Activity'!$A$8:$A$1007,'Activity'!$H$8:$H$1007,""))</x:f>
        <x:v>No outreach recorded</x:v>
      </x:c>
      <x:c r="E26" s="9" t="str">
        <x:f>IF($N26="","",_xlfn.MINIFS('Activity'!$C$8:$C$1007,'Activity'!$B$8:$B$1007,$A26))</x:f>
      </x:c>
      <x:c r="F26" s="9" t="str">
        <x:f>IF($N26="","",_xlfn.MAXIFS('Activity'!$C$8:$C$1007,'Activity'!$B$8:$B$1007,$A26))</x:f>
      </x:c>
      <x:c r="G26" s="9" t="str">
        <x:f>IF($N26="","",IF(_xlfn.XLOOKUP($N26,'Activity'!$A$8:$A$1007,'Activity'!$J$8:$J$1007,"")=0,"",_xlfn.XLOOKUP($N26,'Activity'!$A$8:$A$1007,'Activity'!$J$8:$J$1007,"")))</x:f>
      </x:c>
      <x:c r="H26" s="8" t="str">
        <x:f>IF($N26="","",IF(_xlfn.XLOOKUP($N26,'Activity'!$A$8:$A$1007,'Activity'!$K$8:$K$1007,"")=0,"",_xlfn.XLOOKUP($N26,'Activity'!$A$8:$A$1007,'Activity'!$K$8:$K$1007,"")))</x:f>
      </x:c>
      <x:c r="I26" s="8" t="str">
        <x:v>https://www.linkedin.com/in/averyrosin/</x:v>
      </x:c>
      <x:c r="J26" s="8" t="str">
        <x:v>Batch 04</x:v>
      </x:c>
      <x:c r="K26" s="8" t="str">
        <x:v>Unresolved — confirm vehicle</x:v>
      </x:c>
      <x:c r="L26" s="8" t="str">
        <x:v>outreach-batch-04/tech-week-events.json</x:v>
      </x:c>
      <x:c r="M26" s="8" t="str">
        <x:v>authenticated LinkedIn profile header; event agenda | UNRESOLVED AFFILIATION: event names Founder &amp; Managing Partner, Waveline Capital; current authenticated LinkedIn header says Partner, Lead Edge Capital. Address him by name and confirm vehicle; do not resolve by assumption.</x:v>
      </x:c>
      <x:c r="N26" s="8" t="str">
        <x:f>IF(COUNTIFS('Activity'!$B$8:$B$1007,$A26)=0,"",_xlfn.MAXIFS('Activity'!$A$8:$A$1007,'Activity'!$B$8:$B$1007,$A26))</x:f>
      </x:c>
      <x:c r="O26" s="8" t="str">
        <x:f>IF($N26="","",IF(_xlfn.XLOOKUP($N26,'Activity'!$A$8:$A$1007,'Activity'!$F$8:$F$1007,"")=0,"",_xlfn.XLOOKUP($N26,'Activity'!$A$8:$A$1007,'Activity'!$F$8:$F$1007,"")))</x:f>
      </x:c>
      <x:c r="P26" s="8" t="str">
        <x:f>IF($N26="","",IF(_xlfn.XLOOKUP($N26,'Activity'!$A$8:$A$1007,'Activity'!$M$8:$M$1007,"")=0,"",_xlfn.XLOOKUP($N26,'Activity'!$A$8:$A$1007,'Activity'!$M$8:$M$1007,"")))</x:f>
      </x:c>
      <x:c r="Q26" s="8" t="str">
        <x:f>IF($N26="","",IF(_xlfn.XLOOKUP($N26,'Activity'!$A$8:$A$1007,'Activity'!$L$8:$L$1007,"")=0,"",_xlfn.XLOOKUP($N26,'Activity'!$A$8:$A$1007,'Activity'!$L$8:$L$1007,"")))</x:f>
      </x:c>
    </x:row>
    <x:row r="27" ht="34" customHeight="1">
      <x:c r="A27" s="8" t="str">
        <x:v>CON-25c71fbe73</x:v>
      </x:c>
      <x:c r="B27" s="8" t="str">
        <x:v>Ben Levin (Benjamin Levin)</x:v>
      </x:c>
      <x:c r="C27" s="8" t="str">
        <x:v>Level Equity</x:v>
      </x:c>
      <x:c r="D27" s="8" t="str">
        <x:f>IF($N27="","No outreach recorded",_xlfn.XLOOKUP($N27,'Activity'!$A$8:$A$1007,'Activity'!$H$8:$H$1007,""))</x:f>
        <x:v>No outreach recorded</x:v>
      </x:c>
      <x:c r="E27" s="9" t="str">
        <x:f>IF($N27="","",_xlfn.MINIFS('Activity'!$C$8:$C$1007,'Activity'!$B$8:$B$1007,$A27))</x:f>
      </x:c>
      <x:c r="F27" s="9" t="str">
        <x:f>IF($N27="","",_xlfn.MAXIFS('Activity'!$C$8:$C$1007,'Activity'!$B$8:$B$1007,$A27))</x:f>
      </x:c>
      <x:c r="G27" s="9" t="str">
        <x:f>IF($N27="","",IF(_xlfn.XLOOKUP($N27,'Activity'!$A$8:$A$1007,'Activity'!$J$8:$J$1007,"")=0,"",_xlfn.XLOOKUP($N27,'Activity'!$A$8:$A$1007,'Activity'!$J$8:$J$1007,"")))</x:f>
      </x:c>
      <x:c r="H27" s="8" t="str">
        <x:f>IF($N27="","",IF(_xlfn.XLOOKUP($N27,'Activity'!$A$8:$A$1007,'Activity'!$K$8:$K$1007,"")=0,"",_xlfn.XLOOKUP($N27,'Activity'!$A$8:$A$1007,'Activity'!$K$8:$K$1007,"")))</x:f>
      </x:c>
      <x:c r="I27" s="8" t="str">
        <x:v>https://www.linkedin.com/in/benjamin-levin-a3116/</x:v>
      </x:c>
      <x:c r="J27" s="8" t="str">
        <x:v>Batch 01; Batch 02</x:v>
      </x:c>
      <x:c r="K27" s="8" t="str">
        <x:v>Co-Founder and CEO</x:v>
      </x:c>
      <x:c r="L27" s="8" t="str">
        <x:v>outreach-batch-01/contacts.csv; outreach-batch-02/contacts.csv</x:v>
      </x:c>
      <x:c r="M27" s="8" t="str">
        <x:v>Authenticated LinkedIn page read | Public role observed; exact transaction authority not established</x:v>
      </x:c>
      <x:c r="N27" s="8" t="str">
        <x:f>IF(COUNTIFS('Activity'!$B$8:$B$1007,$A27)=0,"",_xlfn.MAXIFS('Activity'!$A$8:$A$1007,'Activity'!$B$8:$B$1007,$A27))</x:f>
      </x:c>
      <x:c r="O27" s="8" t="str">
        <x:f>IF($N27="","",IF(_xlfn.XLOOKUP($N27,'Activity'!$A$8:$A$1007,'Activity'!$F$8:$F$1007,"")=0,"",_xlfn.XLOOKUP($N27,'Activity'!$A$8:$A$1007,'Activity'!$F$8:$F$1007,"")))</x:f>
      </x:c>
      <x:c r="P27" s="8" t="str">
        <x:f>IF($N27="","",IF(_xlfn.XLOOKUP($N27,'Activity'!$A$8:$A$1007,'Activity'!$M$8:$M$1007,"")=0,"",_xlfn.XLOOKUP($N27,'Activity'!$A$8:$A$1007,'Activity'!$M$8:$M$1007,"")))</x:f>
      </x:c>
      <x:c r="Q27" s="8" t="str">
        <x:f>IF($N27="","",IF(_xlfn.XLOOKUP($N27,'Activity'!$A$8:$A$1007,'Activity'!$L$8:$L$1007,"")=0,"",_xlfn.XLOOKUP($N27,'Activity'!$A$8:$A$1007,'Activity'!$L$8:$L$1007,"")))</x:f>
      </x:c>
    </x:row>
    <x:row r="28" ht="34" customHeight="1">
      <x:c r="A28" s="8" t="str">
        <x:v>CON-f09e7cb7fe</x:v>
      </x:c>
      <x:c r="B28" s="8" t="str">
        <x:v>Charly Zwemstra</x:v>
      </x:c>
      <x:c r="C28" s="8" t="str">
        <x:v>Main Capital Partners</x:v>
      </x:c>
      <x:c r="D28" s="8" t="str">
        <x:f>IF($N28="","No outreach recorded",_xlfn.XLOOKUP($N28,'Activity'!$A$8:$A$1007,'Activity'!$H$8:$H$1007,""))</x:f>
        <x:v>No outreach recorded</x:v>
      </x:c>
      <x:c r="E28" s="9" t="str">
        <x:f>IF($N28="","",_xlfn.MINIFS('Activity'!$C$8:$C$1007,'Activity'!$B$8:$B$1007,$A28))</x:f>
      </x:c>
      <x:c r="F28" s="9" t="str">
        <x:f>IF($N28="","",_xlfn.MAXIFS('Activity'!$C$8:$C$1007,'Activity'!$B$8:$B$1007,$A28))</x:f>
      </x:c>
      <x:c r="G28" s="9" t="str">
        <x:f>IF($N28="","",IF(_xlfn.XLOOKUP($N28,'Activity'!$A$8:$A$1007,'Activity'!$J$8:$J$1007,"")=0,"",_xlfn.XLOOKUP($N28,'Activity'!$A$8:$A$1007,'Activity'!$J$8:$J$1007,"")))</x:f>
      </x:c>
      <x:c r="H28" s="8" t="str">
        <x:f>IF($N28="","",IF(_xlfn.XLOOKUP($N28,'Activity'!$A$8:$A$1007,'Activity'!$K$8:$K$1007,"")=0,"",_xlfn.XLOOKUP($N28,'Activity'!$A$8:$A$1007,'Activity'!$K$8:$K$1007,"")))</x:f>
      </x:c>
      <x:c r="I28" s="8" t="str">
        <x:v>https://www.linkedin.com/in/charlyzwemstra4263/</x:v>
      </x:c>
      <x:c r="J28" s="8" t="str">
        <x:v>Batch 02</x:v>
      </x:c>
      <x:c r="K28" s="8" t="str">
        <x:v>Managing Partner &amp; Chief Investment Officer</x:v>
      </x:c>
      <x:c r="L28" s="8" t="str">
        <x:v>outreach-batch-02/contacts.csv</x:v>
      </x:c>
      <x:c r="M28" s="8" t="str">
        <x:v>Official team/location page links profile; full LinkedIn fetch blocked | Public role observed; exact transaction authority not established.</x:v>
      </x:c>
      <x:c r="N28" s="8" t="str">
        <x:f>IF(COUNTIFS('Activity'!$B$8:$B$1007,$A28)=0,"",_xlfn.MAXIFS('Activity'!$A$8:$A$1007,'Activity'!$B$8:$B$1007,$A28))</x:f>
      </x:c>
      <x:c r="O28" s="8" t="str">
        <x:f>IF($N28="","",IF(_xlfn.XLOOKUP($N28,'Activity'!$A$8:$A$1007,'Activity'!$F$8:$F$1007,"")=0,"",_xlfn.XLOOKUP($N28,'Activity'!$A$8:$A$1007,'Activity'!$F$8:$F$1007,"")))</x:f>
      </x:c>
      <x:c r="P28" s="8" t="str">
        <x:f>IF($N28="","",IF(_xlfn.XLOOKUP($N28,'Activity'!$A$8:$A$1007,'Activity'!$M$8:$M$1007,"")=0,"",_xlfn.XLOOKUP($N28,'Activity'!$A$8:$A$1007,'Activity'!$M$8:$M$1007,"")))</x:f>
      </x:c>
      <x:c r="Q28" s="8" t="str">
        <x:f>IF($N28="","",IF(_xlfn.XLOOKUP($N28,'Activity'!$A$8:$A$1007,'Activity'!$L$8:$L$1007,"")=0,"",_xlfn.XLOOKUP($N28,'Activity'!$A$8:$A$1007,'Activity'!$L$8:$L$1007,"")))</x:f>
      </x:c>
    </x:row>
    <x:row r="29" ht="34" customHeight="1">
      <x:c r="A29" s="8" t="str">
        <x:v>CON-090a1699e1</x:v>
      </x:c>
      <x:c r="B29" s="8" t="str">
        <x:v>Crevan O’Grady</x:v>
      </x:c>
      <x:c r="C29" s="8" t="str">
        <x:v>Volpi Capital</x:v>
      </x:c>
      <x:c r="D29" s="8" t="str">
        <x:f>IF($N29="","No outreach recorded",_xlfn.XLOOKUP($N29,'Activity'!$A$8:$A$1007,'Activity'!$H$8:$H$1007,""))</x:f>
        <x:v>No outreach recorded</x:v>
      </x:c>
      <x:c r="E29" s="9" t="str">
        <x:f>IF($N29="","",_xlfn.MINIFS('Activity'!$C$8:$C$1007,'Activity'!$B$8:$B$1007,$A29))</x:f>
      </x:c>
      <x:c r="F29" s="9" t="str">
        <x:f>IF($N29="","",_xlfn.MAXIFS('Activity'!$C$8:$C$1007,'Activity'!$B$8:$B$1007,$A29))</x:f>
      </x:c>
      <x:c r="G29" s="9" t="str">
        <x:f>IF($N29="","",IF(_xlfn.XLOOKUP($N29,'Activity'!$A$8:$A$1007,'Activity'!$J$8:$J$1007,"")=0,"",_xlfn.XLOOKUP($N29,'Activity'!$A$8:$A$1007,'Activity'!$J$8:$J$1007,"")))</x:f>
      </x:c>
      <x:c r="H29" s="8" t="str">
        <x:f>IF($N29="","",IF(_xlfn.XLOOKUP($N29,'Activity'!$A$8:$A$1007,'Activity'!$K$8:$K$1007,"")=0,"",_xlfn.XLOOKUP($N29,'Activity'!$A$8:$A$1007,'Activity'!$K$8:$K$1007,"")))</x:f>
      </x:c>
      <x:c r="I29" s="8" t="str">
        <x:v>https://www.linkedin.com/in/crevan-o-grady-a143743/</x:v>
      </x:c>
      <x:c r="J29" s="8" t="str">
        <x:v>Batch 02</x:v>
      </x:c>
      <x:c r="K29" s="8" t="str">
        <x:v>Co-founder; Managing Partner in published Volpi announcement</x:v>
      </x:c>
      <x:c r="L29" s="8" t="str">
        <x:v>outreach-batch-02/contacts.csv</x:v>
      </x:c>
      <x:c r="M29" s="8" t="str">
        <x:v>Indexed LinkedIn profile matched to Volpi activity; headline may show YAVEON | Official 2024 announcement says co-founder; a later transaction announcement says Managing Partner. LinkedIn may show a portfolio board headline.</x:v>
      </x:c>
      <x:c r="N29" s="8" t="str">
        <x:f>IF(COUNTIFS('Activity'!$B$8:$B$1007,$A29)=0,"",_xlfn.MAXIFS('Activity'!$A$8:$A$1007,'Activity'!$B$8:$B$1007,$A29))</x:f>
      </x:c>
      <x:c r="O29" s="8" t="str">
        <x:f>IF($N29="","",IF(_xlfn.XLOOKUP($N29,'Activity'!$A$8:$A$1007,'Activity'!$F$8:$F$1007,"")=0,"",_xlfn.XLOOKUP($N29,'Activity'!$A$8:$A$1007,'Activity'!$F$8:$F$1007,"")))</x:f>
      </x:c>
      <x:c r="P29" s="8" t="str">
        <x:f>IF($N29="","",IF(_xlfn.XLOOKUP($N29,'Activity'!$A$8:$A$1007,'Activity'!$M$8:$M$1007,"")=0,"",_xlfn.XLOOKUP($N29,'Activity'!$A$8:$A$1007,'Activity'!$M$8:$M$1007,"")))</x:f>
      </x:c>
      <x:c r="Q29" s="8" t="str">
        <x:f>IF($N29="","",IF(_xlfn.XLOOKUP($N29,'Activity'!$A$8:$A$1007,'Activity'!$L$8:$L$1007,"")=0,"",_xlfn.XLOOKUP($N29,'Activity'!$A$8:$A$1007,'Activity'!$L$8:$L$1007,"")))</x:f>
      </x:c>
    </x:row>
    <x:row r="30" ht="34" customHeight="1">
      <x:c r="A30" s="8" t="str">
        <x:v>CON-a3c291c70d</x:v>
      </x:c>
      <x:c r="B30" s="8" t="str">
        <x:v>Dan / Daniel Waine</x:v>
      </x:c>
      <x:c r="C30" s="8" t="str">
        <x:v>Crescent Capital Partners</x:v>
      </x:c>
      <x:c r="D30" s="8" t="str">
        <x:f>IF($N30="","No outreach recorded",_xlfn.XLOOKUP($N30,'Activity'!$A$8:$A$1007,'Activity'!$H$8:$H$1007,""))</x:f>
        <x:v>No outreach recorded</x:v>
      </x:c>
      <x:c r="E30" s="9" t="str">
        <x:f>IF($N30="","",_xlfn.MINIFS('Activity'!$C$8:$C$1007,'Activity'!$B$8:$B$1007,$A30))</x:f>
      </x:c>
      <x:c r="F30" s="9" t="str">
        <x:f>IF($N30="","",_xlfn.MAXIFS('Activity'!$C$8:$C$1007,'Activity'!$B$8:$B$1007,$A30))</x:f>
      </x:c>
      <x:c r="G30" s="9" t="str">
        <x:f>IF($N30="","",IF(_xlfn.XLOOKUP($N30,'Activity'!$A$8:$A$1007,'Activity'!$J$8:$J$1007,"")=0,"",_xlfn.XLOOKUP($N30,'Activity'!$A$8:$A$1007,'Activity'!$J$8:$J$1007,"")))</x:f>
      </x:c>
      <x:c r="H30" s="8" t="str">
        <x:f>IF($N30="","",IF(_xlfn.XLOOKUP($N30,'Activity'!$A$8:$A$1007,'Activity'!$K$8:$K$1007,"")=0,"",_xlfn.XLOOKUP($N30,'Activity'!$A$8:$A$1007,'Activity'!$K$8:$K$1007,"")))</x:f>
      </x:c>
      <x:c r="I30" s="8" t="str">
        <x:v>https://www.linkedin.com/in/daniel-waine-7a983778/</x:v>
      </x:c>
      <x:c r="J30" s="8" t="str">
        <x:v>Batch 03</x:v>
      </x:c>
      <x:c r="K30" s="8" t="str">
        <x:v>Director New Investments; suggested first contact for eligibility, ticket and transaction structure</x:v>
      </x:c>
      <x:c r="L30" s="8" t="str">
        <x:v>outreach-batch-03/leads/crescent-capital-partners.md</x:v>
      </x:c>
      <x:c r="M30" s="8" t="str">
        <x:v>Official site uses Dan; indexed personal profile uses Daniel and matches Crescent/Sydney. Full authenticated profile not inspected | Batch 03 suggested contact; transaction authority and interest unconfirmed.</x:v>
      </x:c>
      <x:c r="N30" s="8" t="str">
        <x:f>IF(COUNTIFS('Activity'!$B$8:$B$1007,$A30)=0,"",_xlfn.MAXIFS('Activity'!$A$8:$A$1007,'Activity'!$B$8:$B$1007,$A30))</x:f>
      </x:c>
      <x:c r="O30" s="8" t="str">
        <x:f>IF($N30="","",IF(_xlfn.XLOOKUP($N30,'Activity'!$A$8:$A$1007,'Activity'!$F$8:$F$1007,"")=0,"",_xlfn.XLOOKUP($N30,'Activity'!$A$8:$A$1007,'Activity'!$F$8:$F$1007,"")))</x:f>
      </x:c>
      <x:c r="P30" s="8" t="str">
        <x:f>IF($N30="","",IF(_xlfn.XLOOKUP($N30,'Activity'!$A$8:$A$1007,'Activity'!$M$8:$M$1007,"")=0,"",_xlfn.XLOOKUP($N30,'Activity'!$A$8:$A$1007,'Activity'!$M$8:$M$1007,"")))</x:f>
      </x:c>
      <x:c r="Q30" s="8" t="str">
        <x:f>IF($N30="","",IF(_xlfn.XLOOKUP($N30,'Activity'!$A$8:$A$1007,'Activity'!$L$8:$L$1007,"")=0,"",_xlfn.XLOOKUP($N30,'Activity'!$A$8:$A$1007,'Activity'!$L$8:$L$1007,"")))</x:f>
      </x:c>
    </x:row>
    <x:row r="31" ht="34" customHeight="1">
      <x:c r="A31" s="8" t="str">
        <x:v>CON-5f5aa0ec72</x:v>
      </x:c>
      <x:c r="B31" s="8" t="str">
        <x:v>Dana Settle</x:v>
      </x:c>
      <x:c r="C31" s="8" t="str">
        <x:v>Greycroft</x:v>
      </x:c>
      <x:c r="D31" s="8" t="str">
        <x:f>IF($N31="","No outreach recorded",_xlfn.XLOOKUP($N31,'Activity'!$A$8:$A$1007,'Activity'!$H$8:$H$1007,""))</x:f>
        <x:v>No outreach recorded</x:v>
      </x:c>
      <x:c r="E31" s="9" t="str">
        <x:f>IF($N31="","",_xlfn.MINIFS('Activity'!$C$8:$C$1007,'Activity'!$B$8:$B$1007,$A31))</x:f>
      </x:c>
      <x:c r="F31" s="9" t="str">
        <x:f>IF($N31="","",_xlfn.MAXIFS('Activity'!$C$8:$C$1007,'Activity'!$B$8:$B$1007,$A31))</x:f>
      </x:c>
      <x:c r="G31" s="9" t="str">
        <x:f>IF($N31="","",IF(_xlfn.XLOOKUP($N31,'Activity'!$A$8:$A$1007,'Activity'!$J$8:$J$1007,"")=0,"",_xlfn.XLOOKUP($N31,'Activity'!$A$8:$A$1007,'Activity'!$J$8:$J$1007,"")))</x:f>
      </x:c>
      <x:c r="H31" s="8" t="str">
        <x:f>IF($N31="","",IF(_xlfn.XLOOKUP($N31,'Activity'!$A$8:$A$1007,'Activity'!$K$8:$K$1007,"")=0,"",_xlfn.XLOOKUP($N31,'Activity'!$A$8:$A$1007,'Activity'!$K$8:$K$1007,"")))</x:f>
      </x:c>
      <x:c r="I31" s="8" t="str">
        <x:v>https://www.linkedin.com/in/dana-settle-8b18/</x:v>
      </x:c>
      <x:c r="J31" s="8" t="str">
        <x:v>Batch 04</x:v>
      </x:c>
      <x:c r="K31" s="8" t="str">
        <x:v>Co-Founder and Managing Partner</x:v>
      </x:c>
      <x:c r="L31" s="8" t="str">
        <x:v>outreach-batch-04/tech-week-events.json</x:v>
      </x:c>
      <x:c r="M31" s="8" t="str">
        <x:v>authenticated LinkedIn profile header; event agenda | Listed speaker; official Greycroft biography corroborates role.</x:v>
      </x:c>
      <x:c r="N31" s="8" t="str">
        <x:f>IF(COUNTIFS('Activity'!$B$8:$B$1007,$A31)=0,"",_xlfn.MAXIFS('Activity'!$A$8:$A$1007,'Activity'!$B$8:$B$1007,$A31))</x:f>
      </x:c>
      <x:c r="O31" s="8" t="str">
        <x:f>IF($N31="","",IF(_xlfn.XLOOKUP($N31,'Activity'!$A$8:$A$1007,'Activity'!$F$8:$F$1007,"")=0,"",_xlfn.XLOOKUP($N31,'Activity'!$A$8:$A$1007,'Activity'!$F$8:$F$1007,"")))</x:f>
      </x:c>
      <x:c r="P31" s="8" t="str">
        <x:f>IF($N31="","",IF(_xlfn.XLOOKUP($N31,'Activity'!$A$8:$A$1007,'Activity'!$M$8:$M$1007,"")=0,"",_xlfn.XLOOKUP($N31,'Activity'!$A$8:$A$1007,'Activity'!$M$8:$M$1007,"")))</x:f>
      </x:c>
      <x:c r="Q31" s="8" t="str">
        <x:f>IF($N31="","",IF(_xlfn.XLOOKUP($N31,'Activity'!$A$8:$A$1007,'Activity'!$L$8:$L$1007,"")=0,"",_xlfn.XLOOKUP($N31,'Activity'!$A$8:$A$1007,'Activity'!$L$8:$L$1007,"")))</x:f>
      </x:c>
    </x:row>
    <x:row r="32" ht="34" customHeight="1">
      <x:c r="A32" s="8" t="str">
        <x:v>CON-20ac028ed8</x:v>
      </x:c>
      <x:c r="B32" s="8" t="str">
        <x:v>Daniel Dines</x:v>
      </x:c>
      <x:c r="C32" s="8" t="str">
        <x:v>UiPath</x:v>
      </x:c>
      <x:c r="D32" s="8" t="str">
        <x:f>IF($N32="","No outreach recorded",_xlfn.XLOOKUP($N32,'Activity'!$A$8:$A$1007,'Activity'!$H$8:$H$1007,""))</x:f>
        <x:v>No outreach recorded</x:v>
      </x:c>
      <x:c r="E32" s="9" t="str">
        <x:f>IF($N32="","",_xlfn.MINIFS('Activity'!$C$8:$C$1007,'Activity'!$B$8:$B$1007,$A32))</x:f>
      </x:c>
      <x:c r="F32" s="9" t="str">
        <x:f>IF($N32="","",_xlfn.MAXIFS('Activity'!$C$8:$C$1007,'Activity'!$B$8:$B$1007,$A32))</x:f>
      </x:c>
      <x:c r="G32" s="9" t="str">
        <x:f>IF($N32="","",IF(_xlfn.XLOOKUP($N32,'Activity'!$A$8:$A$1007,'Activity'!$J$8:$J$1007,"")=0,"",_xlfn.XLOOKUP($N32,'Activity'!$A$8:$A$1007,'Activity'!$J$8:$J$1007,"")))</x:f>
      </x:c>
      <x:c r="H32" s="8" t="str">
        <x:f>IF($N32="","",IF(_xlfn.XLOOKUP($N32,'Activity'!$A$8:$A$1007,'Activity'!$K$8:$K$1007,"")=0,"",_xlfn.XLOOKUP($N32,'Activity'!$A$8:$A$1007,'Activity'!$K$8:$K$1007,"")))</x:f>
      </x:c>
      <x:c r="I32" s="8" t="str">
        <x:v>https://www.linkedin.com/in/danieldines/</x:v>
      </x:c>
      <x:c r="J32" s="8" t="str">
        <x:v>Batch 01</x:v>
      </x:c>
      <x:c r="K32" s="8" t="str">
        <x:v>Founder and Chief Executive Officer</x:v>
      </x:c>
      <x:c r="L32" s="8" t="str">
        <x:v>outreach-batch-01/contacts.csv</x:v>
      </x:c>
      <x:c r="M32" s="8" t="str">
        <x:v>Authenticated LinkedIn page read | Public role observed; exact transaction authority not established</x:v>
      </x:c>
      <x:c r="N32" s="8" t="str">
        <x:f>IF(COUNTIFS('Activity'!$B$8:$B$1007,$A32)=0,"",_xlfn.MAXIFS('Activity'!$A$8:$A$1007,'Activity'!$B$8:$B$1007,$A32))</x:f>
      </x:c>
      <x:c r="O32" s="8" t="str">
        <x:f>IF($N32="","",IF(_xlfn.XLOOKUP($N32,'Activity'!$A$8:$A$1007,'Activity'!$F$8:$F$1007,"")=0,"",_xlfn.XLOOKUP($N32,'Activity'!$A$8:$A$1007,'Activity'!$F$8:$F$1007,"")))</x:f>
      </x:c>
      <x:c r="P32" s="8" t="str">
        <x:f>IF($N32="","",IF(_xlfn.XLOOKUP($N32,'Activity'!$A$8:$A$1007,'Activity'!$M$8:$M$1007,"")=0,"",_xlfn.XLOOKUP($N32,'Activity'!$A$8:$A$1007,'Activity'!$M$8:$M$1007,"")))</x:f>
      </x:c>
      <x:c r="Q32" s="8" t="str">
        <x:f>IF($N32="","",IF(_xlfn.XLOOKUP($N32,'Activity'!$A$8:$A$1007,'Activity'!$L$8:$L$1007,"")=0,"",_xlfn.XLOOKUP($N32,'Activity'!$A$8:$A$1007,'Activity'!$L$8:$L$1007,"")))</x:f>
      </x:c>
    </x:row>
    <x:row r="33" ht="34" customHeight="1">
      <x:c r="A33" s="8" t="str">
        <x:v>CON-7a70c3a4be</x:v>
      </x:c>
      <x:c r="B33" s="8" t="str">
        <x:v>Danilo Cattaneo</x:v>
      </x:c>
      <x:c r="C33" s="8" t="str">
        <x:v>Tinexta / Tinexta Trust</x:v>
      </x:c>
      <x:c r="D33" s="8" t="str">
        <x:f>IF($N33="","No outreach recorded",_xlfn.XLOOKUP($N33,'Activity'!$A$8:$A$1007,'Activity'!$H$8:$H$1007,""))</x:f>
        <x:v>No outreach recorded</x:v>
      </x:c>
      <x:c r="E33" s="9" t="str">
        <x:f>IF($N33="","",_xlfn.MINIFS('Activity'!$C$8:$C$1007,'Activity'!$B$8:$B$1007,$A33))</x:f>
      </x:c>
      <x:c r="F33" s="9" t="str">
        <x:f>IF($N33="","",_xlfn.MAXIFS('Activity'!$C$8:$C$1007,'Activity'!$B$8:$B$1007,$A33))</x:f>
      </x:c>
      <x:c r="G33" s="9" t="str">
        <x:f>IF($N33="","",IF(_xlfn.XLOOKUP($N33,'Activity'!$A$8:$A$1007,'Activity'!$J$8:$J$1007,"")=0,"",_xlfn.XLOOKUP($N33,'Activity'!$A$8:$A$1007,'Activity'!$J$8:$J$1007,"")))</x:f>
      </x:c>
      <x:c r="H33" s="8" t="str">
        <x:f>IF($N33="","",IF(_xlfn.XLOOKUP($N33,'Activity'!$A$8:$A$1007,'Activity'!$K$8:$K$1007,"")=0,"",_xlfn.XLOOKUP($N33,'Activity'!$A$8:$A$1007,'Activity'!$K$8:$K$1007,"")))</x:f>
      </x:c>
      <x:c r="I33" s="8" t="str">
        <x:v>https://www.linkedin.com/in/danilocattaneo/</x:v>
      </x:c>
      <x:c r="J33" s="8" t="str">
        <x:v>Batch 01</x:v>
      </x:c>
      <x:c r="K33" s="8" t="str">
        <x:v>CEO InfoCert; Chairman Camerfirma</x:v>
      </x:c>
      <x:c r="L33" s="8" t="str">
        <x:v>outreach-batch-01/contacts.csv</x:v>
      </x:c>
      <x:c r="M33" s="8" t="str">
        <x:v>Authenticated LinkedIn page read | Public role observed; exact transaction authority not established</x:v>
      </x:c>
      <x:c r="N33" s="8" t="str">
        <x:f>IF(COUNTIFS('Activity'!$B$8:$B$1007,$A33)=0,"",_xlfn.MAXIFS('Activity'!$A$8:$A$1007,'Activity'!$B$8:$B$1007,$A33))</x:f>
      </x:c>
      <x:c r="O33" s="8" t="str">
        <x:f>IF($N33="","",IF(_xlfn.XLOOKUP($N33,'Activity'!$A$8:$A$1007,'Activity'!$F$8:$F$1007,"")=0,"",_xlfn.XLOOKUP($N33,'Activity'!$A$8:$A$1007,'Activity'!$F$8:$F$1007,"")))</x:f>
      </x:c>
      <x:c r="P33" s="8" t="str">
        <x:f>IF($N33="","",IF(_xlfn.XLOOKUP($N33,'Activity'!$A$8:$A$1007,'Activity'!$M$8:$M$1007,"")=0,"",_xlfn.XLOOKUP($N33,'Activity'!$A$8:$A$1007,'Activity'!$M$8:$M$1007,"")))</x:f>
      </x:c>
      <x:c r="Q33" s="8" t="str">
        <x:f>IF($N33="","",IF(_xlfn.XLOOKUP($N33,'Activity'!$A$8:$A$1007,'Activity'!$L$8:$L$1007,"")=0,"",_xlfn.XLOOKUP($N33,'Activity'!$A$8:$A$1007,'Activity'!$L$8:$L$1007,"")))</x:f>
      </x:c>
    </x:row>
    <x:row r="34" ht="34" customHeight="1">
      <x:c r="A34" s="8" t="str">
        <x:v>CON-13b53dbd4e</x:v>
      </x:c>
      <x:c r="B34" s="8" t="str">
        <x:v>Danny de Vreeze</x:v>
      </x:c>
      <x:c r="C34" s="8" t="str">
        <x:v>Thales</x:v>
      </x:c>
      <x:c r="D34" s="8" t="str">
        <x:f>IF($N34="","No outreach recorded",_xlfn.XLOOKUP($N34,'Activity'!$A$8:$A$1007,'Activity'!$H$8:$H$1007,""))</x:f>
        <x:v>No outreach recorded</x:v>
      </x:c>
      <x:c r="E34" s="9" t="str">
        <x:f>IF($N34="","",_xlfn.MINIFS('Activity'!$C$8:$C$1007,'Activity'!$B$8:$B$1007,$A34))</x:f>
      </x:c>
      <x:c r="F34" s="9" t="str">
        <x:f>IF($N34="","",_xlfn.MAXIFS('Activity'!$C$8:$C$1007,'Activity'!$B$8:$B$1007,$A34))</x:f>
      </x:c>
      <x:c r="G34" s="9" t="str">
        <x:f>IF($N34="","",IF(_xlfn.XLOOKUP($N34,'Activity'!$A$8:$A$1007,'Activity'!$J$8:$J$1007,"")=0,"",_xlfn.XLOOKUP($N34,'Activity'!$A$8:$A$1007,'Activity'!$J$8:$J$1007,"")))</x:f>
      </x:c>
      <x:c r="H34" s="8" t="str">
        <x:f>IF($N34="","",IF(_xlfn.XLOOKUP($N34,'Activity'!$A$8:$A$1007,'Activity'!$K$8:$K$1007,"")=0,"",_xlfn.XLOOKUP($N34,'Activity'!$A$8:$A$1007,'Activity'!$K$8:$K$1007,"")))</x:f>
      </x:c>
      <x:c r="I34" s="8" t="str">
        <x:v>https://www.linkedin.com/in/dannydevreeze/</x:v>
      </x:c>
      <x:c r="J34" s="8" t="str">
        <x:v>Batch 01; Batch 02</x:v>
      </x:c>
      <x:c r="K34" s="8" t="str">
        <x:v>Vice President, Identity &amp; Access Management</x:v>
      </x:c>
      <x:c r="L34" s="8" t="str">
        <x:v>outreach-batch-01/contacts.csv; outreach-batch-02/contacts.csv</x:v>
      </x:c>
      <x:c r="M34" s="8" t="str">
        <x:v>Authenticated LinkedIn page read | Public role observed; exact transaction authority not established</x:v>
      </x:c>
      <x:c r="N34" s="8" t="str">
        <x:f>IF(COUNTIFS('Activity'!$B$8:$B$1007,$A34)=0,"",_xlfn.MAXIFS('Activity'!$A$8:$A$1007,'Activity'!$B$8:$B$1007,$A34))</x:f>
      </x:c>
      <x:c r="O34" s="8" t="str">
        <x:f>IF($N34="","",IF(_xlfn.XLOOKUP($N34,'Activity'!$A$8:$A$1007,'Activity'!$F$8:$F$1007,"")=0,"",_xlfn.XLOOKUP($N34,'Activity'!$A$8:$A$1007,'Activity'!$F$8:$F$1007,"")))</x:f>
      </x:c>
      <x:c r="P34" s="8" t="str">
        <x:f>IF($N34="","",IF(_xlfn.XLOOKUP($N34,'Activity'!$A$8:$A$1007,'Activity'!$M$8:$M$1007,"")=0,"",_xlfn.XLOOKUP($N34,'Activity'!$A$8:$A$1007,'Activity'!$M$8:$M$1007,"")))</x:f>
      </x:c>
      <x:c r="Q34" s="8" t="str">
        <x:f>IF($N34="","",IF(_xlfn.XLOOKUP($N34,'Activity'!$A$8:$A$1007,'Activity'!$L$8:$L$1007,"")=0,"",_xlfn.XLOOKUP($N34,'Activity'!$A$8:$A$1007,'Activity'!$L$8:$L$1007,"")))</x:f>
      </x:c>
    </x:row>
    <x:row r="35" ht="34" customHeight="1">
      <x:c r="A35" s="8" t="str">
        <x:v>CON-eb95aff720</x:v>
      </x:c>
      <x:c r="B35" s="8" t="str">
        <x:v>Dave Tabors</x:v>
      </x:c>
      <x:c r="C35" s="8" t="str">
        <x:v>Battery Ventures</x:v>
      </x:c>
      <x:c r="D35" s="8" t="str">
        <x:f>IF($N35="","No outreach recorded",_xlfn.XLOOKUP($N35,'Activity'!$A$8:$A$1007,'Activity'!$H$8:$H$1007,""))</x:f>
        <x:v>No outreach recorded</x:v>
      </x:c>
      <x:c r="E35" s="9" t="str">
        <x:f>IF($N35="","",_xlfn.MINIFS('Activity'!$C$8:$C$1007,'Activity'!$B$8:$B$1007,$A35))</x:f>
      </x:c>
      <x:c r="F35" s="9" t="str">
        <x:f>IF($N35="","",_xlfn.MAXIFS('Activity'!$C$8:$C$1007,'Activity'!$B$8:$B$1007,$A35))</x:f>
      </x:c>
      <x:c r="G35" s="9" t="str">
        <x:f>IF($N35="","",IF(_xlfn.XLOOKUP($N35,'Activity'!$A$8:$A$1007,'Activity'!$J$8:$J$1007,"")=0,"",_xlfn.XLOOKUP($N35,'Activity'!$A$8:$A$1007,'Activity'!$J$8:$J$1007,"")))</x:f>
      </x:c>
      <x:c r="H35" s="8" t="str">
        <x:f>IF($N35="","",IF(_xlfn.XLOOKUP($N35,'Activity'!$A$8:$A$1007,'Activity'!$K$8:$K$1007,"")=0,"",_xlfn.XLOOKUP($N35,'Activity'!$A$8:$A$1007,'Activity'!$K$8:$K$1007,"")))</x:f>
      </x:c>
      <x:c r="I35" s="8" t="str">
        <x:v>https://www.linkedin.com/in/dave-tabors/</x:v>
      </x:c>
      <x:c r="J35" s="8" t="str">
        <x:v>Batch 03</x:v>
      </x:c>
      <x:c r="K35" s="8" t="str">
        <x:v>Private Equity Partner, Boston; later-stage software focus. Suggested structure discussion: software buyouts and Signal AI involvement</x:v>
      </x:c>
      <x:c r="L35" s="8" t="str">
        <x:v>outreach-batch-03/leads/battery-ventures.md</x:v>
      </x:c>
      <x:c r="M35" s="8" t="str">
        <x:v>Role and focus from official biography. Indexed LinkedIn result matches name and Boston but does not expose employment; confirm identity in the authenticated profile before using | Batch 03 suggested contact; transaction authority and interest unconfirmed.</x:v>
      </x:c>
      <x:c r="N35" s="8" t="str">
        <x:f>IF(COUNTIFS('Activity'!$B$8:$B$1007,$A35)=0,"",_xlfn.MAXIFS('Activity'!$A$8:$A$1007,'Activity'!$B$8:$B$1007,$A35))</x:f>
      </x:c>
      <x:c r="O35" s="8" t="str">
        <x:f>IF($N35="","",IF(_xlfn.XLOOKUP($N35,'Activity'!$A$8:$A$1007,'Activity'!$F$8:$F$1007,"")=0,"",_xlfn.XLOOKUP($N35,'Activity'!$A$8:$A$1007,'Activity'!$F$8:$F$1007,"")))</x:f>
      </x:c>
      <x:c r="P35" s="8" t="str">
        <x:f>IF($N35="","",IF(_xlfn.XLOOKUP($N35,'Activity'!$A$8:$A$1007,'Activity'!$M$8:$M$1007,"")=0,"",_xlfn.XLOOKUP($N35,'Activity'!$A$8:$A$1007,'Activity'!$M$8:$M$1007,"")))</x:f>
      </x:c>
      <x:c r="Q35" s="8" t="str">
        <x:f>IF($N35="","",IF(_xlfn.XLOOKUP($N35,'Activity'!$A$8:$A$1007,'Activity'!$L$8:$L$1007,"")=0,"",_xlfn.XLOOKUP($N35,'Activity'!$A$8:$A$1007,'Activity'!$L$8:$L$1007,"")))</x:f>
      </x:c>
    </x:row>
    <x:row r="36" ht="34" customHeight="1">
      <x:c r="A36" s="8" t="str">
        <x:v>CON-8c44bd779e</x:v>
      </x:c>
      <x:c r="B36" s="8" t="str">
        <x:v>David Popowitz</x:v>
      </x:c>
      <x:c r="C36" s="8" t="str">
        <x:v>Adobe</x:v>
      </x:c>
      <x:c r="D36" s="8" t="str">
        <x:f>IF($N36="","No outreach recorded",_xlfn.XLOOKUP($N36,'Activity'!$A$8:$A$1007,'Activity'!$H$8:$H$1007,""))</x:f>
        <x:v>No outreach recorded</x:v>
      </x:c>
      <x:c r="E36" s="9" t="str">
        <x:f>IF($N36="","",_xlfn.MINIFS('Activity'!$C$8:$C$1007,'Activity'!$B$8:$B$1007,$A36))</x:f>
      </x:c>
      <x:c r="F36" s="9" t="str">
        <x:f>IF($N36="","",_xlfn.MAXIFS('Activity'!$C$8:$C$1007,'Activity'!$B$8:$B$1007,$A36))</x:f>
      </x:c>
      <x:c r="G36" s="9" t="str">
        <x:f>IF($N36="","",IF(_xlfn.XLOOKUP($N36,'Activity'!$A$8:$A$1007,'Activity'!$J$8:$J$1007,"")=0,"",_xlfn.XLOOKUP($N36,'Activity'!$A$8:$A$1007,'Activity'!$J$8:$J$1007,"")))</x:f>
      </x:c>
      <x:c r="H36" s="8" t="str">
        <x:f>IF($N36="","",IF(_xlfn.XLOOKUP($N36,'Activity'!$A$8:$A$1007,'Activity'!$K$8:$K$1007,"")=0,"",_xlfn.XLOOKUP($N36,'Activity'!$A$8:$A$1007,'Activity'!$K$8:$K$1007,"")))</x:f>
      </x:c>
      <x:c r="I36" s="8" t="str">
        <x:v>https://www.linkedin.com/in/popowitz/</x:v>
      </x:c>
      <x:c r="J36" s="8" t="str">
        <x:v>Batch 04</x:v>
      </x:c>
      <x:c r="K36" s="8" t="str">
        <x:v>Head of Adobe Corporate Development and Ventures</x:v>
      </x:c>
      <x:c r="L36" s="8" t="str">
        <x:v>outreach-batch-04/tech-week-events.json</x:v>
      </x:c>
      <x:c r="M36" s="8" t="str">
        <x:v>authenticated LinkedIn profile header; event agenda | Listed speaker; event uses VP Corporate Development. Profile checked directly; public search label SignalFire is inconsistent with current header.</x:v>
      </x:c>
      <x:c r="N36" s="8" t="str">
        <x:f>IF(COUNTIFS('Activity'!$B$8:$B$1007,$A36)=0,"",_xlfn.MAXIFS('Activity'!$A$8:$A$1007,'Activity'!$B$8:$B$1007,$A36))</x:f>
      </x:c>
      <x:c r="O36" s="8" t="str">
        <x:f>IF($N36="","",IF(_xlfn.XLOOKUP($N36,'Activity'!$A$8:$A$1007,'Activity'!$F$8:$F$1007,"")=0,"",_xlfn.XLOOKUP($N36,'Activity'!$A$8:$A$1007,'Activity'!$F$8:$F$1007,"")))</x:f>
      </x:c>
      <x:c r="P36" s="8" t="str">
        <x:f>IF($N36="","",IF(_xlfn.XLOOKUP($N36,'Activity'!$A$8:$A$1007,'Activity'!$M$8:$M$1007,"")=0,"",_xlfn.XLOOKUP($N36,'Activity'!$A$8:$A$1007,'Activity'!$M$8:$M$1007,"")))</x:f>
      </x:c>
      <x:c r="Q36" s="8" t="str">
        <x:f>IF($N36="","",IF(_xlfn.XLOOKUP($N36,'Activity'!$A$8:$A$1007,'Activity'!$L$8:$L$1007,"")=0,"",_xlfn.XLOOKUP($N36,'Activity'!$A$8:$A$1007,'Activity'!$L$8:$L$1007,"")))</x:f>
      </x:c>
    </x:row>
    <x:row r="37" ht="34" customHeight="1">
      <x:c r="A37" s="8" t="str">
        <x:v>CON-4b0e3431b8</x:v>
      </x:c>
      <x:c r="B37" s="8" t="str">
        <x:v>Davis Treybig</x:v>
      </x:c>
      <x:c r="C37" s="8" t="str">
        <x:v>Innovation Endeavors</x:v>
      </x:c>
      <x:c r="D37" s="8" t="str">
        <x:f>IF($N37="","No outreach recorded",_xlfn.XLOOKUP($N37,'Activity'!$A$8:$A$1007,'Activity'!$H$8:$H$1007,""))</x:f>
        <x:v>No outreach recorded</x:v>
      </x:c>
      <x:c r="E37" s="9" t="str">
        <x:f>IF($N37="","",_xlfn.MINIFS('Activity'!$C$8:$C$1007,'Activity'!$B$8:$B$1007,$A37))</x:f>
      </x:c>
      <x:c r="F37" s="9" t="str">
        <x:f>IF($N37="","",_xlfn.MAXIFS('Activity'!$C$8:$C$1007,'Activity'!$B$8:$B$1007,$A37))</x:f>
      </x:c>
      <x:c r="G37" s="9" t="str">
        <x:f>IF($N37="","",IF(_xlfn.XLOOKUP($N37,'Activity'!$A$8:$A$1007,'Activity'!$J$8:$J$1007,"")=0,"",_xlfn.XLOOKUP($N37,'Activity'!$A$8:$A$1007,'Activity'!$J$8:$J$1007,"")))</x:f>
      </x:c>
      <x:c r="H37" s="8" t="str">
        <x:f>IF($N37="","",IF(_xlfn.XLOOKUP($N37,'Activity'!$A$8:$A$1007,'Activity'!$K$8:$K$1007,"")=0,"",_xlfn.XLOOKUP($N37,'Activity'!$A$8:$A$1007,'Activity'!$K$8:$K$1007,"")))</x:f>
      </x:c>
      <x:c r="I37" s="8" t="str">
        <x:v>https://www.linkedin.com/in/davistreybig/</x:v>
      </x:c>
      <x:c r="J37" s="8" t="str">
        <x:v>Batch 03</x:v>
      </x:c>
      <x:c r="K37" s="8" t="str">
        <x:v>Suggested first technical/document-infrastructure sponsor; led the Extend investment and co-authored the agent/API thesis</x:v>
      </x:c>
      <x:c r="L37" s="8" t="str">
        <x:v>outreach-batch-03/leads/innovation-endeavors.md</x:v>
      </x:c>
      <x:c r="M37" s="8" t="str">
        <x:v>Current roster lists General Partner; 29 October 2025 promotion announcement identifies Extend leadership; indexed professional profile matches the firm | Batch 03 suggested contact; transaction authority and interest unconfirmed.</x:v>
      </x:c>
      <x:c r="N37" s="8" t="str">
        <x:f>IF(COUNTIFS('Activity'!$B$8:$B$1007,$A37)=0,"",_xlfn.MAXIFS('Activity'!$A$8:$A$1007,'Activity'!$B$8:$B$1007,$A37))</x:f>
      </x:c>
      <x:c r="O37" s="8" t="str">
        <x:f>IF($N37="","",IF(_xlfn.XLOOKUP($N37,'Activity'!$A$8:$A$1007,'Activity'!$F$8:$F$1007,"")=0,"",_xlfn.XLOOKUP($N37,'Activity'!$A$8:$A$1007,'Activity'!$F$8:$F$1007,"")))</x:f>
      </x:c>
      <x:c r="P37" s="8" t="str">
        <x:f>IF($N37="","",IF(_xlfn.XLOOKUP($N37,'Activity'!$A$8:$A$1007,'Activity'!$M$8:$M$1007,"")=0,"",_xlfn.XLOOKUP($N37,'Activity'!$A$8:$A$1007,'Activity'!$M$8:$M$1007,"")))</x:f>
      </x:c>
      <x:c r="Q37" s="8" t="str">
        <x:f>IF($N37="","",IF(_xlfn.XLOOKUP($N37,'Activity'!$A$8:$A$1007,'Activity'!$L$8:$L$1007,"")=0,"",_xlfn.XLOOKUP($N37,'Activity'!$A$8:$A$1007,'Activity'!$L$8:$L$1007,"")))</x:f>
      </x:c>
    </x:row>
    <x:row r="38" ht="34" customHeight="1">
      <x:c r="A38" s="8" t="str">
        <x:v>CON-60ad41c3ff</x:v>
      </x:c>
      <x:c r="B38" s="8" t="str">
        <x:v>Davor Hebel</x:v>
      </x:c>
      <x:c r="C38" s="8" t="str">
        <x:v>Eight Roads</x:v>
      </x:c>
      <x:c r="D38" s="8" t="str">
        <x:f>IF($N38="","No outreach recorded",_xlfn.XLOOKUP($N38,'Activity'!$A$8:$A$1007,'Activity'!$H$8:$H$1007,""))</x:f>
        <x:v>No outreach recorded</x:v>
      </x:c>
      <x:c r="E38" s="9" t="str">
        <x:f>IF($N38="","",_xlfn.MINIFS('Activity'!$C$8:$C$1007,'Activity'!$B$8:$B$1007,$A38))</x:f>
      </x:c>
      <x:c r="F38" s="9" t="str">
        <x:f>IF($N38="","",_xlfn.MAXIFS('Activity'!$C$8:$C$1007,'Activity'!$B$8:$B$1007,$A38))</x:f>
      </x:c>
      <x:c r="G38" s="9" t="str">
        <x:f>IF($N38="","",IF(_xlfn.XLOOKUP($N38,'Activity'!$A$8:$A$1007,'Activity'!$J$8:$J$1007,"")=0,"",_xlfn.XLOOKUP($N38,'Activity'!$A$8:$A$1007,'Activity'!$J$8:$J$1007,"")))</x:f>
      </x:c>
      <x:c r="H38" s="8" t="str">
        <x:f>IF($N38="","",IF(_xlfn.XLOOKUP($N38,'Activity'!$A$8:$A$1007,'Activity'!$K$8:$K$1007,"")=0,"",_xlfn.XLOOKUP($N38,'Activity'!$A$8:$A$1007,'Activity'!$K$8:$K$1007,"")))</x:f>
      </x:c>
      <x:c r="I38" s="8" t="str">
        <x:v>https://www.linkedin.com/in/davorhebel/</x:v>
      </x:c>
      <x:c r="J38" s="8" t="str">
        <x:v>Batch 03</x:v>
      </x:c>
      <x:c r="K38" s="8" t="str">
        <x:v>Managing Partner, Head of Europe; senior regional-mandate and structure route</x:v>
      </x:c>
      <x:c r="L38" s="8" t="str">
        <x:v>outreach-batch-03/leads/eight-roads.md</x:v>
      </x:c>
      <x:c r="M38" s="8" t="str">
        <x:v>Current role from official biography; indexed profile matches name, London and Harvard MBA context, with Eight Roads-related investment articles. Current employment not exposed in retrieved profile; reconfirm before use | Batch 03 suggested contact; transaction authority and interest unconfirmed.</x:v>
      </x:c>
      <x:c r="N38" s="8" t="str">
        <x:f>IF(COUNTIFS('Activity'!$B$8:$B$1007,$A38)=0,"",_xlfn.MAXIFS('Activity'!$A$8:$A$1007,'Activity'!$B$8:$B$1007,$A38))</x:f>
      </x:c>
      <x:c r="O38" s="8" t="str">
        <x:f>IF($N38="","",IF(_xlfn.XLOOKUP($N38,'Activity'!$A$8:$A$1007,'Activity'!$F$8:$F$1007,"")=0,"",_xlfn.XLOOKUP($N38,'Activity'!$A$8:$A$1007,'Activity'!$F$8:$F$1007,"")))</x:f>
      </x:c>
      <x:c r="P38" s="8" t="str">
        <x:f>IF($N38="","",IF(_xlfn.XLOOKUP($N38,'Activity'!$A$8:$A$1007,'Activity'!$M$8:$M$1007,"")=0,"",_xlfn.XLOOKUP($N38,'Activity'!$A$8:$A$1007,'Activity'!$M$8:$M$1007,"")))</x:f>
      </x:c>
      <x:c r="Q38" s="8" t="str">
        <x:f>IF($N38="","",IF(_xlfn.XLOOKUP($N38,'Activity'!$A$8:$A$1007,'Activity'!$L$8:$L$1007,"")=0,"",_xlfn.XLOOKUP($N38,'Activity'!$A$8:$A$1007,'Activity'!$L$8:$L$1007,"")))</x:f>
      </x:c>
    </x:row>
    <x:row r="39" ht="34" customHeight="1">
      <x:c r="A39" s="8" t="str">
        <x:v>CON-0c1c9d6785</x:v>
      </x:c>
      <x:c r="B39" s="8" t="str">
        <x:v>Derek Idemoto</x:v>
      </x:c>
      <x:c r="C39" s="8" t="str">
        <x:v>Cisco Investments</x:v>
      </x:c>
      <x:c r="D39" s="8" t="str">
        <x:f>IF($N39="","No outreach recorded",_xlfn.XLOOKUP($N39,'Activity'!$A$8:$A$1007,'Activity'!$H$8:$H$1007,""))</x:f>
        <x:v>No outreach recorded</x:v>
      </x:c>
      <x:c r="E39" s="9" t="str">
        <x:f>IF($N39="","",_xlfn.MINIFS('Activity'!$C$8:$C$1007,'Activity'!$B$8:$B$1007,$A39))</x:f>
      </x:c>
      <x:c r="F39" s="9" t="str">
        <x:f>IF($N39="","",_xlfn.MAXIFS('Activity'!$C$8:$C$1007,'Activity'!$B$8:$B$1007,$A39))</x:f>
      </x:c>
      <x:c r="G39" s="9" t="str">
        <x:f>IF($N39="","",IF(_xlfn.XLOOKUP($N39,'Activity'!$A$8:$A$1007,'Activity'!$J$8:$J$1007,"")=0,"",_xlfn.XLOOKUP($N39,'Activity'!$A$8:$A$1007,'Activity'!$J$8:$J$1007,"")))</x:f>
      </x:c>
      <x:c r="H39" s="8" t="str">
        <x:f>IF($N39="","",IF(_xlfn.XLOOKUP($N39,'Activity'!$A$8:$A$1007,'Activity'!$K$8:$K$1007,"")=0,"",_xlfn.XLOOKUP($N39,'Activity'!$A$8:$A$1007,'Activity'!$K$8:$K$1007,"")))</x:f>
      </x:c>
      <x:c r="I39" s="8" t="str">
        <x:v>https://www.linkedin.com/in/derekidemoto/</x:v>
      </x:c>
      <x:c r="J39" s="8" t="str">
        <x:v>Batch 01</x:v>
      </x:c>
      <x:c r="K39" s="8" t="str">
        <x:v>Senior Vice President, Corporate Development and Cisco Investments</x:v>
      </x:c>
      <x:c r="L39" s="8" t="str">
        <x:v>outreach-batch-01/contacts.csv</x:v>
      </x:c>
      <x:c r="M39" s="8" t="str">
        <x:v>Authenticated LinkedIn page read | Public role observed; exact transaction authority not established</x:v>
      </x:c>
      <x:c r="N39" s="8" t="str">
        <x:f>IF(COUNTIFS('Activity'!$B$8:$B$1007,$A39)=0,"",_xlfn.MAXIFS('Activity'!$A$8:$A$1007,'Activity'!$B$8:$B$1007,$A39))</x:f>
      </x:c>
      <x:c r="O39" s="8" t="str">
        <x:f>IF($N39="","",IF(_xlfn.XLOOKUP($N39,'Activity'!$A$8:$A$1007,'Activity'!$F$8:$F$1007,"")=0,"",_xlfn.XLOOKUP($N39,'Activity'!$A$8:$A$1007,'Activity'!$F$8:$F$1007,"")))</x:f>
      </x:c>
      <x:c r="P39" s="8" t="str">
        <x:f>IF($N39="","",IF(_xlfn.XLOOKUP($N39,'Activity'!$A$8:$A$1007,'Activity'!$M$8:$M$1007,"")=0,"",_xlfn.XLOOKUP($N39,'Activity'!$A$8:$A$1007,'Activity'!$M$8:$M$1007,"")))</x:f>
      </x:c>
      <x:c r="Q39" s="8" t="str">
        <x:f>IF($N39="","",IF(_xlfn.XLOOKUP($N39,'Activity'!$A$8:$A$1007,'Activity'!$L$8:$L$1007,"")=0,"",_xlfn.XLOOKUP($N39,'Activity'!$A$8:$A$1007,'Activity'!$L$8:$L$1007,"")))</x:f>
      </x:c>
    </x:row>
    <x:row r="40" ht="34" customHeight="1">
      <x:c r="A40" s="8" t="str">
        <x:v>CON-3c4e7c1264</x:v>
      </x:c>
      <x:c r="B40" s="8" t="str">
        <x:v>Dr. Karim El Solh</x:v>
      </x:c>
      <x:c r="C40" s="8" t="str">
        <x:v>Gulf Capital</x:v>
      </x:c>
      <x:c r="D40" s="8" t="str">
        <x:f>IF($N40="","No outreach recorded",_xlfn.XLOOKUP($N40,'Activity'!$A$8:$A$1007,'Activity'!$H$8:$H$1007,""))</x:f>
        <x:v>No outreach recorded</x:v>
      </x:c>
      <x:c r="E40" s="9" t="str">
        <x:f>IF($N40="","",_xlfn.MINIFS('Activity'!$C$8:$C$1007,'Activity'!$B$8:$B$1007,$A40))</x:f>
      </x:c>
      <x:c r="F40" s="9" t="str">
        <x:f>IF($N40="","",_xlfn.MAXIFS('Activity'!$C$8:$C$1007,'Activity'!$B$8:$B$1007,$A40))</x:f>
      </x:c>
      <x:c r="G40" s="9" t="str">
        <x:f>IF($N40="","",IF(_xlfn.XLOOKUP($N40,'Activity'!$A$8:$A$1007,'Activity'!$J$8:$J$1007,"")=0,"",_xlfn.XLOOKUP($N40,'Activity'!$A$8:$A$1007,'Activity'!$J$8:$J$1007,"")))</x:f>
      </x:c>
      <x:c r="H40" s="8" t="str">
        <x:f>IF($N40="","",IF(_xlfn.XLOOKUP($N40,'Activity'!$A$8:$A$1007,'Activity'!$K$8:$K$1007,"")=0,"",_xlfn.XLOOKUP($N40,'Activity'!$A$8:$A$1007,'Activity'!$K$8:$K$1007,"")))</x:f>
      </x:c>
      <x:c r="I40" s="8" t="str">
        <x:v>https://www.linkedin.com/in/dr-karim-el-solh/</x:v>
      </x:c>
      <x:c r="J40" s="8" t="str">
        <x:v>Batch 02</x:v>
      </x:c>
      <x:c r="K40" s="8" t="str">
        <x:v>Co-founder and CEO</x:v>
      </x:c>
      <x:c r="L40" s="8" t="str">
        <x:v>outreach-batch-02/contacts.csv</x:v>
      </x:c>
      <x:c r="M40" s="8" t="str">
        <x:v>Indexed LinkedIn profile matched to official role | Public role observed; exact transaction authority not established.</x:v>
      </x:c>
      <x:c r="N40" s="8" t="str">
        <x:f>IF(COUNTIFS('Activity'!$B$8:$B$1007,$A40)=0,"",_xlfn.MAXIFS('Activity'!$A$8:$A$1007,'Activity'!$B$8:$B$1007,$A40))</x:f>
      </x:c>
      <x:c r="O40" s="8" t="str">
        <x:f>IF($N40="","",IF(_xlfn.XLOOKUP($N40,'Activity'!$A$8:$A$1007,'Activity'!$F$8:$F$1007,"")=0,"",_xlfn.XLOOKUP($N40,'Activity'!$A$8:$A$1007,'Activity'!$F$8:$F$1007,"")))</x:f>
      </x:c>
      <x:c r="P40" s="8" t="str">
        <x:f>IF($N40="","",IF(_xlfn.XLOOKUP($N40,'Activity'!$A$8:$A$1007,'Activity'!$M$8:$M$1007,"")=0,"",_xlfn.XLOOKUP($N40,'Activity'!$A$8:$A$1007,'Activity'!$M$8:$M$1007,"")))</x:f>
      </x:c>
      <x:c r="Q40" s="8" t="str">
        <x:f>IF($N40="","",IF(_xlfn.XLOOKUP($N40,'Activity'!$A$8:$A$1007,'Activity'!$L$8:$L$1007,"")=0,"",_xlfn.XLOOKUP($N40,'Activity'!$A$8:$A$1007,'Activity'!$L$8:$L$1007,"")))</x:f>
      </x:c>
    </x:row>
    <x:row r="41" ht="34" customHeight="1">
      <x:c r="A41" s="8" t="str">
        <x:v>CON-f3364f144b</x:v>
      </x:c>
      <x:c r="B41" s="8" t="str">
        <x:v>Edgar Hardless</x:v>
      </x:c>
      <x:c r="C41" s="8" t="str">
        <x:v>Singtel Innov8</x:v>
      </x:c>
      <x:c r="D41" s="8" t="str">
        <x:f>IF($N41="","No outreach recorded",_xlfn.XLOOKUP($N41,'Activity'!$A$8:$A$1007,'Activity'!$H$8:$H$1007,""))</x:f>
        <x:v>No outreach recorded</x:v>
      </x:c>
      <x:c r="E41" s="9" t="str">
        <x:f>IF($N41="","",_xlfn.MINIFS('Activity'!$C$8:$C$1007,'Activity'!$B$8:$B$1007,$A41))</x:f>
      </x:c>
      <x:c r="F41" s="9" t="str">
        <x:f>IF($N41="","",_xlfn.MAXIFS('Activity'!$C$8:$C$1007,'Activity'!$B$8:$B$1007,$A41))</x:f>
      </x:c>
      <x:c r="G41" s="9" t="str">
        <x:f>IF($N41="","",IF(_xlfn.XLOOKUP($N41,'Activity'!$A$8:$A$1007,'Activity'!$J$8:$J$1007,"")=0,"",_xlfn.XLOOKUP($N41,'Activity'!$A$8:$A$1007,'Activity'!$J$8:$J$1007,"")))</x:f>
      </x:c>
      <x:c r="H41" s="8" t="str">
        <x:f>IF($N41="","",IF(_xlfn.XLOOKUP($N41,'Activity'!$A$8:$A$1007,'Activity'!$K$8:$K$1007,"")=0,"",_xlfn.XLOOKUP($N41,'Activity'!$A$8:$A$1007,'Activity'!$K$8:$K$1007,"")))</x:f>
      </x:c>
      <x:c r="I41" s="8" t="str">
        <x:v>https://www.linkedin.com/in/edgarhardless/</x:v>
      </x:c>
      <x:c r="J41" s="8" t="str">
        <x:v>Batch 03</x:v>
      </x:c>
      <x:c r="K41" s="8" t="str">
        <x:v>CEO; potential senior route for fund selection and group strategic sponsorship</x:v>
      </x:c>
      <x:c r="L41" s="8" t="str">
        <x:v>outreach-batch-03/leads/singtel-innov8.md</x:v>
      </x:c>
      <x:c r="M41" s="8" t="str">
        <x:v>Current role from official team page. Public indexed profile matches name and Singapore; employment not exposed in the retrieved profile. Identity needs reconfirmation before use | Batch 03 suggested contact; transaction authority and interest unconfirmed.</x:v>
      </x:c>
      <x:c r="N41" s="8" t="str">
        <x:f>IF(COUNTIFS('Activity'!$B$8:$B$1007,$A41)=0,"",_xlfn.MAXIFS('Activity'!$A$8:$A$1007,'Activity'!$B$8:$B$1007,$A41))</x:f>
      </x:c>
      <x:c r="O41" s="8" t="str">
        <x:f>IF($N41="","",IF(_xlfn.XLOOKUP($N41,'Activity'!$A$8:$A$1007,'Activity'!$F$8:$F$1007,"")=0,"",_xlfn.XLOOKUP($N41,'Activity'!$A$8:$A$1007,'Activity'!$F$8:$F$1007,"")))</x:f>
      </x:c>
      <x:c r="P41" s="8" t="str">
        <x:f>IF($N41="","",IF(_xlfn.XLOOKUP($N41,'Activity'!$A$8:$A$1007,'Activity'!$M$8:$M$1007,"")=0,"",_xlfn.XLOOKUP($N41,'Activity'!$A$8:$A$1007,'Activity'!$M$8:$M$1007,"")))</x:f>
      </x:c>
      <x:c r="Q41" s="8" t="str">
        <x:f>IF($N41="","",IF(_xlfn.XLOOKUP($N41,'Activity'!$A$8:$A$1007,'Activity'!$L$8:$L$1007,"")=0,"",_xlfn.XLOOKUP($N41,'Activity'!$A$8:$A$1007,'Activity'!$L$8:$L$1007,"")))</x:f>
      </x:c>
    </x:row>
    <x:row r="42" ht="34" customHeight="1">
      <x:c r="A42" s="8" t="str">
        <x:v>CON-d763f2a486</x:v>
      </x:c>
      <x:c r="B42" s="8" t="str">
        <x:v>Eva Rudin</x:v>
      </x:c>
      <x:c r="C42" s="8" t="str">
        <x:v>Thales</x:v>
      </x:c>
      <x:c r="D42" s="8" t="str">
        <x:f>IF($N42="","No outreach recorded",_xlfn.XLOOKUP($N42,'Activity'!$A$8:$A$1007,'Activity'!$H$8:$H$1007,""))</x:f>
        <x:v>No outreach recorded</x:v>
      </x:c>
      <x:c r="E42" s="9" t="str">
        <x:f>IF($N42="","",_xlfn.MINIFS('Activity'!$C$8:$C$1007,'Activity'!$B$8:$B$1007,$A42))</x:f>
      </x:c>
      <x:c r="F42" s="9" t="str">
        <x:f>IF($N42="","",_xlfn.MAXIFS('Activity'!$C$8:$C$1007,'Activity'!$B$8:$B$1007,$A42))</x:f>
      </x:c>
      <x:c r="G42" s="9" t="str">
        <x:f>IF($N42="","",IF(_xlfn.XLOOKUP($N42,'Activity'!$A$8:$A$1007,'Activity'!$J$8:$J$1007,"")=0,"",_xlfn.XLOOKUP($N42,'Activity'!$A$8:$A$1007,'Activity'!$J$8:$J$1007,"")))</x:f>
      </x:c>
      <x:c r="H42" s="8" t="str">
        <x:f>IF($N42="","",IF(_xlfn.XLOOKUP($N42,'Activity'!$A$8:$A$1007,'Activity'!$K$8:$K$1007,"")=0,"",_xlfn.XLOOKUP($N42,'Activity'!$A$8:$A$1007,'Activity'!$K$8:$K$1007,"")))</x:f>
      </x:c>
      <x:c r="I42" s="8" t="str">
        <x:v>https://www.linkedin.com/in/eva-rudin-909a6713/</x:v>
      </x:c>
      <x:c r="J42" s="8" t="str">
        <x:v>Batch 01; Batch 02</x:v>
      </x:c>
      <x:c r="K42" s="8" t="str">
        <x:v>Senior Vice President, Cyber Security Products</x:v>
      </x:c>
      <x:c r="L42" s="8" t="str">
        <x:v>outreach-batch-01/contacts.csv; outreach-batch-02/contacts.csv</x:v>
      </x:c>
      <x:c r="M42" s="8" t="str">
        <x:v>Authenticated LinkedIn page read | Public role observed; exact transaction authority not established</x:v>
      </x:c>
      <x:c r="N42" s="8" t="str">
        <x:f>IF(COUNTIFS('Activity'!$B$8:$B$1007,$A42)=0,"",_xlfn.MAXIFS('Activity'!$A$8:$A$1007,'Activity'!$B$8:$B$1007,$A42))</x:f>
      </x:c>
      <x:c r="O42" s="8" t="str">
        <x:f>IF($N42="","",IF(_xlfn.XLOOKUP($N42,'Activity'!$A$8:$A$1007,'Activity'!$F$8:$F$1007,"")=0,"",_xlfn.XLOOKUP($N42,'Activity'!$A$8:$A$1007,'Activity'!$F$8:$F$1007,"")))</x:f>
      </x:c>
      <x:c r="P42" s="8" t="str">
        <x:f>IF($N42="","",IF(_xlfn.XLOOKUP($N42,'Activity'!$A$8:$A$1007,'Activity'!$M$8:$M$1007,"")=0,"",_xlfn.XLOOKUP($N42,'Activity'!$A$8:$A$1007,'Activity'!$M$8:$M$1007,"")))</x:f>
      </x:c>
      <x:c r="Q42" s="8" t="str">
        <x:f>IF($N42="","",IF(_xlfn.XLOOKUP($N42,'Activity'!$A$8:$A$1007,'Activity'!$L$8:$L$1007,"")=0,"",_xlfn.XLOOKUP($N42,'Activity'!$A$8:$A$1007,'Activity'!$L$8:$L$1007,"")))</x:f>
      </x:c>
    </x:row>
    <x:row r="43" ht="34" customHeight="1">
      <x:c r="A43" s="8" t="str">
        <x:v>CON-f82fb80f70</x:v>
      </x:c>
      <x:c r="B43" s="8" t="str">
        <x:v>Gina Mastantuono</x:v>
      </x:c>
      <x:c r="C43" s="8" t="str">
        <x:v>ServiceNow / ServiceNow Ventures</x:v>
      </x:c>
      <x:c r="D43" s="8" t="str">
        <x:f>IF($N43="","No outreach recorded",_xlfn.XLOOKUP($N43,'Activity'!$A$8:$A$1007,'Activity'!$H$8:$H$1007,""))</x:f>
        <x:v>No outreach recorded</x:v>
      </x:c>
      <x:c r="E43" s="9" t="str">
        <x:f>IF($N43="","",_xlfn.MINIFS('Activity'!$C$8:$C$1007,'Activity'!$B$8:$B$1007,$A43))</x:f>
      </x:c>
      <x:c r="F43" s="9" t="str">
        <x:f>IF($N43="","",_xlfn.MAXIFS('Activity'!$C$8:$C$1007,'Activity'!$B$8:$B$1007,$A43))</x:f>
      </x:c>
      <x:c r="G43" s="9" t="str">
        <x:f>IF($N43="","",IF(_xlfn.XLOOKUP($N43,'Activity'!$A$8:$A$1007,'Activity'!$J$8:$J$1007,"")=0,"",_xlfn.XLOOKUP($N43,'Activity'!$A$8:$A$1007,'Activity'!$J$8:$J$1007,"")))</x:f>
      </x:c>
      <x:c r="H43" s="8" t="str">
        <x:f>IF($N43="","",IF(_xlfn.XLOOKUP($N43,'Activity'!$A$8:$A$1007,'Activity'!$K$8:$K$1007,"")=0,"",_xlfn.XLOOKUP($N43,'Activity'!$A$8:$A$1007,'Activity'!$K$8:$K$1007,"")))</x:f>
      </x:c>
      <x:c r="I43" s="8" t="str">
        <x:v>https://www.linkedin.com/in/gina-mastantuono/</x:v>
      </x:c>
      <x:c r="J43" s="8" t="str">
        <x:v>Batch 01</x:v>
      </x:c>
      <x:c r="K43" s="8" t="str">
        <x:v>President and Chief Financial Officer</x:v>
      </x:c>
      <x:c r="L43" s="8" t="str">
        <x:v>outreach-batch-01/contacts.csv</x:v>
      </x:c>
      <x:c r="M43" s="8" t="str">
        <x:v>Authenticated LinkedIn page read | Public role observed; exact transaction authority not established</x:v>
      </x:c>
      <x:c r="N43" s="8" t="str">
        <x:f>IF(COUNTIFS('Activity'!$B$8:$B$1007,$A43)=0,"",_xlfn.MAXIFS('Activity'!$A$8:$A$1007,'Activity'!$B$8:$B$1007,$A43))</x:f>
      </x:c>
      <x:c r="O43" s="8" t="str">
        <x:f>IF($N43="","",IF(_xlfn.XLOOKUP($N43,'Activity'!$A$8:$A$1007,'Activity'!$F$8:$F$1007,"")=0,"",_xlfn.XLOOKUP($N43,'Activity'!$A$8:$A$1007,'Activity'!$F$8:$F$1007,"")))</x:f>
      </x:c>
      <x:c r="P43" s="8" t="str">
        <x:f>IF($N43="","",IF(_xlfn.XLOOKUP($N43,'Activity'!$A$8:$A$1007,'Activity'!$M$8:$M$1007,"")=0,"",_xlfn.XLOOKUP($N43,'Activity'!$A$8:$A$1007,'Activity'!$M$8:$M$1007,"")))</x:f>
      </x:c>
      <x:c r="Q43" s="8" t="str">
        <x:f>IF($N43="","",IF(_xlfn.XLOOKUP($N43,'Activity'!$A$8:$A$1007,'Activity'!$L$8:$L$1007,"")=0,"",_xlfn.XLOOKUP($N43,'Activity'!$A$8:$A$1007,'Activity'!$L$8:$L$1007,"")))</x:f>
      </x:c>
    </x:row>
    <x:row r="44" ht="34" customHeight="1">
      <x:c r="A44" s="8" t="str">
        <x:v>CON-b62ec458ea</x:v>
      </x:c>
      <x:c r="B44" s="8" t="str">
        <x:v>Ilya Fushman</x:v>
      </x:c>
      <x:c r="C44" s="8" t="str">
        <x:v>Kleiner Perkins</x:v>
      </x:c>
      <x:c r="D44" s="8" t="str">
        <x:f>IF($N44="","No outreach recorded",_xlfn.XLOOKUP($N44,'Activity'!$A$8:$A$1007,'Activity'!$H$8:$H$1007,""))</x:f>
        <x:v>No outreach recorded</x:v>
      </x:c>
      <x:c r="E44" s="9" t="str">
        <x:f>IF($N44="","",_xlfn.MINIFS('Activity'!$C$8:$C$1007,'Activity'!$B$8:$B$1007,$A44))</x:f>
      </x:c>
      <x:c r="F44" s="9" t="str">
        <x:f>IF($N44="","",_xlfn.MAXIFS('Activity'!$C$8:$C$1007,'Activity'!$B$8:$B$1007,$A44))</x:f>
      </x:c>
      <x:c r="G44" s="9" t="str">
        <x:f>IF($N44="","",IF(_xlfn.XLOOKUP($N44,'Activity'!$A$8:$A$1007,'Activity'!$J$8:$J$1007,"")=0,"",_xlfn.XLOOKUP($N44,'Activity'!$A$8:$A$1007,'Activity'!$J$8:$J$1007,"")))</x:f>
      </x:c>
      <x:c r="H44" s="8" t="str">
        <x:f>IF($N44="","",IF(_xlfn.XLOOKUP($N44,'Activity'!$A$8:$A$1007,'Activity'!$K$8:$K$1007,"")=0,"",_xlfn.XLOOKUP($N44,'Activity'!$A$8:$A$1007,'Activity'!$K$8:$K$1007,"")))</x:f>
      </x:c>
      <x:c r="I44" s="8" t="str">
        <x:v>https://www.linkedin.com/in/ilyafushman/</x:v>
      </x:c>
      <x:c r="J44" s="8" t="str">
        <x:v>Batch 03</x:v>
      </x:c>
      <x:c r="K44" s="8" t="str">
        <x:v>Partner; suggested first product/enterprise-workflow discussion, with Harvey/Rippling experience</x:v>
      </x:c>
      <x:c r="L44" s="8" t="str">
        <x:v>outreach-batch-03/leads/kleiner-perkins.md</x:v>
      </x:c>
      <x:c r="M44" s="8" t="str">
        <x:v>Current official role; indexed personal profile identifies Kleiner Perkins and Stanford. Full authenticated profile not inspected | Batch 03 suggested contact; transaction authority and interest unconfirmed.</x:v>
      </x:c>
      <x:c r="N44" s="8" t="str">
        <x:f>IF(COUNTIFS('Activity'!$B$8:$B$1007,$A44)=0,"",_xlfn.MAXIFS('Activity'!$A$8:$A$1007,'Activity'!$B$8:$B$1007,$A44))</x:f>
      </x:c>
      <x:c r="O44" s="8" t="str">
        <x:f>IF($N44="","",IF(_xlfn.XLOOKUP($N44,'Activity'!$A$8:$A$1007,'Activity'!$F$8:$F$1007,"")=0,"",_xlfn.XLOOKUP($N44,'Activity'!$A$8:$A$1007,'Activity'!$F$8:$F$1007,"")))</x:f>
      </x:c>
      <x:c r="P44" s="8" t="str">
        <x:f>IF($N44="","",IF(_xlfn.XLOOKUP($N44,'Activity'!$A$8:$A$1007,'Activity'!$M$8:$M$1007,"")=0,"",_xlfn.XLOOKUP($N44,'Activity'!$A$8:$A$1007,'Activity'!$M$8:$M$1007,"")))</x:f>
      </x:c>
      <x:c r="Q44" s="8" t="str">
        <x:f>IF($N44="","",IF(_xlfn.XLOOKUP($N44,'Activity'!$A$8:$A$1007,'Activity'!$L$8:$L$1007,"")=0,"",_xlfn.XLOOKUP($N44,'Activity'!$A$8:$A$1007,'Activity'!$L$8:$L$1007,"")))</x:f>
      </x:c>
    </x:row>
    <x:row r="45" ht="34" customHeight="1">
      <x:c r="A45" s="8" t="str">
        <x:v>CON-a935d0221f</x:v>
      </x:c>
      <x:c r="B45" s="8" t="str">
        <x:v>Ilya Kiykov</x:v>
      </x:c>
      <x:c r="C45" s="8" t="str">
        <x:v>e&amp;</x:v>
      </x:c>
      <x:c r="D45" s="8" t="str">
        <x:f>IF($N45="","No outreach recorded",_xlfn.XLOOKUP($N45,'Activity'!$A$8:$A$1007,'Activity'!$H$8:$H$1007,""))</x:f>
        <x:v>No outreach recorded</x:v>
      </x:c>
      <x:c r="E45" s="9" t="str">
        <x:f>IF($N45="","",_xlfn.MINIFS('Activity'!$C$8:$C$1007,'Activity'!$B$8:$B$1007,$A45))</x:f>
      </x:c>
      <x:c r="F45" s="9" t="str">
        <x:f>IF($N45="","",_xlfn.MAXIFS('Activity'!$C$8:$C$1007,'Activity'!$B$8:$B$1007,$A45))</x:f>
      </x:c>
      <x:c r="G45" s="9" t="str">
        <x:f>IF($N45="","",IF(_xlfn.XLOOKUP($N45,'Activity'!$A$8:$A$1007,'Activity'!$J$8:$J$1007,"")=0,"",_xlfn.XLOOKUP($N45,'Activity'!$A$8:$A$1007,'Activity'!$J$8:$J$1007,"")))</x:f>
      </x:c>
      <x:c r="H45" s="8" t="str">
        <x:f>IF($N45="","",IF(_xlfn.XLOOKUP($N45,'Activity'!$A$8:$A$1007,'Activity'!$K$8:$K$1007,"")=0,"",_xlfn.XLOOKUP($N45,'Activity'!$A$8:$A$1007,'Activity'!$K$8:$K$1007,"")))</x:f>
      </x:c>
      <x:c r="I45" s="8" t="str">
        <x:v>https://www.linkedin.com/in/ilya-kiykov-a0171311/</x:v>
      </x:c>
      <x:c r="J45" s="8" t="str">
        <x:v>Batch 01; Batch 02</x:v>
      </x:c>
      <x:c r="K45" s="8" t="str">
        <x:v>Group Chief Corporate Development Officer</x:v>
      </x:c>
      <x:c r="L45" s="8" t="str">
        <x:v>outreach-batch-01/contacts.csv; outreach-batch-02/contacts.csv</x:v>
      </x:c>
      <x:c r="M45" s="8" t="str">
        <x:v>Authenticated LinkedIn page read | Public role observed; exact transaction authority not established</x:v>
      </x:c>
      <x:c r="N45" s="8" t="str">
        <x:f>IF(COUNTIFS('Activity'!$B$8:$B$1007,$A45)=0,"",_xlfn.MAXIFS('Activity'!$A$8:$A$1007,'Activity'!$B$8:$B$1007,$A45))</x:f>
      </x:c>
      <x:c r="O45" s="8" t="str">
        <x:f>IF($N45="","",IF(_xlfn.XLOOKUP($N45,'Activity'!$A$8:$A$1007,'Activity'!$F$8:$F$1007,"")=0,"",_xlfn.XLOOKUP($N45,'Activity'!$A$8:$A$1007,'Activity'!$F$8:$F$1007,"")))</x:f>
      </x:c>
      <x:c r="P45" s="8" t="str">
        <x:f>IF($N45="","",IF(_xlfn.XLOOKUP($N45,'Activity'!$A$8:$A$1007,'Activity'!$M$8:$M$1007,"")=0,"",_xlfn.XLOOKUP($N45,'Activity'!$A$8:$A$1007,'Activity'!$M$8:$M$1007,"")))</x:f>
      </x:c>
      <x:c r="Q45" s="8" t="str">
        <x:f>IF($N45="","",IF(_xlfn.XLOOKUP($N45,'Activity'!$A$8:$A$1007,'Activity'!$L$8:$L$1007,"")=0,"",_xlfn.XLOOKUP($N45,'Activity'!$A$8:$A$1007,'Activity'!$L$8:$L$1007,"")))</x:f>
      </x:c>
    </x:row>
    <x:row r="46" ht="34" customHeight="1">
      <x:c r="A46" s="8" t="str">
        <x:v>CON-a2de3d6196</x:v>
      </x:c>
      <x:c r="B46" s="8" t="str">
        <x:v>Iqbal Khan</x:v>
      </x:c>
      <x:c r="C46" s="8" t="str">
        <x:v>Fajr Capital</x:v>
      </x:c>
      <x:c r="D46" s="8" t="str">
        <x:f>IF($N46="","No outreach recorded",_xlfn.XLOOKUP($N46,'Activity'!$A$8:$A$1007,'Activity'!$H$8:$H$1007,""))</x:f>
        <x:v>No outreach recorded</x:v>
      </x:c>
      <x:c r="E46" s="9" t="str">
        <x:f>IF($N46="","",_xlfn.MINIFS('Activity'!$C$8:$C$1007,'Activity'!$B$8:$B$1007,$A46))</x:f>
      </x:c>
      <x:c r="F46" s="9" t="str">
        <x:f>IF($N46="","",_xlfn.MAXIFS('Activity'!$C$8:$C$1007,'Activity'!$B$8:$B$1007,$A46))</x:f>
      </x:c>
      <x:c r="G46" s="9" t="str">
        <x:f>IF($N46="","",IF(_xlfn.XLOOKUP($N46,'Activity'!$A$8:$A$1007,'Activity'!$J$8:$J$1007,"")=0,"",_xlfn.XLOOKUP($N46,'Activity'!$A$8:$A$1007,'Activity'!$J$8:$J$1007,"")))</x:f>
      </x:c>
      <x:c r="H46" s="8" t="str">
        <x:f>IF($N46="","",IF(_xlfn.XLOOKUP($N46,'Activity'!$A$8:$A$1007,'Activity'!$K$8:$K$1007,"")=0,"",_xlfn.XLOOKUP($N46,'Activity'!$A$8:$A$1007,'Activity'!$K$8:$K$1007,"")))</x:f>
      </x:c>
      <x:c r="I46" s="8" t="str">
        <x:v>https://www.linkedin.com/in/iqbal-khan-a8b95827/</x:v>
      </x:c>
      <x:c r="J46" s="8" t="str">
        <x:v>Batch 02</x:v>
      </x:c>
      <x:c r="K46" s="8" t="str">
        <x:v>CEO</x:v>
      </x:c>
      <x:c r="L46" s="8" t="str">
        <x:v>outreach-batch-02/contacts.csv</x:v>
      </x:c>
      <x:c r="M46" s="8" t="str">
        <x:v>Indexed LinkedIn profile matched to official role | Public role observed; exact transaction authority not established.</x:v>
      </x:c>
      <x:c r="N46" s="8" t="str">
        <x:f>IF(COUNTIFS('Activity'!$B$8:$B$1007,$A46)=0,"",_xlfn.MAXIFS('Activity'!$A$8:$A$1007,'Activity'!$B$8:$B$1007,$A46))</x:f>
      </x:c>
      <x:c r="O46" s="8" t="str">
        <x:f>IF($N46="","",IF(_xlfn.XLOOKUP($N46,'Activity'!$A$8:$A$1007,'Activity'!$F$8:$F$1007,"")=0,"",_xlfn.XLOOKUP($N46,'Activity'!$A$8:$A$1007,'Activity'!$F$8:$F$1007,"")))</x:f>
      </x:c>
      <x:c r="P46" s="8" t="str">
        <x:f>IF($N46="","",IF(_xlfn.XLOOKUP($N46,'Activity'!$A$8:$A$1007,'Activity'!$M$8:$M$1007,"")=0,"",_xlfn.XLOOKUP($N46,'Activity'!$A$8:$A$1007,'Activity'!$M$8:$M$1007,"")))</x:f>
      </x:c>
      <x:c r="Q46" s="8" t="str">
        <x:f>IF($N46="","",IF(_xlfn.XLOOKUP($N46,'Activity'!$A$8:$A$1007,'Activity'!$L$8:$L$1007,"")=0,"",_xlfn.XLOOKUP($N46,'Activity'!$A$8:$A$1007,'Activity'!$L$8:$L$1007,"")))</x:f>
      </x:c>
    </x:row>
    <x:row r="47" ht="34" customHeight="1">
      <x:c r="A47" s="8" t="str">
        <x:v>CON-46e20872e8</x:v>
      </x:c>
      <x:c r="B47" s="8" t="str">
        <x:v>Jack Fowler</x:v>
      </x:c>
      <x:c r="C47" s="8" t="str">
        <x:v>Lightspeed Venture Partners</x:v>
      </x:c>
      <x:c r="D47" s="8" t="str">
        <x:f>IF($N47="","No outreach recorded",_xlfn.XLOOKUP($N47,'Activity'!$A$8:$A$1007,'Activity'!$H$8:$H$1007,""))</x:f>
        <x:v>No outreach recorded</x:v>
      </x:c>
      <x:c r="E47" s="9" t="str">
        <x:f>IF($N47="","",_xlfn.MINIFS('Activity'!$C$8:$C$1007,'Activity'!$B$8:$B$1007,$A47))</x:f>
      </x:c>
      <x:c r="F47" s="9" t="str">
        <x:f>IF($N47="","",_xlfn.MAXIFS('Activity'!$C$8:$C$1007,'Activity'!$B$8:$B$1007,$A47))</x:f>
      </x:c>
      <x:c r="G47" s="9" t="str">
        <x:f>IF($N47="","",IF(_xlfn.XLOOKUP($N47,'Activity'!$A$8:$A$1007,'Activity'!$J$8:$J$1007,"")=0,"",_xlfn.XLOOKUP($N47,'Activity'!$A$8:$A$1007,'Activity'!$J$8:$J$1007,"")))</x:f>
      </x:c>
      <x:c r="H47" s="8" t="str">
        <x:f>IF($N47="","",IF(_xlfn.XLOOKUP($N47,'Activity'!$A$8:$A$1007,'Activity'!$K$8:$K$1007,"")=0,"",_xlfn.XLOOKUP($N47,'Activity'!$A$8:$A$1007,'Activity'!$K$8:$K$1007,"")))</x:f>
      </x:c>
      <x:c r="I47" s="8" t="str">
        <x:v>https://www.linkedin.com/in/jack-fowler-b019a9/</x:v>
      </x:c>
      <x:c r="J47" s="8" t="str">
        <x:v>Batch 03</x:v>
      </x:c>
      <x:c r="K47" s="8" t="str">
        <x:v>Complementary founder-secondary qualification route; Capital Markets lead</x:v>
      </x:c>
      <x:c r="L47" s="8" t="str">
        <x:v>outreach-batch-03/leads/lightspeed-venture-partners.md</x:v>
      </x:c>
      <x:c r="M47" s="8" t="str">
        <x:v>Current biography lists Partner, Capital Markets; indexed profile identifies Lightspeed | Batch 03 suggested contact; transaction authority and interest unconfirmed.</x:v>
      </x:c>
      <x:c r="N47" s="8" t="str">
        <x:f>IF(COUNTIFS('Activity'!$B$8:$B$1007,$A47)=0,"",_xlfn.MAXIFS('Activity'!$A$8:$A$1007,'Activity'!$B$8:$B$1007,$A47))</x:f>
      </x:c>
      <x:c r="O47" s="8" t="str">
        <x:f>IF($N47="","",IF(_xlfn.XLOOKUP($N47,'Activity'!$A$8:$A$1007,'Activity'!$F$8:$F$1007,"")=0,"",_xlfn.XLOOKUP($N47,'Activity'!$A$8:$A$1007,'Activity'!$F$8:$F$1007,"")))</x:f>
      </x:c>
      <x:c r="P47" s="8" t="str">
        <x:f>IF($N47="","",IF(_xlfn.XLOOKUP($N47,'Activity'!$A$8:$A$1007,'Activity'!$M$8:$M$1007,"")=0,"",_xlfn.XLOOKUP($N47,'Activity'!$A$8:$A$1007,'Activity'!$M$8:$M$1007,"")))</x:f>
      </x:c>
      <x:c r="Q47" s="8" t="str">
        <x:f>IF($N47="","",IF(_xlfn.XLOOKUP($N47,'Activity'!$A$8:$A$1007,'Activity'!$L$8:$L$1007,"")=0,"",_xlfn.XLOOKUP($N47,'Activity'!$A$8:$A$1007,'Activity'!$L$8:$L$1007,"")))</x:f>
      </x:c>
    </x:row>
    <x:row r="48" ht="34" customHeight="1">
      <x:c r="A48" s="8" t="str">
        <x:v>CON-1485829565</x:v>
      </x:c>
      <x:c r="B48" s="8" t="str">
        <x:v>Jake Saper</x:v>
      </x:c>
      <x:c r="C48" s="8" t="str">
        <x:v>Emergence Capital</x:v>
      </x:c>
      <x:c r="D48" s="8" t="str">
        <x:f>IF($N48="","No outreach recorded",_xlfn.XLOOKUP($N48,'Activity'!$A$8:$A$1007,'Activity'!$H$8:$H$1007,""))</x:f>
        <x:v>No outreach recorded</x:v>
      </x:c>
      <x:c r="E48" s="9" t="str">
        <x:f>IF($N48="","",_xlfn.MINIFS('Activity'!$C$8:$C$1007,'Activity'!$B$8:$B$1007,$A48))</x:f>
      </x:c>
      <x:c r="F48" s="9" t="str">
        <x:f>IF($N48="","",_xlfn.MAXIFS('Activity'!$C$8:$C$1007,'Activity'!$B$8:$B$1007,$A48))</x:f>
      </x:c>
      <x:c r="G48" s="9" t="str">
        <x:f>IF($N48="","",IF(_xlfn.XLOOKUP($N48,'Activity'!$A$8:$A$1007,'Activity'!$J$8:$J$1007,"")=0,"",_xlfn.XLOOKUP($N48,'Activity'!$A$8:$A$1007,'Activity'!$J$8:$J$1007,"")))</x:f>
      </x:c>
      <x:c r="H48" s="8" t="str">
        <x:f>IF($N48="","",IF(_xlfn.XLOOKUP($N48,'Activity'!$A$8:$A$1007,'Activity'!$K$8:$K$1007,"")=0,"",_xlfn.XLOOKUP($N48,'Activity'!$A$8:$A$1007,'Activity'!$K$8:$K$1007,"")))</x:f>
      </x:c>
      <x:c r="I48" s="8" t="str">
        <x:v>https://www.linkedin.com/in/jakesaper/</x:v>
      </x:c>
      <x:c r="J48" s="8" t="str">
        <x:v>Batch 04</x:v>
      </x:c>
      <x:c r="K48" s="8" t="str">
        <x:v>General Partner</x:v>
      </x:c>
      <x:c r="L48" s="8" t="str">
        <x:v>outreach-batch-04/tech-week-events.json</x:v>
      </x:c>
      <x:c r="M48" s="8" t="str">
        <x:v>authenticated LinkedIn profile header; event agenda | Named keynote speaker, not an LA resident assumption. Official bio links this profile.</x:v>
      </x:c>
      <x:c r="N48" s="8" t="str">
        <x:f>IF(COUNTIFS('Activity'!$B$8:$B$1007,$A48)=0,"",_xlfn.MAXIFS('Activity'!$A$8:$A$1007,'Activity'!$B$8:$B$1007,$A48))</x:f>
      </x:c>
      <x:c r="O48" s="8" t="str">
        <x:f>IF($N48="","",IF(_xlfn.XLOOKUP($N48,'Activity'!$A$8:$A$1007,'Activity'!$F$8:$F$1007,"")=0,"",_xlfn.XLOOKUP($N48,'Activity'!$A$8:$A$1007,'Activity'!$F$8:$F$1007,"")))</x:f>
      </x:c>
      <x:c r="P48" s="8" t="str">
        <x:f>IF($N48="","",IF(_xlfn.XLOOKUP($N48,'Activity'!$A$8:$A$1007,'Activity'!$M$8:$M$1007,"")=0,"",_xlfn.XLOOKUP($N48,'Activity'!$A$8:$A$1007,'Activity'!$M$8:$M$1007,"")))</x:f>
      </x:c>
      <x:c r="Q48" s="8" t="str">
        <x:f>IF($N48="","",IF(_xlfn.XLOOKUP($N48,'Activity'!$A$8:$A$1007,'Activity'!$L$8:$L$1007,"")=0,"",_xlfn.XLOOKUP($N48,'Activity'!$A$8:$A$1007,'Activity'!$L$8:$L$1007,"")))</x:f>
      </x:c>
    </x:row>
    <x:row r="49" ht="34" customHeight="1">
      <x:c r="A49" s="8" t="str">
        <x:v>CON-ef3ef7a653</x:v>
      </x:c>
      <x:c r="B49" s="8" t="str">
        <x:v>Jamie Montgomery</x:v>
      </x:c>
      <x:c r="C49" s="8" t="str">
        <x:v>March Capital</x:v>
      </x:c>
      <x:c r="D49" s="8" t="str">
        <x:f>IF($N49="","No outreach recorded",_xlfn.XLOOKUP($N49,'Activity'!$A$8:$A$1007,'Activity'!$H$8:$H$1007,""))</x:f>
        <x:v>No outreach recorded</x:v>
      </x:c>
      <x:c r="E49" s="9" t="str">
        <x:f>IF($N49="","",_xlfn.MINIFS('Activity'!$C$8:$C$1007,'Activity'!$B$8:$B$1007,$A49))</x:f>
      </x:c>
      <x:c r="F49" s="9" t="str">
        <x:f>IF($N49="","",_xlfn.MAXIFS('Activity'!$C$8:$C$1007,'Activity'!$B$8:$B$1007,$A49))</x:f>
      </x:c>
      <x:c r="G49" s="9" t="str">
        <x:f>IF($N49="","",IF(_xlfn.XLOOKUP($N49,'Activity'!$A$8:$A$1007,'Activity'!$J$8:$J$1007,"")=0,"",_xlfn.XLOOKUP($N49,'Activity'!$A$8:$A$1007,'Activity'!$J$8:$J$1007,"")))</x:f>
      </x:c>
      <x:c r="H49" s="8" t="str">
        <x:f>IF($N49="","",IF(_xlfn.XLOOKUP($N49,'Activity'!$A$8:$A$1007,'Activity'!$K$8:$K$1007,"")=0,"",_xlfn.XLOOKUP($N49,'Activity'!$A$8:$A$1007,'Activity'!$K$8:$K$1007,"")))</x:f>
      </x:c>
      <x:c r="I49" s="8" t="str">
        <x:v>https://www.linkedin.com/in/jamiemontgomery/</x:v>
      </x:c>
      <x:c r="J49" s="8" t="str">
        <x:v>Batch 04</x:v>
      </x:c>
      <x:c r="K49" s="8" t="str">
        <x:v>Co-Founder and Managing Partner</x:v>
      </x:c>
      <x:c r="L49" s="8" t="str">
        <x:v>outreach-batch-04/research.json</x:v>
      </x:c>
      <x:c r="M49" s="8" t="str">
        <x:v>authenticated LinkedIn header inspected 2026-10-03; matches named firm and location | Senior sponsor and enterprise/corporate network route</x:v>
      </x:c>
      <x:c r="N49" s="8" t="str">
        <x:f>IF(COUNTIFS('Activity'!$B$8:$B$1007,$A49)=0,"",_xlfn.MAXIFS('Activity'!$A$8:$A$1007,'Activity'!$B$8:$B$1007,$A49))</x:f>
      </x:c>
      <x:c r="O49" s="8" t="str">
        <x:f>IF($N49="","",IF(_xlfn.XLOOKUP($N49,'Activity'!$A$8:$A$1007,'Activity'!$F$8:$F$1007,"")=0,"",_xlfn.XLOOKUP($N49,'Activity'!$A$8:$A$1007,'Activity'!$F$8:$F$1007,"")))</x:f>
      </x:c>
      <x:c r="P49" s="8" t="str">
        <x:f>IF($N49="","",IF(_xlfn.XLOOKUP($N49,'Activity'!$A$8:$A$1007,'Activity'!$M$8:$M$1007,"")=0,"",_xlfn.XLOOKUP($N49,'Activity'!$A$8:$A$1007,'Activity'!$M$8:$M$1007,"")))</x:f>
      </x:c>
      <x:c r="Q49" s="8" t="str">
        <x:f>IF($N49="","",IF(_xlfn.XLOOKUP($N49,'Activity'!$A$8:$A$1007,'Activity'!$L$8:$L$1007,"")=0,"",_xlfn.XLOOKUP($N49,'Activity'!$A$8:$A$1007,'Activity'!$L$8:$L$1007,"")))</x:f>
      </x:c>
    </x:row>
    <x:row r="50" ht="34" customHeight="1">
      <x:c r="A50" s="8" t="str">
        <x:v>CON-907a59f002</x:v>
      </x:c>
      <x:c r="B50" s="8" t="str">
        <x:v>Jean-Michel Beghin</x:v>
      </x:c>
      <x:c r="C50" s="8" t="str">
        <x:v>Keensight Capital</x:v>
      </x:c>
      <x:c r="D50" s="8" t="str">
        <x:f>IF($N50="","No outreach recorded",_xlfn.XLOOKUP($N50,'Activity'!$A$8:$A$1007,'Activity'!$H$8:$H$1007,""))</x:f>
        <x:v>No outreach recorded</x:v>
      </x:c>
      <x:c r="E50" s="9" t="str">
        <x:f>IF($N50="","",_xlfn.MINIFS('Activity'!$C$8:$C$1007,'Activity'!$B$8:$B$1007,$A50))</x:f>
      </x:c>
      <x:c r="F50" s="9" t="str">
        <x:f>IF($N50="","",_xlfn.MAXIFS('Activity'!$C$8:$C$1007,'Activity'!$B$8:$B$1007,$A50))</x:f>
      </x:c>
      <x:c r="G50" s="9" t="str">
        <x:f>IF($N50="","",IF(_xlfn.XLOOKUP($N50,'Activity'!$A$8:$A$1007,'Activity'!$J$8:$J$1007,"")=0,"",_xlfn.XLOOKUP($N50,'Activity'!$A$8:$A$1007,'Activity'!$J$8:$J$1007,"")))</x:f>
      </x:c>
      <x:c r="H50" s="8" t="str">
        <x:f>IF($N50="","",IF(_xlfn.XLOOKUP($N50,'Activity'!$A$8:$A$1007,'Activity'!$K$8:$K$1007,"")=0,"",_xlfn.XLOOKUP($N50,'Activity'!$A$8:$A$1007,'Activity'!$K$8:$K$1007,"")))</x:f>
      </x:c>
      <x:c r="I50" s="8" t="str">
        <x:v>https://www.linkedin.com/in/jean-michel-beghin-0ab40/</x:v>
      </x:c>
      <x:c r="J50" s="8" t="str">
        <x:v>Batch 02</x:v>
      </x:c>
      <x:c r="K50" s="8" t="str">
        <x:v>Managing Partner</x:v>
      </x:c>
      <x:c r="L50" s="8" t="str">
        <x:v>outreach-batch-02/contacts.csv</x:v>
      </x:c>
      <x:c r="M50" s="8" t="str">
        <x:v>Indexed LinkedIn profile matched to official indexed biography | Public role observed; exact transaction authority not established.</x:v>
      </x:c>
      <x:c r="N50" s="8" t="str">
        <x:f>IF(COUNTIFS('Activity'!$B$8:$B$1007,$A50)=0,"",_xlfn.MAXIFS('Activity'!$A$8:$A$1007,'Activity'!$B$8:$B$1007,$A50))</x:f>
      </x:c>
      <x:c r="O50" s="8" t="str">
        <x:f>IF($N50="","",IF(_xlfn.XLOOKUP($N50,'Activity'!$A$8:$A$1007,'Activity'!$F$8:$F$1007,"")=0,"",_xlfn.XLOOKUP($N50,'Activity'!$A$8:$A$1007,'Activity'!$F$8:$F$1007,"")))</x:f>
      </x:c>
      <x:c r="P50" s="8" t="str">
        <x:f>IF($N50="","",IF(_xlfn.XLOOKUP($N50,'Activity'!$A$8:$A$1007,'Activity'!$M$8:$M$1007,"")=0,"",_xlfn.XLOOKUP($N50,'Activity'!$A$8:$A$1007,'Activity'!$M$8:$M$1007,"")))</x:f>
      </x:c>
      <x:c r="Q50" s="8" t="str">
        <x:f>IF($N50="","",IF(_xlfn.XLOOKUP($N50,'Activity'!$A$8:$A$1007,'Activity'!$L$8:$L$1007,"")=0,"",_xlfn.XLOOKUP($N50,'Activity'!$A$8:$A$1007,'Activity'!$L$8:$L$1007,"")))</x:f>
      </x:c>
    </x:row>
    <x:row r="51" ht="34" customHeight="1">
      <x:c r="A51" s="8" t="str">
        <x:v>CON-6eb0246768</x:v>
      </x:c>
      <x:c r="B51" s="8" t="str">
        <x:v>Jennifer Richard</x:v>
      </x:c>
      <x:c r="C51" s="8" t="str">
        <x:v>Bonfire Ventures</x:v>
      </x:c>
      <x:c r="D51" s="8" t="str">
        <x:f>IF($N51="","No outreach recorded",_xlfn.XLOOKUP($N51,'Activity'!$A$8:$A$1007,'Activity'!$H$8:$H$1007,""))</x:f>
        <x:v>No outreach recorded</x:v>
      </x:c>
      <x:c r="E51" s="9" t="str">
        <x:f>IF($N51="","",_xlfn.MINIFS('Activity'!$C$8:$C$1007,'Activity'!$B$8:$B$1007,$A51))</x:f>
      </x:c>
      <x:c r="F51" s="9" t="str">
        <x:f>IF($N51="","",_xlfn.MAXIFS('Activity'!$C$8:$C$1007,'Activity'!$B$8:$B$1007,$A51))</x:f>
      </x:c>
      <x:c r="G51" s="9" t="str">
        <x:f>IF($N51="","",IF(_xlfn.XLOOKUP($N51,'Activity'!$A$8:$A$1007,'Activity'!$J$8:$J$1007,"")=0,"",_xlfn.XLOOKUP($N51,'Activity'!$A$8:$A$1007,'Activity'!$J$8:$J$1007,"")))</x:f>
      </x:c>
      <x:c r="H51" s="8" t="str">
        <x:f>IF($N51="","",IF(_xlfn.XLOOKUP($N51,'Activity'!$A$8:$A$1007,'Activity'!$K$8:$K$1007,"")=0,"",_xlfn.XLOOKUP($N51,'Activity'!$A$8:$A$1007,'Activity'!$K$8:$K$1007,"")))</x:f>
      </x:c>
      <x:c r="I51" s="8" t="str">
        <x:v>https://www.linkedin.com/in/richardjennifer/</x:v>
      </x:c>
      <x:c r="J51" s="8" t="str">
        <x:v>Batch 04</x:v>
      </x:c>
      <x:c r="K51" s="8" t="str">
        <x:v>Principal</x:v>
      </x:c>
      <x:c r="L51" s="8" t="str">
        <x:v>outreach-batch-04/research.json</x:v>
      </x:c>
      <x:c r="M51" s="8" t="str">
        <x:v>authenticated LinkedIn header inspected 2026-10-03; matches named firm and location | Operating software and US market feedback</x:v>
      </x:c>
      <x:c r="N51" s="8" t="str">
        <x:f>IF(COUNTIFS('Activity'!$B$8:$B$1007,$A51)=0,"",_xlfn.MAXIFS('Activity'!$A$8:$A$1007,'Activity'!$B$8:$B$1007,$A51))</x:f>
      </x:c>
      <x:c r="O51" s="8" t="str">
        <x:f>IF($N51="","",IF(_xlfn.XLOOKUP($N51,'Activity'!$A$8:$A$1007,'Activity'!$F$8:$F$1007,"")=0,"",_xlfn.XLOOKUP($N51,'Activity'!$A$8:$A$1007,'Activity'!$F$8:$F$1007,"")))</x:f>
      </x:c>
      <x:c r="P51" s="8" t="str">
        <x:f>IF($N51="","",IF(_xlfn.XLOOKUP($N51,'Activity'!$A$8:$A$1007,'Activity'!$M$8:$M$1007,"")=0,"",_xlfn.XLOOKUP($N51,'Activity'!$A$8:$A$1007,'Activity'!$M$8:$M$1007,"")))</x:f>
      </x:c>
      <x:c r="Q51" s="8" t="str">
        <x:f>IF($N51="","",IF(_xlfn.XLOOKUP($N51,'Activity'!$A$8:$A$1007,'Activity'!$L$8:$L$1007,"")=0,"",_xlfn.XLOOKUP($N51,'Activity'!$A$8:$A$1007,'Activity'!$L$8:$L$1007,"")))</x:f>
      </x:c>
    </x:row>
    <x:row r="52" ht="34" customHeight="1">
      <x:c r="A52" s="8" t="str">
        <x:v>CON-3db30e3763</x:v>
      </x:c>
      <x:c r="B52" s="8" t="str">
        <x:v>Jerome Berger</x:v>
      </x:c>
      <x:c r="C52" s="8" t="str">
        <x:v>Orange / Orange Ventures</x:v>
      </x:c>
      <x:c r="D52" s="8" t="str">
        <x:f>IF($N52="","No outreach recorded",_xlfn.XLOOKUP($N52,'Activity'!$A$8:$A$1007,'Activity'!$H$8:$H$1007,""))</x:f>
        <x:v>No outreach recorded</x:v>
      </x:c>
      <x:c r="E52" s="9" t="str">
        <x:f>IF($N52="","",_xlfn.MINIFS('Activity'!$C$8:$C$1007,'Activity'!$B$8:$B$1007,$A52))</x:f>
      </x:c>
      <x:c r="F52" s="9" t="str">
        <x:f>IF($N52="","",_xlfn.MAXIFS('Activity'!$C$8:$C$1007,'Activity'!$B$8:$B$1007,$A52))</x:f>
      </x:c>
      <x:c r="G52" s="9" t="str">
        <x:f>IF($N52="","",IF(_xlfn.XLOOKUP($N52,'Activity'!$A$8:$A$1007,'Activity'!$J$8:$J$1007,"")=0,"",_xlfn.XLOOKUP($N52,'Activity'!$A$8:$A$1007,'Activity'!$J$8:$J$1007,"")))</x:f>
      </x:c>
      <x:c r="H52" s="8" t="str">
        <x:f>IF($N52="","",IF(_xlfn.XLOOKUP($N52,'Activity'!$A$8:$A$1007,'Activity'!$K$8:$K$1007,"")=0,"",_xlfn.XLOOKUP($N52,'Activity'!$A$8:$A$1007,'Activity'!$K$8:$K$1007,"")))</x:f>
      </x:c>
      <x:c r="I52" s="8" t="str">
        <x:v>https://www.linkedin.com/in/jerome-berger-a221a7168/</x:v>
      </x:c>
      <x:c r="J52" s="8" t="str">
        <x:v>Batch 01</x:v>
      </x:c>
      <x:c r="K52" s="8" t="str">
        <x:v>Chief Strategy Officer and Venture Capital</x:v>
      </x:c>
      <x:c r="L52" s="8" t="str">
        <x:v>outreach-batch-01/contacts.csv</x:v>
      </x:c>
      <x:c r="M52" s="8" t="str">
        <x:v>Authenticated LinkedIn page read | Public role observed; exact transaction authority not established</x:v>
      </x:c>
      <x:c r="N52" s="8" t="str">
        <x:f>IF(COUNTIFS('Activity'!$B$8:$B$1007,$A52)=0,"",_xlfn.MAXIFS('Activity'!$A$8:$A$1007,'Activity'!$B$8:$B$1007,$A52))</x:f>
      </x:c>
      <x:c r="O52" s="8" t="str">
        <x:f>IF($N52="","",IF(_xlfn.XLOOKUP($N52,'Activity'!$A$8:$A$1007,'Activity'!$F$8:$F$1007,"")=0,"",_xlfn.XLOOKUP($N52,'Activity'!$A$8:$A$1007,'Activity'!$F$8:$F$1007,"")))</x:f>
      </x:c>
      <x:c r="P52" s="8" t="str">
        <x:f>IF($N52="","",IF(_xlfn.XLOOKUP($N52,'Activity'!$A$8:$A$1007,'Activity'!$M$8:$M$1007,"")=0,"",_xlfn.XLOOKUP($N52,'Activity'!$A$8:$A$1007,'Activity'!$M$8:$M$1007,"")))</x:f>
      </x:c>
      <x:c r="Q52" s="8" t="str">
        <x:f>IF($N52="","",IF(_xlfn.XLOOKUP($N52,'Activity'!$A$8:$A$1007,'Activity'!$L$8:$L$1007,"")=0,"",_xlfn.XLOOKUP($N52,'Activity'!$A$8:$A$1007,'Activity'!$L$8:$L$1007,"")))</x:f>
      </x:c>
    </x:row>
    <x:row r="53" ht="34" customHeight="1">
      <x:c r="A53" s="8" t="str">
        <x:v>CON-9a5b5553ef</x:v>
      </x:c>
      <x:c r="B53" s="8" t="str">
        <x:v>Jon Kossow</x:v>
      </x:c>
      <x:c r="C53" s="8" t="str">
        <x:v>Norwest</x:v>
      </x:c>
      <x:c r="D53" s="8" t="str">
        <x:f>IF($N53="","No outreach recorded",_xlfn.XLOOKUP($N53,'Activity'!$A$8:$A$1007,'Activity'!$H$8:$H$1007,""))</x:f>
        <x:v>No outreach recorded</x:v>
      </x:c>
      <x:c r="E53" s="9" t="str">
        <x:f>IF($N53="","",_xlfn.MINIFS('Activity'!$C$8:$C$1007,'Activity'!$B$8:$B$1007,$A53))</x:f>
      </x:c>
      <x:c r="F53" s="9" t="str">
        <x:f>IF($N53="","",_xlfn.MAXIFS('Activity'!$C$8:$C$1007,'Activity'!$B$8:$B$1007,$A53))</x:f>
      </x:c>
      <x:c r="G53" s="9" t="str">
        <x:f>IF($N53="","",IF(_xlfn.XLOOKUP($N53,'Activity'!$A$8:$A$1007,'Activity'!$J$8:$J$1007,"")=0,"",_xlfn.XLOOKUP($N53,'Activity'!$A$8:$A$1007,'Activity'!$J$8:$J$1007,"")))</x:f>
      </x:c>
      <x:c r="H53" s="8" t="str">
        <x:f>IF($N53="","",IF(_xlfn.XLOOKUP($N53,'Activity'!$A$8:$A$1007,'Activity'!$K$8:$K$1007,"")=0,"",_xlfn.XLOOKUP($N53,'Activity'!$A$8:$A$1007,'Activity'!$K$8:$K$1007,"")))</x:f>
      </x:c>
      <x:c r="I53" s="8" t="str">
        <x:v>https://www.linkedin.com/in/jon-kossow-42706b2/</x:v>
      </x:c>
      <x:c r="J53" s="8" t="str">
        <x:v>Batch 03</x:v>
      </x:c>
      <x:c r="K53" s="8" t="str">
        <x:v>Managing Partner and Growth Equity Co-head; software/information services and Avetta/GeoComply experience. Senior complementary route</x:v>
      </x:c>
      <x:c r="L53" s="8" t="str">
        <x:v>outreach-batch-03/leads/norwest.md</x:v>
      </x:c>
      <x:c r="M53" s="8" t="str">
        <x:v>Current role from official biography. LinkedIn URL appears in his [2021 USA Swimming board application](https://www.usaswimming.org/docs/default-source/governance/governance-lsc-website/meeting-minutes/2021-bod-minutes/board-of-directors-meeting-minutes-attachments-12-6-21.pdf); current profile access failed. Reconfirm before use | Batch 03 suggested contact; transaction authority and interest unconfirmed.</x:v>
      </x:c>
      <x:c r="N53" s="8" t="str">
        <x:f>IF(COUNTIFS('Activity'!$B$8:$B$1007,$A53)=0,"",_xlfn.MAXIFS('Activity'!$A$8:$A$1007,'Activity'!$B$8:$B$1007,$A53))</x:f>
      </x:c>
      <x:c r="O53" s="8" t="str">
        <x:f>IF($N53="","",IF(_xlfn.XLOOKUP($N53,'Activity'!$A$8:$A$1007,'Activity'!$F$8:$F$1007,"")=0,"",_xlfn.XLOOKUP($N53,'Activity'!$A$8:$A$1007,'Activity'!$F$8:$F$1007,"")))</x:f>
      </x:c>
      <x:c r="P53" s="8" t="str">
        <x:f>IF($N53="","",IF(_xlfn.XLOOKUP($N53,'Activity'!$A$8:$A$1007,'Activity'!$M$8:$M$1007,"")=0,"",_xlfn.XLOOKUP($N53,'Activity'!$A$8:$A$1007,'Activity'!$M$8:$M$1007,"")))</x:f>
      </x:c>
      <x:c r="Q53" s="8" t="str">
        <x:f>IF($N53="","",IF(_xlfn.XLOOKUP($N53,'Activity'!$A$8:$A$1007,'Activity'!$L$8:$L$1007,"")=0,"",_xlfn.XLOOKUP($N53,'Activity'!$A$8:$A$1007,'Activity'!$L$8:$L$1007,"")))</x:f>
      </x:c>
    </x:row>
    <x:row r="54" ht="34" customHeight="1">
      <x:c r="A54" s="8" t="str">
        <x:v>CON-b5e5a39670</x:v>
      </x:c>
      <x:c r="B54" s="8" t="str">
        <x:v>Jordan Leites</x:v>
      </x:c>
      <x:c r="C54" s="8" t="str">
        <x:v>Norwest</x:v>
      </x:c>
      <x:c r="D54" s="8" t="str">
        <x:f>IF($N54="","No outreach recorded",_xlfn.XLOOKUP($N54,'Activity'!$A$8:$A$1007,'Activity'!$H$8:$H$1007,""))</x:f>
        <x:v>No outreach recorded</x:v>
      </x:c>
      <x:c r="E54" s="9" t="str">
        <x:f>IF($N54="","",_xlfn.MINIFS('Activity'!$C$8:$C$1007,'Activity'!$B$8:$B$1007,$A54))</x:f>
      </x:c>
      <x:c r="F54" s="9" t="str">
        <x:f>IF($N54="","",_xlfn.MAXIFS('Activity'!$C$8:$C$1007,'Activity'!$B$8:$B$1007,$A54))</x:f>
      </x:c>
      <x:c r="G54" s="9" t="str">
        <x:f>IF($N54="","",IF(_xlfn.XLOOKUP($N54,'Activity'!$A$8:$A$1007,'Activity'!$J$8:$J$1007,"")=0,"",_xlfn.XLOOKUP($N54,'Activity'!$A$8:$A$1007,'Activity'!$J$8:$J$1007,"")))</x:f>
      </x:c>
      <x:c r="H54" s="8" t="str">
        <x:f>IF($N54="","",IF(_xlfn.XLOOKUP($N54,'Activity'!$A$8:$A$1007,'Activity'!$K$8:$K$1007,"")=0,"",_xlfn.XLOOKUP($N54,'Activity'!$A$8:$A$1007,'Activity'!$K$8:$K$1007,"")))</x:f>
      </x:c>
      <x:c r="I54" s="8" t="str">
        <x:v>https://www.linkedin.com/in/leitesj/</x:v>
      </x:c>
      <x:c r="J54" s="8" t="str">
        <x:v>Batch 03</x:v>
      </x:c>
      <x:c r="K54" s="8" t="str">
        <x:v>Principal, Venture; author of the Beltic agent-trust thesis. Optional thematic route if venture is the appropriate vehicle</x:v>
      </x:c>
      <x:c r="L54" s="8" t="str">
        <x:v>outreach-batch-03/leads/norwest.md</x:v>
      </x:c>
      <x:c r="M54" s="8" t="str">
        <x:v>Role from official biography; LinkedIn URL linked directly by Norwest's Beltic article. Profile fetch failed. General biography emphasises consumer sectors; thematic relevance is based on Beltic, not a claimed enterprise-software mandate | Batch 03 suggested contact; transaction authority and interest unconfirmed.</x:v>
      </x:c>
      <x:c r="N54" s="8" t="str">
        <x:f>IF(COUNTIFS('Activity'!$B$8:$B$1007,$A54)=0,"",_xlfn.MAXIFS('Activity'!$A$8:$A$1007,'Activity'!$B$8:$B$1007,$A54))</x:f>
      </x:c>
      <x:c r="O54" s="8" t="str">
        <x:f>IF($N54="","",IF(_xlfn.XLOOKUP($N54,'Activity'!$A$8:$A$1007,'Activity'!$F$8:$F$1007,"")=0,"",_xlfn.XLOOKUP($N54,'Activity'!$A$8:$A$1007,'Activity'!$F$8:$F$1007,"")))</x:f>
      </x:c>
      <x:c r="P54" s="8" t="str">
        <x:f>IF($N54="","",IF(_xlfn.XLOOKUP($N54,'Activity'!$A$8:$A$1007,'Activity'!$M$8:$M$1007,"")=0,"",_xlfn.XLOOKUP($N54,'Activity'!$A$8:$A$1007,'Activity'!$M$8:$M$1007,"")))</x:f>
      </x:c>
      <x:c r="Q54" s="8" t="str">
        <x:f>IF($N54="","",IF(_xlfn.XLOOKUP($N54,'Activity'!$A$8:$A$1007,'Activity'!$L$8:$L$1007,"")=0,"",_xlfn.XLOOKUP($N54,'Activity'!$A$8:$A$1007,'Activity'!$L$8:$L$1007,"")))</x:f>
      </x:c>
    </x:row>
    <x:row r="55" ht="34" customHeight="1">
      <x:c r="A55" s="8" t="str">
        <x:v>CON-c906e91592</x:v>
      </x:c>
      <x:c r="B55" s="8" t="str">
        <x:v>Joseph Lok</x:v>
      </x:c>
      <x:c r="C55" s="8" t="str">
        <x:v>Diversis Capital</x:v>
      </x:c>
      <x:c r="D55" s="8" t="str">
        <x:f>IF($N55="","No outreach recorded",_xlfn.XLOOKUP($N55,'Activity'!$A$8:$A$1007,'Activity'!$H$8:$H$1007,""))</x:f>
        <x:v>No outreach recorded</x:v>
      </x:c>
      <x:c r="E55" s="9" t="str">
        <x:f>IF($N55="","",_xlfn.MINIFS('Activity'!$C$8:$C$1007,'Activity'!$B$8:$B$1007,$A55))</x:f>
      </x:c>
      <x:c r="F55" s="9" t="str">
        <x:f>IF($N55="","",_xlfn.MAXIFS('Activity'!$C$8:$C$1007,'Activity'!$B$8:$B$1007,$A55))</x:f>
      </x:c>
      <x:c r="G55" s="9" t="str">
        <x:f>IF($N55="","",IF(_xlfn.XLOOKUP($N55,'Activity'!$A$8:$A$1007,'Activity'!$J$8:$J$1007,"")=0,"",_xlfn.XLOOKUP($N55,'Activity'!$A$8:$A$1007,'Activity'!$J$8:$J$1007,"")))</x:f>
      </x:c>
      <x:c r="H55" s="8" t="str">
        <x:f>IF($N55="","",IF(_xlfn.XLOOKUP($N55,'Activity'!$A$8:$A$1007,'Activity'!$K$8:$K$1007,"")=0,"",_xlfn.XLOOKUP($N55,'Activity'!$A$8:$A$1007,'Activity'!$K$8:$K$1007,"")))</x:f>
      </x:c>
      <x:c r="I55" s="8" t="str">
        <x:v>https://www.linkedin.com/in/josephlok/</x:v>
      </x:c>
      <x:c r="J55" s="8" t="str">
        <x:v>Batch 04</x:v>
      </x:c>
      <x:c r="K55" s="8" t="str">
        <x:v>Principal</x:v>
      </x:c>
      <x:c r="L55" s="8" t="str">
        <x:v>outreach-batch-04/research.json</x:v>
      </x:c>
      <x:c r="M55" s="8" t="str">
        <x:v>authenticated LinkedIn header inspected 2026-10-03; matches named firm and location | Investment execution and Adlib board relevance</x:v>
      </x:c>
      <x:c r="N55" s="8" t="str">
        <x:f>IF(COUNTIFS('Activity'!$B$8:$B$1007,$A55)=0,"",_xlfn.MAXIFS('Activity'!$A$8:$A$1007,'Activity'!$B$8:$B$1007,$A55))</x:f>
      </x:c>
      <x:c r="O55" s="8" t="str">
        <x:f>IF($N55="","",IF(_xlfn.XLOOKUP($N55,'Activity'!$A$8:$A$1007,'Activity'!$F$8:$F$1007,"")=0,"",_xlfn.XLOOKUP($N55,'Activity'!$A$8:$A$1007,'Activity'!$F$8:$F$1007,"")))</x:f>
      </x:c>
      <x:c r="P55" s="8" t="str">
        <x:f>IF($N55="","",IF(_xlfn.XLOOKUP($N55,'Activity'!$A$8:$A$1007,'Activity'!$M$8:$M$1007,"")=0,"",_xlfn.XLOOKUP($N55,'Activity'!$A$8:$A$1007,'Activity'!$M$8:$M$1007,"")))</x:f>
      </x:c>
      <x:c r="Q55" s="8" t="str">
        <x:f>IF($N55="","",IF(_xlfn.XLOOKUP($N55,'Activity'!$A$8:$A$1007,'Activity'!$L$8:$L$1007,"")=0,"",_xlfn.XLOOKUP($N55,'Activity'!$A$8:$A$1007,'Activity'!$L$8:$L$1007,"")))</x:f>
      </x:c>
    </x:row>
    <x:row r="56" ht="34" customHeight="1">
      <x:c r="A56" s="8" t="str">
        <x:v>CON-e540533c25</x:v>
      </x:c>
      <x:c r="B56" s="8" t="str">
        <x:v>Justin Saslaw</x:v>
      </x:c>
      <x:c r="C56" s="8" t="str">
        <x:v>Ribbit Capital</x:v>
      </x:c>
      <x:c r="D56" s="8" t="str">
        <x:f>IF($N56="","No outreach recorded",_xlfn.XLOOKUP($N56,'Activity'!$A$8:$A$1007,'Activity'!$H$8:$H$1007,""))</x:f>
        <x:v>No outreach recorded</x:v>
      </x:c>
      <x:c r="E56" s="9" t="str">
        <x:f>IF($N56="","",_xlfn.MINIFS('Activity'!$C$8:$C$1007,'Activity'!$B$8:$B$1007,$A56))</x:f>
      </x:c>
      <x:c r="F56" s="9" t="str">
        <x:f>IF($N56="","",_xlfn.MAXIFS('Activity'!$C$8:$C$1007,'Activity'!$B$8:$B$1007,$A56))</x:f>
      </x:c>
      <x:c r="G56" s="9" t="str">
        <x:f>IF($N56="","",IF(_xlfn.XLOOKUP($N56,'Activity'!$A$8:$A$1007,'Activity'!$J$8:$J$1007,"")=0,"",_xlfn.XLOOKUP($N56,'Activity'!$A$8:$A$1007,'Activity'!$J$8:$J$1007,"")))</x:f>
      </x:c>
      <x:c r="H56" s="8" t="str">
        <x:f>IF($N56="","",IF(_xlfn.XLOOKUP($N56,'Activity'!$A$8:$A$1007,'Activity'!$K$8:$K$1007,"")=0,"",_xlfn.XLOOKUP($N56,'Activity'!$A$8:$A$1007,'Activity'!$K$8:$K$1007,"")))</x:f>
      </x:c>
      <x:c r="I56" s="8" t="str">
        <x:v>https://www.linkedin.com/in/justin-saslaw-cfa-1a181312/</x:v>
      </x:c>
      <x:c r="J56" s="8" t="str">
        <x:v>Batch 03</x:v>
      </x:c>
      <x:c r="K56" s="8" t="str">
        <x:v>Suggested first identity/secondary discussion contact; quoted as General Partner in ID.me's tender announcement</x:v>
      </x:c>
      <x:c r="L56" s="8" t="str">
        <x:v>outreach-batch-03/leads/ribbit-capital.md</x:v>
      </x:c>
      <x:c r="M56" s="8" t="str">
        <x:v>On current roster; indexed profile identifies Ribbit. General Partner title comes from November 2024 announcement; current responsibilities should be reconfirmed | Batch 03 suggested contact; transaction authority and interest unconfirmed.</x:v>
      </x:c>
      <x:c r="N56" s="8" t="str">
        <x:f>IF(COUNTIFS('Activity'!$B$8:$B$1007,$A56)=0,"",_xlfn.MAXIFS('Activity'!$A$8:$A$1007,'Activity'!$B$8:$B$1007,$A56))</x:f>
      </x:c>
      <x:c r="O56" s="8" t="str">
        <x:f>IF($N56="","",IF(_xlfn.XLOOKUP($N56,'Activity'!$A$8:$A$1007,'Activity'!$F$8:$F$1007,"")=0,"",_xlfn.XLOOKUP($N56,'Activity'!$A$8:$A$1007,'Activity'!$F$8:$F$1007,"")))</x:f>
      </x:c>
      <x:c r="P56" s="8" t="str">
        <x:f>IF($N56="","",IF(_xlfn.XLOOKUP($N56,'Activity'!$A$8:$A$1007,'Activity'!$M$8:$M$1007,"")=0,"",_xlfn.XLOOKUP($N56,'Activity'!$A$8:$A$1007,'Activity'!$M$8:$M$1007,"")))</x:f>
      </x:c>
      <x:c r="Q56" s="8" t="str">
        <x:f>IF($N56="","",IF(_xlfn.XLOOKUP($N56,'Activity'!$A$8:$A$1007,'Activity'!$L$8:$L$1007,"")=0,"",_xlfn.XLOOKUP($N56,'Activity'!$A$8:$A$1007,'Activity'!$L$8:$L$1007,"")))</x:f>
      </x:c>
    </x:row>
    <x:row r="57" ht="34" customHeight="1">
      <x:c r="A57" s="8" t="str">
        <x:v>CON-57be4cd367</x:v>
      </x:c>
      <x:c r="B57" s="8" t="str">
        <x:v>Kenneth Auchenberg</x:v>
      </x:c>
      <x:c r="C57" s="8" t="str">
        <x:v>Innovation Endeavors</x:v>
      </x:c>
      <x:c r="D57" s="8" t="str">
        <x:f>IF($N57="","No outreach recorded",_xlfn.XLOOKUP($N57,'Activity'!$A$8:$A$1007,'Activity'!$H$8:$H$1007,""))</x:f>
        <x:v>No outreach recorded</x:v>
      </x:c>
      <x:c r="E57" s="9" t="str">
        <x:f>IF($N57="","",_xlfn.MINIFS('Activity'!$C$8:$C$1007,'Activity'!$B$8:$B$1007,$A57))</x:f>
      </x:c>
      <x:c r="F57" s="9" t="str">
        <x:f>IF($N57="","",_xlfn.MAXIFS('Activity'!$C$8:$C$1007,'Activity'!$B$8:$B$1007,$A57))</x:f>
      </x:c>
      <x:c r="G57" s="9" t="str">
        <x:f>IF($N57="","",IF(_xlfn.XLOOKUP($N57,'Activity'!$A$8:$A$1007,'Activity'!$J$8:$J$1007,"")=0,"",_xlfn.XLOOKUP($N57,'Activity'!$A$8:$A$1007,'Activity'!$J$8:$J$1007,"")))</x:f>
      </x:c>
      <x:c r="H57" s="8" t="str">
        <x:f>IF($N57="","",IF(_xlfn.XLOOKUP($N57,'Activity'!$A$8:$A$1007,'Activity'!$K$8:$K$1007,"")=0,"",_xlfn.XLOOKUP($N57,'Activity'!$A$8:$A$1007,'Activity'!$K$8:$K$1007,"")))</x:f>
      </x:c>
      <x:c r="I57" s="8" t="str">
        <x:v>https://www.linkedin.com/in/auchenberg/</x:v>
      </x:c>
      <x:c r="J57" s="8" t="str">
        <x:v>Batch 03</x:v>
      </x:c>
      <x:c r="K57" s="8" t="str">
        <x:v>Complementary software-infrastructure and agent/API discussion route</x:v>
      </x:c>
      <x:c r="L57" s="8" t="str">
        <x:v>outreach-batch-03/leads/innovation-endeavors.md</x:v>
      </x:c>
      <x:c r="M57" s="8" t="str">
        <x:v>Current roster and indexed professional profile list Partner; 13 May 2026 announcement confirms joining and technical focus | Batch 03 suggested contact; transaction authority and interest unconfirmed.</x:v>
      </x:c>
      <x:c r="N57" s="8" t="str">
        <x:f>IF(COUNTIFS('Activity'!$B$8:$B$1007,$A57)=0,"",_xlfn.MAXIFS('Activity'!$A$8:$A$1007,'Activity'!$B$8:$B$1007,$A57))</x:f>
      </x:c>
      <x:c r="O57" s="8" t="str">
        <x:f>IF($N57="","",IF(_xlfn.XLOOKUP($N57,'Activity'!$A$8:$A$1007,'Activity'!$F$8:$F$1007,"")=0,"",_xlfn.XLOOKUP($N57,'Activity'!$A$8:$A$1007,'Activity'!$F$8:$F$1007,"")))</x:f>
      </x:c>
      <x:c r="P57" s="8" t="str">
        <x:f>IF($N57="","",IF(_xlfn.XLOOKUP($N57,'Activity'!$A$8:$A$1007,'Activity'!$M$8:$M$1007,"")=0,"",_xlfn.XLOOKUP($N57,'Activity'!$A$8:$A$1007,'Activity'!$M$8:$M$1007,"")))</x:f>
      </x:c>
      <x:c r="Q57" s="8" t="str">
        <x:f>IF($N57="","",IF(_xlfn.XLOOKUP($N57,'Activity'!$A$8:$A$1007,'Activity'!$L$8:$L$1007,"")=0,"",_xlfn.XLOOKUP($N57,'Activity'!$A$8:$A$1007,'Activity'!$L$8:$L$1007,"")))</x:f>
      </x:c>
    </x:row>
    <x:row r="58" ht="34" customHeight="1">
      <x:c r="A58" s="8" t="str">
        <x:v>CON-40edf055fd</x:v>
      </x:c>
      <x:c r="B58" s="8" t="str">
        <x:v>Leon Chen</x:v>
      </x:c>
      <x:c r="C58" s="8" t="str">
        <x:v>Composition Capital</x:v>
      </x:c>
      <x:c r="D58" s="8" t="str">
        <x:f>IF($N58="","No outreach recorded",_xlfn.XLOOKUP($N58,'Activity'!$A$8:$A$1007,'Activity'!$H$8:$H$1007,""))</x:f>
        <x:v>No outreach recorded</x:v>
      </x:c>
      <x:c r="E58" s="9" t="str">
        <x:f>IF($N58="","",_xlfn.MINIFS('Activity'!$C$8:$C$1007,'Activity'!$B$8:$B$1007,$A58))</x:f>
      </x:c>
      <x:c r="F58" s="9" t="str">
        <x:f>IF($N58="","",_xlfn.MAXIFS('Activity'!$C$8:$C$1007,'Activity'!$B$8:$B$1007,$A58))</x:f>
      </x:c>
      <x:c r="G58" s="9" t="str">
        <x:f>IF($N58="","",IF(_xlfn.XLOOKUP($N58,'Activity'!$A$8:$A$1007,'Activity'!$J$8:$J$1007,"")=0,"",_xlfn.XLOOKUP($N58,'Activity'!$A$8:$A$1007,'Activity'!$J$8:$J$1007,"")))</x:f>
      </x:c>
      <x:c r="H58" s="8" t="str">
        <x:f>IF($N58="","",IF(_xlfn.XLOOKUP($N58,'Activity'!$A$8:$A$1007,'Activity'!$K$8:$K$1007,"")=0,"",_xlfn.XLOOKUP($N58,'Activity'!$A$8:$A$1007,'Activity'!$K$8:$K$1007,"")))</x:f>
      </x:c>
      <x:c r="I58" s="8" t="str">
        <x:v>https://www.linkedin.com/in/leon-chen-063b29a/</x:v>
      </x:c>
      <x:c r="J58" s="8" t="str">
        <x:v>Batch 04</x:v>
      </x:c>
      <x:c r="K58" s="8" t="str">
        <x:v>Co-Founder and Managing Partner</x:v>
      </x:c>
      <x:c r="L58" s="8" t="str">
        <x:v>outreach-batch-04/research.json</x:v>
      </x:c>
      <x:c r="M58" s="8" t="str">
        <x:v>authenticated LinkedIn header inspected 2026-10-03; matches named firm and location | Alternative senior sponsor; qualify ARR gate first</x:v>
      </x:c>
      <x:c r="N58" s="8" t="str">
        <x:f>IF(COUNTIFS('Activity'!$B$8:$B$1007,$A58)=0,"",_xlfn.MAXIFS('Activity'!$A$8:$A$1007,'Activity'!$B$8:$B$1007,$A58))</x:f>
      </x:c>
      <x:c r="O58" s="8" t="str">
        <x:f>IF($N58="","",IF(_xlfn.XLOOKUP($N58,'Activity'!$A$8:$A$1007,'Activity'!$F$8:$F$1007,"")=0,"",_xlfn.XLOOKUP($N58,'Activity'!$A$8:$A$1007,'Activity'!$F$8:$F$1007,"")))</x:f>
      </x:c>
      <x:c r="P58" s="8" t="str">
        <x:f>IF($N58="","",IF(_xlfn.XLOOKUP($N58,'Activity'!$A$8:$A$1007,'Activity'!$M$8:$M$1007,"")=0,"",_xlfn.XLOOKUP($N58,'Activity'!$A$8:$A$1007,'Activity'!$M$8:$M$1007,"")))</x:f>
      </x:c>
      <x:c r="Q58" s="8" t="str">
        <x:f>IF($N58="","",IF(_xlfn.XLOOKUP($N58,'Activity'!$A$8:$A$1007,'Activity'!$L$8:$L$1007,"")=0,"",_xlfn.XLOOKUP($N58,'Activity'!$A$8:$A$1007,'Activity'!$L$8:$L$1007,"")))</x:f>
      </x:c>
    </x:row>
    <x:row r="59" ht="34" customHeight="1">
      <x:c r="A59" s="8" t="str">
        <x:v>CON-6087d3808c</x:v>
      </x:c>
      <x:c r="B59" s="8" t="str">
        <x:v>Mamoon Hamid</x:v>
      </x:c>
      <x:c r="C59" s="8" t="str">
        <x:v>Kleiner Perkins</x:v>
      </x:c>
      <x:c r="D59" s="8" t="str">
        <x:f>IF($N59="","No outreach recorded",_xlfn.XLOOKUP($N59,'Activity'!$A$8:$A$1007,'Activity'!$H$8:$H$1007,""))</x:f>
        <x:v>No outreach recorded</x:v>
      </x:c>
      <x:c r="E59" s="9" t="str">
        <x:f>IF($N59="","",_xlfn.MINIFS('Activity'!$C$8:$C$1007,'Activity'!$B$8:$B$1007,$A59))</x:f>
      </x:c>
      <x:c r="F59" s="9" t="str">
        <x:f>IF($N59="","",_xlfn.MAXIFS('Activity'!$C$8:$C$1007,'Activity'!$B$8:$B$1007,$A59))</x:f>
      </x:c>
      <x:c r="G59" s="9" t="str">
        <x:f>IF($N59="","",IF(_xlfn.XLOOKUP($N59,'Activity'!$A$8:$A$1007,'Activity'!$J$8:$J$1007,"")=0,"",_xlfn.XLOOKUP($N59,'Activity'!$A$8:$A$1007,'Activity'!$J$8:$J$1007,"")))</x:f>
      </x:c>
      <x:c r="H59" s="8" t="str">
        <x:f>IF($N59="","",IF(_xlfn.XLOOKUP($N59,'Activity'!$A$8:$A$1007,'Activity'!$K$8:$K$1007,"")=0,"",_xlfn.XLOOKUP($N59,'Activity'!$A$8:$A$1007,'Activity'!$K$8:$K$1007,"")))</x:f>
      </x:c>
      <x:c r="I59" s="8" t="str">
        <x:v>https://www.linkedin.com/in/mamoonha/</x:v>
      </x:c>
      <x:c r="J59" s="8" t="str">
        <x:v>Batch 03</x:v>
      </x:c>
      <x:c r="K59" s="8" t="str">
        <x:v>Partner; complementary enterprise-AI and strategic-conviction route, including Glean experience</x:v>
      </x:c>
      <x:c r="L59" s="8" t="str">
        <x:v>outreach-batch-03/leads/kleiner-perkins.md</x:v>
      </x:c>
      <x:c r="M59" s="8" t="str">
        <x:v>Current official role; indexed personal profile identifies Kleiner Perkins. Full authenticated profile not inspected | Batch 03 suggested contact; transaction authority and interest unconfirmed.</x:v>
      </x:c>
      <x:c r="N59" s="8" t="str">
        <x:f>IF(COUNTIFS('Activity'!$B$8:$B$1007,$A59)=0,"",_xlfn.MAXIFS('Activity'!$A$8:$A$1007,'Activity'!$B$8:$B$1007,$A59))</x:f>
      </x:c>
      <x:c r="O59" s="8" t="str">
        <x:f>IF($N59="","",IF(_xlfn.XLOOKUP($N59,'Activity'!$A$8:$A$1007,'Activity'!$F$8:$F$1007,"")=0,"",_xlfn.XLOOKUP($N59,'Activity'!$A$8:$A$1007,'Activity'!$F$8:$F$1007,"")))</x:f>
      </x:c>
      <x:c r="P59" s="8" t="str">
        <x:f>IF($N59="","",IF(_xlfn.XLOOKUP($N59,'Activity'!$A$8:$A$1007,'Activity'!$M$8:$M$1007,"")=0,"",_xlfn.XLOOKUP($N59,'Activity'!$A$8:$A$1007,'Activity'!$M$8:$M$1007,"")))</x:f>
      </x:c>
      <x:c r="Q59" s="8" t="str">
        <x:f>IF($N59="","",IF(_xlfn.XLOOKUP($N59,'Activity'!$A$8:$A$1007,'Activity'!$L$8:$L$1007,"")=0,"",_xlfn.XLOOKUP($N59,'Activity'!$A$8:$A$1007,'Activity'!$L$8:$L$1007,"")))</x:f>
      </x:c>
    </x:row>
    <x:row r="60" ht="34" customHeight="1">
      <x:c r="A60" s="8" t="str">
        <x:v>CON-eaefb49efe</x:v>
      </x:c>
      <x:c r="B60" s="8" t="str">
        <x:v>Mansoor Al Mansoori</x:v>
      </x:c>
      <x:c r="C60" s="8" t="str">
        <x:v>G42</x:v>
      </x:c>
      <x:c r="D60" s="8" t="str">
        <x:f>IF($N60="","No outreach recorded",_xlfn.XLOOKUP($N60,'Activity'!$A$8:$A$1007,'Activity'!$H$8:$H$1007,""))</x:f>
        <x:v>No outreach recorded</x:v>
      </x:c>
      <x:c r="E60" s="9" t="str">
        <x:f>IF($N60="","",_xlfn.MINIFS('Activity'!$C$8:$C$1007,'Activity'!$B$8:$B$1007,$A60))</x:f>
      </x:c>
      <x:c r="F60" s="9" t="str">
        <x:f>IF($N60="","",_xlfn.MAXIFS('Activity'!$C$8:$C$1007,'Activity'!$B$8:$B$1007,$A60))</x:f>
      </x:c>
      <x:c r="G60" s="9" t="str">
        <x:f>IF($N60="","",IF(_xlfn.XLOOKUP($N60,'Activity'!$A$8:$A$1007,'Activity'!$J$8:$J$1007,"")=0,"",_xlfn.XLOOKUP($N60,'Activity'!$A$8:$A$1007,'Activity'!$J$8:$J$1007,"")))</x:f>
      </x:c>
      <x:c r="H60" s="8" t="str">
        <x:f>IF($N60="","",IF(_xlfn.XLOOKUP($N60,'Activity'!$A$8:$A$1007,'Activity'!$K$8:$K$1007,"")=0,"",_xlfn.XLOOKUP($N60,'Activity'!$A$8:$A$1007,'Activity'!$K$8:$K$1007,"")))</x:f>
      </x:c>
      <x:c r="I60" s="8" t="str">
        <x:v>https://www.linkedin.com/in/mansoor-almansoori-265abb32/</x:v>
      </x:c>
      <x:c r="J60" s="8" t="str">
        <x:v>Batch 01; Batch 02</x:v>
      </x:c>
      <x:c r="K60" s="8" t="str">
        <x:v>Chief Executive Officer, G42 International</x:v>
      </x:c>
      <x:c r="L60" s="8" t="str">
        <x:v>outreach-batch-01/contacts.csv; outreach-batch-02/contacts.csv</x:v>
      </x:c>
      <x:c r="M60" s="8" t="str">
        <x:v>Authenticated LinkedIn page read | Official page says CEO G42 International; LinkedIn still says Group COO. Preserve discrepancy.</x:v>
      </x:c>
      <x:c r="N60" s="8" t="str">
        <x:f>IF(COUNTIFS('Activity'!$B$8:$B$1007,$A60)=0,"",_xlfn.MAXIFS('Activity'!$A$8:$A$1007,'Activity'!$B$8:$B$1007,$A60))</x:f>
      </x:c>
      <x:c r="O60" s="8" t="str">
        <x:f>IF($N60="","",IF(_xlfn.XLOOKUP($N60,'Activity'!$A$8:$A$1007,'Activity'!$F$8:$F$1007,"")=0,"",_xlfn.XLOOKUP($N60,'Activity'!$A$8:$A$1007,'Activity'!$F$8:$F$1007,"")))</x:f>
      </x:c>
      <x:c r="P60" s="8" t="str">
        <x:f>IF($N60="","",IF(_xlfn.XLOOKUP($N60,'Activity'!$A$8:$A$1007,'Activity'!$M$8:$M$1007,"")=0,"",_xlfn.XLOOKUP($N60,'Activity'!$A$8:$A$1007,'Activity'!$M$8:$M$1007,"")))</x:f>
      </x:c>
      <x:c r="Q60" s="8" t="str">
        <x:f>IF($N60="","",IF(_xlfn.XLOOKUP($N60,'Activity'!$A$8:$A$1007,'Activity'!$L$8:$L$1007,"")=0,"",_xlfn.XLOOKUP($N60,'Activity'!$A$8:$A$1007,'Activity'!$L$8:$L$1007,"")))</x:f>
      </x:c>
    </x:row>
    <x:row r="61" ht="34" customHeight="1">
      <x:c r="A61" s="8" t="str">
        <x:v>CON-43d448d925</x:v>
      </x:c>
      <x:c r="B61" s="8" t="str">
        <x:v>Mark Mullen</x:v>
      </x:c>
      <x:c r="C61" s="8" t="str">
        <x:v>Bonfire Ventures</x:v>
      </x:c>
      <x:c r="D61" s="8" t="str">
        <x:f>IF($N61="","No outreach recorded",_xlfn.XLOOKUP($N61,'Activity'!$A$8:$A$1007,'Activity'!$H$8:$H$1007,""))</x:f>
        <x:v>No outreach recorded</x:v>
      </x:c>
      <x:c r="E61" s="9" t="str">
        <x:f>IF($N61="","",_xlfn.MINIFS('Activity'!$C$8:$C$1007,'Activity'!$B$8:$B$1007,$A61))</x:f>
      </x:c>
      <x:c r="F61" s="9" t="str">
        <x:f>IF($N61="","",_xlfn.MAXIFS('Activity'!$C$8:$C$1007,'Activity'!$B$8:$B$1007,$A61))</x:f>
      </x:c>
      <x:c r="G61" s="9" t="str">
        <x:f>IF($N61="","",IF(_xlfn.XLOOKUP($N61,'Activity'!$A$8:$A$1007,'Activity'!$J$8:$J$1007,"")=0,"",_xlfn.XLOOKUP($N61,'Activity'!$A$8:$A$1007,'Activity'!$J$8:$J$1007,"")))</x:f>
      </x:c>
      <x:c r="H61" s="8" t="str">
        <x:f>IF($N61="","",IF(_xlfn.XLOOKUP($N61,'Activity'!$A$8:$A$1007,'Activity'!$K$8:$K$1007,"")=0,"",_xlfn.XLOOKUP($N61,'Activity'!$A$8:$A$1007,'Activity'!$K$8:$K$1007,"")))</x:f>
      </x:c>
      <x:c r="I61" s="8" t="str">
        <x:v>https://www.linkedin.com/in/mamullen/</x:v>
      </x:c>
      <x:c r="J61" s="8" t="str">
        <x:v>Batch 04</x:v>
      </x:c>
      <x:c r="K61" s="8" t="str">
        <x:v>Co-Founder</x:v>
      </x:c>
      <x:c r="L61" s="8" t="str">
        <x:v>outreach-batch-04/research.json</x:v>
      </x:c>
      <x:c r="M61" s="8" t="str">
        <x:v>authenticated LinkedIn header inspected 2026-10-03; matches named firm and location | Senior B2B software contact; network-first route</x:v>
      </x:c>
      <x:c r="N61" s="8" t="str">
        <x:f>IF(COUNTIFS('Activity'!$B$8:$B$1007,$A61)=0,"",_xlfn.MAXIFS('Activity'!$A$8:$A$1007,'Activity'!$B$8:$B$1007,$A61))</x:f>
      </x:c>
      <x:c r="O61" s="8" t="str">
        <x:f>IF($N61="","",IF(_xlfn.XLOOKUP($N61,'Activity'!$A$8:$A$1007,'Activity'!$F$8:$F$1007,"")=0,"",_xlfn.XLOOKUP($N61,'Activity'!$A$8:$A$1007,'Activity'!$F$8:$F$1007,"")))</x:f>
      </x:c>
      <x:c r="P61" s="8" t="str">
        <x:f>IF($N61="","",IF(_xlfn.XLOOKUP($N61,'Activity'!$A$8:$A$1007,'Activity'!$M$8:$M$1007,"")=0,"",_xlfn.XLOOKUP($N61,'Activity'!$A$8:$A$1007,'Activity'!$M$8:$M$1007,"")))</x:f>
      </x:c>
      <x:c r="Q61" s="8" t="str">
        <x:f>IF($N61="","",IF(_xlfn.XLOOKUP($N61,'Activity'!$A$8:$A$1007,'Activity'!$L$8:$L$1007,"")=0,"",_xlfn.XLOOKUP($N61,'Activity'!$A$8:$A$1007,'Activity'!$L$8:$L$1007,"")))</x:f>
      </x:c>
    </x:row>
    <x:row r="62" ht="34" customHeight="1">
      <x:c r="A62" s="8" t="str">
        <x:v>CON-ba6616e108</x:v>
      </x:c>
      <x:c r="B62" s="8" t="str">
        <x:v>Max Pellegrini</x:v>
      </x:c>
      <x:c r="C62" s="8" t="str">
        <x:v>Namirial</x:v>
      </x:c>
      <x:c r="D62" s="8" t="str">
        <x:f>IF($N62="","No outreach recorded",_xlfn.XLOOKUP($N62,'Activity'!$A$8:$A$1007,'Activity'!$H$8:$H$1007,""))</x:f>
        <x:v>No outreach recorded</x:v>
      </x:c>
      <x:c r="E62" s="9" t="str">
        <x:f>IF($N62="","",_xlfn.MINIFS('Activity'!$C$8:$C$1007,'Activity'!$B$8:$B$1007,$A62))</x:f>
      </x:c>
      <x:c r="F62" s="9" t="str">
        <x:f>IF($N62="","",_xlfn.MAXIFS('Activity'!$C$8:$C$1007,'Activity'!$B$8:$B$1007,$A62))</x:f>
      </x:c>
      <x:c r="G62" s="9" t="str">
        <x:f>IF($N62="","",IF(_xlfn.XLOOKUP($N62,'Activity'!$A$8:$A$1007,'Activity'!$J$8:$J$1007,"")=0,"",_xlfn.XLOOKUP($N62,'Activity'!$A$8:$A$1007,'Activity'!$J$8:$J$1007,"")))</x:f>
      </x:c>
      <x:c r="H62" s="8" t="str">
        <x:f>IF($N62="","",IF(_xlfn.XLOOKUP($N62,'Activity'!$A$8:$A$1007,'Activity'!$K$8:$K$1007,"")=0,"",_xlfn.XLOOKUP($N62,'Activity'!$A$8:$A$1007,'Activity'!$K$8:$K$1007,"")))</x:f>
      </x:c>
      <x:c r="I62" s="8" t="str">
        <x:v>https://www.linkedin.com/in/maxpellegrini/</x:v>
      </x:c>
      <x:c r="J62" s="8" t="str">
        <x:v>Batch 01; Batch 02</x:v>
      </x:c>
      <x:c r="K62" s="8" t="str">
        <x:v>Chief Executive Officer</x:v>
      </x:c>
      <x:c r="L62" s="8" t="str">
        <x:v>outreach-batch-01/contacts.csv; outreach-batch-02/contacts.csv</x:v>
      </x:c>
      <x:c r="M62" s="8" t="str">
        <x:v>Authenticated LinkedIn page read | Public role observed; exact transaction authority not established</x:v>
      </x:c>
      <x:c r="N62" s="8" t="str">
        <x:f>IF(COUNTIFS('Activity'!$B$8:$B$1007,$A62)=0,"",_xlfn.MAXIFS('Activity'!$A$8:$A$1007,'Activity'!$B$8:$B$1007,$A62))</x:f>
      </x:c>
      <x:c r="O62" s="8" t="str">
        <x:f>IF($N62="","",IF(_xlfn.XLOOKUP($N62,'Activity'!$A$8:$A$1007,'Activity'!$F$8:$F$1007,"")=0,"",_xlfn.XLOOKUP($N62,'Activity'!$A$8:$A$1007,'Activity'!$F$8:$F$1007,"")))</x:f>
      </x:c>
      <x:c r="P62" s="8" t="str">
        <x:f>IF($N62="","",IF(_xlfn.XLOOKUP($N62,'Activity'!$A$8:$A$1007,'Activity'!$M$8:$M$1007,"")=0,"",_xlfn.XLOOKUP($N62,'Activity'!$A$8:$A$1007,'Activity'!$M$8:$M$1007,"")))</x:f>
      </x:c>
      <x:c r="Q62" s="8" t="str">
        <x:f>IF($N62="","",IF(_xlfn.XLOOKUP($N62,'Activity'!$A$8:$A$1007,'Activity'!$L$8:$L$1007,"")=0,"",_xlfn.XLOOKUP($N62,'Activity'!$A$8:$A$1007,'Activity'!$L$8:$L$1007,"")))</x:f>
      </x:c>
    </x:row>
    <x:row r="63" ht="34" customHeight="1">
      <x:c r="A63" s="8" t="str">
        <x:v>CON-137d43ec64</x:v>
      </x:c>
      <x:c r="B63" s="8" t="str">
        <x:v>Meyer “Micky” Malka</x:v>
      </x:c>
      <x:c r="C63" s="8" t="str">
        <x:v>Ribbit Capital</x:v>
      </x:c>
      <x:c r="D63" s="8" t="str">
        <x:f>IF($N63="","No outreach recorded",_xlfn.XLOOKUP($N63,'Activity'!$A$8:$A$1007,'Activity'!$H$8:$H$1007,""))</x:f>
        <x:v>No outreach recorded</x:v>
      </x:c>
      <x:c r="E63" s="9" t="str">
        <x:f>IF($N63="","",_xlfn.MINIFS('Activity'!$C$8:$C$1007,'Activity'!$B$8:$B$1007,$A63))</x:f>
      </x:c>
      <x:c r="F63" s="9" t="str">
        <x:f>IF($N63="","",_xlfn.MAXIFS('Activity'!$C$8:$C$1007,'Activity'!$B$8:$B$1007,$A63))</x:f>
      </x:c>
      <x:c r="G63" s="9" t="str">
        <x:f>IF($N63="","",IF(_xlfn.XLOOKUP($N63,'Activity'!$A$8:$A$1007,'Activity'!$J$8:$J$1007,"")=0,"",_xlfn.XLOOKUP($N63,'Activity'!$A$8:$A$1007,'Activity'!$J$8:$J$1007,"")))</x:f>
      </x:c>
      <x:c r="H63" s="8" t="str">
        <x:f>IF($N63="","",IF(_xlfn.XLOOKUP($N63,'Activity'!$A$8:$A$1007,'Activity'!$K$8:$K$1007,"")=0,"",_xlfn.XLOOKUP($N63,'Activity'!$A$8:$A$1007,'Activity'!$K$8:$K$1007,"")))</x:f>
      </x:c>
      <x:c r="I63" s="8" t="str">
        <x:v>https://www.linkedin.com/in/meyermalka/</x:v>
      </x:c>
      <x:c r="J63" s="8" t="str">
        <x:v>Batch 03</x:v>
      </x:c>
      <x:c r="K63" s="8" t="str">
        <x:v>Founder; senior strategic-conviction route after initial fit qualification</x:v>
      </x:c>
      <x:c r="L63" s="8" t="str">
        <x:v>outreach-batch-03/leads/ribbit-capital.md</x:v>
      </x:c>
      <x:c r="M63" s="8" t="str">
        <x:v>Current roster and indexed public profile match; founder identity documented in the [2020 Ribbit LEAP filing](https://www.sec.gov/Archives/edgar/data/1818346/000104746920004858/a2242371z424b4.htm), used only for historical founding context | Batch 03 suggested contact; transaction authority and interest unconfirmed.</x:v>
      </x:c>
      <x:c r="N63" s="8" t="str">
        <x:f>IF(COUNTIFS('Activity'!$B$8:$B$1007,$A63)=0,"",_xlfn.MAXIFS('Activity'!$A$8:$A$1007,'Activity'!$B$8:$B$1007,$A63))</x:f>
      </x:c>
      <x:c r="O63" s="8" t="str">
        <x:f>IF($N63="","",IF(_xlfn.XLOOKUP($N63,'Activity'!$A$8:$A$1007,'Activity'!$F$8:$F$1007,"")=0,"",_xlfn.XLOOKUP($N63,'Activity'!$A$8:$A$1007,'Activity'!$F$8:$F$1007,"")))</x:f>
      </x:c>
      <x:c r="P63" s="8" t="str">
        <x:f>IF($N63="","",IF(_xlfn.XLOOKUP($N63,'Activity'!$A$8:$A$1007,'Activity'!$M$8:$M$1007,"")=0,"",_xlfn.XLOOKUP($N63,'Activity'!$A$8:$A$1007,'Activity'!$M$8:$M$1007,"")))</x:f>
      </x:c>
      <x:c r="Q63" s="8" t="str">
        <x:f>IF($N63="","",IF(_xlfn.XLOOKUP($N63,'Activity'!$A$8:$A$1007,'Activity'!$L$8:$L$1007,"")=0,"",_xlfn.XLOOKUP($N63,'Activity'!$A$8:$A$1007,'Activity'!$L$8:$L$1007,"")))</x:f>
      </x:c>
    </x:row>
    <x:row r="64" ht="34" customHeight="1">
      <x:c r="A64" s="8" t="str">
        <x:v>CON-c0185d76b5</x:v>
      </x:c>
      <x:c r="B64" s="8" t="str">
        <x:v>Michael Brown</x:v>
      </x:c>
      <x:c r="C64" s="8" t="str">
        <x:v>Battery Ventures</x:v>
      </x:c>
      <x:c r="D64" s="8" t="str">
        <x:f>IF($N64="","No outreach recorded",_xlfn.XLOOKUP($N64,'Activity'!$A$8:$A$1007,'Activity'!$H$8:$H$1007,""))</x:f>
        <x:v>No outreach recorded</x:v>
      </x:c>
      <x:c r="E64" s="9" t="str">
        <x:f>IF($N64="","",_xlfn.MINIFS('Activity'!$C$8:$C$1007,'Activity'!$B$8:$B$1007,$A64))</x:f>
      </x:c>
      <x:c r="F64" s="9" t="str">
        <x:f>IF($N64="","",_xlfn.MAXIFS('Activity'!$C$8:$C$1007,'Activity'!$B$8:$B$1007,$A64))</x:f>
      </x:c>
      <x:c r="G64" s="9" t="str">
        <x:f>IF($N64="","",IF(_xlfn.XLOOKUP($N64,'Activity'!$A$8:$A$1007,'Activity'!$J$8:$J$1007,"")=0,"",_xlfn.XLOOKUP($N64,'Activity'!$A$8:$A$1007,'Activity'!$J$8:$J$1007,"")))</x:f>
      </x:c>
      <x:c r="H64" s="8" t="str">
        <x:f>IF($N64="","",IF(_xlfn.XLOOKUP($N64,'Activity'!$A$8:$A$1007,'Activity'!$K$8:$K$1007,"")=0,"",_xlfn.XLOOKUP($N64,'Activity'!$A$8:$A$1007,'Activity'!$K$8:$K$1007,"")))</x:f>
      </x:c>
      <x:c r="I64" s="8" t="str">
        <x:v>https://www.linkedin.com/in/michaelbrownvc/</x:v>
      </x:c>
      <x:c r="J64" s="8" t="str">
        <x:v>Batch 03</x:v>
      </x:c>
      <x:c r="K64" s="8" t="str">
        <x:v>General Partner, Boston. Suggested first sector discussion: enterprise software experience and historical Nitro, RiskIQ and Mendix involvement</x:v>
      </x:c>
      <x:c r="L64" s="8" t="str">
        <x:v>outreach-batch-03/leads/battery-ventures.md</x:v>
      </x:c>
      <x:c r="M64" s="8" t="str">
        <x:v>Role and investments from official biography; indexed LinkedIn name, Battery association, Boston and Georgetown education align. Full authenticated profile not inspected | Batch 03 suggested contact; transaction authority and interest unconfirmed.</x:v>
      </x:c>
      <x:c r="N64" s="8" t="str">
        <x:f>IF(COUNTIFS('Activity'!$B$8:$B$1007,$A64)=0,"",_xlfn.MAXIFS('Activity'!$A$8:$A$1007,'Activity'!$B$8:$B$1007,$A64))</x:f>
      </x:c>
      <x:c r="O64" s="8" t="str">
        <x:f>IF($N64="","",IF(_xlfn.XLOOKUP($N64,'Activity'!$A$8:$A$1007,'Activity'!$F$8:$F$1007,"")=0,"",_xlfn.XLOOKUP($N64,'Activity'!$A$8:$A$1007,'Activity'!$F$8:$F$1007,"")))</x:f>
      </x:c>
      <x:c r="P64" s="8" t="str">
        <x:f>IF($N64="","",IF(_xlfn.XLOOKUP($N64,'Activity'!$A$8:$A$1007,'Activity'!$M$8:$M$1007,"")=0,"",_xlfn.XLOOKUP($N64,'Activity'!$A$8:$A$1007,'Activity'!$M$8:$M$1007,"")))</x:f>
      </x:c>
      <x:c r="Q64" s="8" t="str">
        <x:f>IF($N64="","",IF(_xlfn.XLOOKUP($N64,'Activity'!$A$8:$A$1007,'Activity'!$L$8:$L$1007,"")=0,"",_xlfn.XLOOKUP($N64,'Activity'!$A$8:$A$1007,'Activity'!$L$8:$L$1007,"")))</x:f>
      </x:c>
    </x:row>
    <x:row r="65" ht="34" customHeight="1">
      <x:c r="A65" s="8" t="str">
        <x:v>CON-0d57b61261</x:v>
      </x:c>
      <x:c r="B65" s="8" t="str">
        <x:v>Michael Hochholzer</x:v>
      </x:c>
      <x:c r="C65" s="8" t="str">
        <x:v>Giesecke+Devrient</x:v>
      </x:c>
      <x:c r="D65" s="8" t="str">
        <x:f>IF($N65="","No outreach recorded",_xlfn.XLOOKUP($N65,'Activity'!$A$8:$A$1007,'Activity'!$H$8:$H$1007,""))</x:f>
        <x:v>No outreach recorded</x:v>
      </x:c>
      <x:c r="E65" s="9" t="str">
        <x:f>IF($N65="","",_xlfn.MINIFS('Activity'!$C$8:$C$1007,'Activity'!$B$8:$B$1007,$A65))</x:f>
      </x:c>
      <x:c r="F65" s="9" t="str">
        <x:f>IF($N65="","",_xlfn.MAXIFS('Activity'!$C$8:$C$1007,'Activity'!$B$8:$B$1007,$A65))</x:f>
      </x:c>
      <x:c r="G65" s="9" t="str">
        <x:f>IF($N65="","",IF(_xlfn.XLOOKUP($N65,'Activity'!$A$8:$A$1007,'Activity'!$J$8:$J$1007,"")=0,"",_xlfn.XLOOKUP($N65,'Activity'!$A$8:$A$1007,'Activity'!$J$8:$J$1007,"")))</x:f>
      </x:c>
      <x:c r="H65" s="8" t="str">
        <x:f>IF($N65="","",IF(_xlfn.XLOOKUP($N65,'Activity'!$A$8:$A$1007,'Activity'!$K$8:$K$1007,"")=0,"",_xlfn.XLOOKUP($N65,'Activity'!$A$8:$A$1007,'Activity'!$K$8:$K$1007,"")))</x:f>
      </x:c>
      <x:c r="I65" s="8" t="str">
        <x:v>https://www.linkedin.com/in/michael-hochholzer-450a22/</x:v>
      </x:c>
      <x:c r="J65" s="8" t="str">
        <x:v>Batch 01</x:v>
      </x:c>
      <x:c r="K65" s="8" t="str">
        <x:v>Managing Director, G+D Ventures</x:v>
      </x:c>
      <x:c r="L65" s="8" t="str">
        <x:v>outreach-batch-01/contacts.csv</x:v>
      </x:c>
      <x:c r="M65" s="8" t="str">
        <x:v>Authenticated LinkedIn page read | Public role observed; exact transaction authority not established</x:v>
      </x:c>
      <x:c r="N65" s="8" t="str">
        <x:f>IF(COUNTIFS('Activity'!$B$8:$B$1007,$A65)=0,"",_xlfn.MAXIFS('Activity'!$A$8:$A$1007,'Activity'!$B$8:$B$1007,$A65))</x:f>
      </x:c>
      <x:c r="O65" s="8" t="str">
        <x:f>IF($N65="","",IF(_xlfn.XLOOKUP($N65,'Activity'!$A$8:$A$1007,'Activity'!$F$8:$F$1007,"")=0,"",_xlfn.XLOOKUP($N65,'Activity'!$A$8:$A$1007,'Activity'!$F$8:$F$1007,"")))</x:f>
      </x:c>
      <x:c r="P65" s="8" t="str">
        <x:f>IF($N65="","",IF(_xlfn.XLOOKUP($N65,'Activity'!$A$8:$A$1007,'Activity'!$M$8:$M$1007,"")=0,"",_xlfn.XLOOKUP($N65,'Activity'!$A$8:$A$1007,'Activity'!$M$8:$M$1007,"")))</x:f>
      </x:c>
      <x:c r="Q65" s="8" t="str">
        <x:f>IF($N65="","",IF(_xlfn.XLOOKUP($N65,'Activity'!$A$8:$A$1007,'Activity'!$L$8:$L$1007,"")=0,"",_xlfn.XLOOKUP($N65,'Activity'!$A$8:$A$1007,'Activity'!$L$8:$L$1007,"")))</x:f>
      </x:c>
    </x:row>
    <x:row r="66" ht="34" customHeight="1">
      <x:c r="A66" s="8" t="str">
        <x:v>CON-0a0f46f66e</x:v>
      </x:c>
      <x:c r="B66" s="8" t="str">
        <x:v>Michael Treskow</x:v>
      </x:c>
      <x:c r="C66" s="8" t="str">
        <x:v>Eight Roads</x:v>
      </x:c>
      <x:c r="D66" s="8" t="str">
        <x:f>IF($N66="","No outreach recorded",_xlfn.XLOOKUP($N66,'Activity'!$A$8:$A$1007,'Activity'!$H$8:$H$1007,""))</x:f>
        <x:v>No outreach recorded</x:v>
      </x:c>
      <x:c r="E66" s="9" t="str">
        <x:f>IF($N66="","",_xlfn.MINIFS('Activity'!$C$8:$C$1007,'Activity'!$B$8:$B$1007,$A66))</x:f>
      </x:c>
      <x:c r="F66" s="9" t="str">
        <x:f>IF($N66="","",_xlfn.MAXIFS('Activity'!$C$8:$C$1007,'Activity'!$B$8:$B$1007,$A66))</x:f>
      </x:c>
      <x:c r="G66" s="9" t="str">
        <x:f>IF($N66="","",IF(_xlfn.XLOOKUP($N66,'Activity'!$A$8:$A$1007,'Activity'!$J$8:$J$1007,"")=0,"",_xlfn.XLOOKUP($N66,'Activity'!$A$8:$A$1007,'Activity'!$J$8:$J$1007,"")))</x:f>
      </x:c>
      <x:c r="H66" s="8" t="str">
        <x:f>IF($N66="","",IF(_xlfn.XLOOKUP($N66,'Activity'!$A$8:$A$1007,'Activity'!$K$8:$K$1007,"")=0,"",_xlfn.XLOOKUP($N66,'Activity'!$A$8:$A$1007,'Activity'!$K$8:$K$1007,"")))</x:f>
      </x:c>
      <x:c r="I66" s="8" t="str">
        <x:v>https://www.linkedin.com/in/michaeltreskow/</x:v>
      </x:c>
      <x:c r="J66" s="8" t="str">
        <x:v>Batch 03</x:v>
      </x:c>
      <x:c r="K66" s="8" t="str">
        <x:v>Partner; Europe/Israel venture and growth technology focus. Suggested first sector discussion; quoted on the Odaseva investment</x:v>
      </x:c>
      <x:c r="L66" s="8" t="str">
        <x:v>outreach-batch-03/leads/eight-roads.md</x:v>
      </x:c>
      <x:c r="M66" s="8" t="str">
        <x:v>Official role/focus; indexed LinkedIn identifies Eight Roads, London and links his official biography. Full authenticated profile not inspected | Batch 03 suggested contact; transaction authority and interest unconfirmed.</x:v>
      </x:c>
      <x:c r="N66" s="8" t="str">
        <x:f>IF(COUNTIFS('Activity'!$B$8:$B$1007,$A66)=0,"",_xlfn.MAXIFS('Activity'!$A$8:$A$1007,'Activity'!$B$8:$B$1007,$A66))</x:f>
      </x:c>
      <x:c r="O66" s="8" t="str">
        <x:f>IF($N66="","",IF(_xlfn.XLOOKUP($N66,'Activity'!$A$8:$A$1007,'Activity'!$F$8:$F$1007,"")=0,"",_xlfn.XLOOKUP($N66,'Activity'!$A$8:$A$1007,'Activity'!$F$8:$F$1007,"")))</x:f>
      </x:c>
      <x:c r="P66" s="8" t="str">
        <x:f>IF($N66="","",IF(_xlfn.XLOOKUP($N66,'Activity'!$A$8:$A$1007,'Activity'!$M$8:$M$1007,"")=0,"",_xlfn.XLOOKUP($N66,'Activity'!$A$8:$A$1007,'Activity'!$M$8:$M$1007,"")))</x:f>
      </x:c>
      <x:c r="Q66" s="8" t="str">
        <x:f>IF($N66="","",IF(_xlfn.XLOOKUP($N66,'Activity'!$A$8:$A$1007,'Activity'!$L$8:$L$1007,"")=0,"",_xlfn.XLOOKUP($N66,'Activity'!$A$8:$A$1007,'Activity'!$L$8:$L$1007,"")))</x:f>
      </x:c>
    </x:row>
    <x:row r="67" ht="34" customHeight="1">
      <x:c r="A67" s="8" t="str">
        <x:v>CON-c1104ef9cc</x:v>
      </x:c>
      <x:c r="B67" s="8" t="str">
        <x:v>Mike Farrell</x:v>
      </x:c>
      <x:c r="C67" s="8" t="str">
        <x:v>Spectrum Equity</x:v>
      </x:c>
      <x:c r="D67" s="8" t="str">
        <x:f>IF($N67="","No outreach recorded",_xlfn.XLOOKUP($N67,'Activity'!$A$8:$A$1007,'Activity'!$H$8:$H$1007,""))</x:f>
        <x:v>No outreach recorded</x:v>
      </x:c>
      <x:c r="E67" s="9" t="str">
        <x:f>IF($N67="","",_xlfn.MINIFS('Activity'!$C$8:$C$1007,'Activity'!$B$8:$B$1007,$A67))</x:f>
      </x:c>
      <x:c r="F67" s="9" t="str">
        <x:f>IF($N67="","",_xlfn.MAXIFS('Activity'!$C$8:$C$1007,'Activity'!$B$8:$B$1007,$A67))</x:f>
      </x:c>
      <x:c r="G67" s="9" t="str">
        <x:f>IF($N67="","",IF(_xlfn.XLOOKUP($N67,'Activity'!$A$8:$A$1007,'Activity'!$J$8:$J$1007,"")=0,"",_xlfn.XLOOKUP($N67,'Activity'!$A$8:$A$1007,'Activity'!$J$8:$J$1007,"")))</x:f>
      </x:c>
      <x:c r="H67" s="8" t="str">
        <x:f>IF($N67="","",IF(_xlfn.XLOOKUP($N67,'Activity'!$A$8:$A$1007,'Activity'!$K$8:$K$1007,"")=0,"",_xlfn.XLOOKUP($N67,'Activity'!$A$8:$A$1007,'Activity'!$K$8:$K$1007,"")))</x:f>
      </x:c>
      <x:c r="I67" s="8" t="str">
        <x:v>https://www.linkedin.com/in/mifarrell/</x:v>
      </x:c>
      <x:c r="J67" s="8" t="str">
        <x:v>Batch 02</x:v>
      </x:c>
      <x:c r="K67" s="8" t="str">
        <x:v>Managing Director — software, AI and data</x:v>
      </x:c>
      <x:c r="L67" s="8" t="str">
        <x:v>outreach-batch-02/contacts.csv</x:v>
      </x:c>
      <x:c r="M67" s="8" t="str">
        <x:v>Official biography links profile; full LinkedIn fetch blocked | Public role observed; exact transaction authority not established.</x:v>
      </x:c>
      <x:c r="N67" s="8" t="str">
        <x:f>IF(COUNTIFS('Activity'!$B$8:$B$1007,$A67)=0,"",_xlfn.MAXIFS('Activity'!$A$8:$A$1007,'Activity'!$B$8:$B$1007,$A67))</x:f>
      </x:c>
      <x:c r="O67" s="8" t="str">
        <x:f>IF($N67="","",IF(_xlfn.XLOOKUP($N67,'Activity'!$A$8:$A$1007,'Activity'!$F$8:$F$1007,"")=0,"",_xlfn.XLOOKUP($N67,'Activity'!$A$8:$A$1007,'Activity'!$F$8:$F$1007,"")))</x:f>
      </x:c>
      <x:c r="P67" s="8" t="str">
        <x:f>IF($N67="","",IF(_xlfn.XLOOKUP($N67,'Activity'!$A$8:$A$1007,'Activity'!$M$8:$M$1007,"")=0,"",_xlfn.XLOOKUP($N67,'Activity'!$A$8:$A$1007,'Activity'!$M$8:$M$1007,"")))</x:f>
      </x:c>
      <x:c r="Q67" s="8" t="str">
        <x:f>IF($N67="","",IF(_xlfn.XLOOKUP($N67,'Activity'!$A$8:$A$1007,'Activity'!$L$8:$L$1007,"")=0,"",_xlfn.XLOOKUP($N67,'Activity'!$A$8:$A$1007,'Activity'!$L$8:$L$1007,"")))</x:f>
      </x:c>
    </x:row>
    <x:row r="68" ht="34" customHeight="1">
      <x:c r="A68" s="8" t="str">
        <x:v>CON-123739a222</x:v>
      </x:c>
      <x:c r="B68" s="8" t="str">
        <x:v>Mohammad bin Abdulaziz Alomair</x:v>
      </x:c>
      <x:c r="C68" s="8" t="str">
        <x:v>Elm</x:v>
      </x:c>
      <x:c r="D68" s="8" t="str">
        <x:f>IF($N68="","No outreach recorded",_xlfn.XLOOKUP($N68,'Activity'!$A$8:$A$1007,'Activity'!$H$8:$H$1007,""))</x:f>
        <x:v>No outreach recorded</x:v>
      </x:c>
      <x:c r="E68" s="9" t="str">
        <x:f>IF($N68="","",_xlfn.MINIFS('Activity'!$C$8:$C$1007,'Activity'!$B$8:$B$1007,$A68))</x:f>
      </x:c>
      <x:c r="F68" s="9" t="str">
        <x:f>IF($N68="","",_xlfn.MAXIFS('Activity'!$C$8:$C$1007,'Activity'!$B$8:$B$1007,$A68))</x:f>
      </x:c>
      <x:c r="G68" s="9" t="str">
        <x:f>IF($N68="","",IF(_xlfn.XLOOKUP($N68,'Activity'!$A$8:$A$1007,'Activity'!$J$8:$J$1007,"")=0,"",_xlfn.XLOOKUP($N68,'Activity'!$A$8:$A$1007,'Activity'!$J$8:$J$1007,"")))</x:f>
      </x:c>
      <x:c r="H68" s="8" t="str">
        <x:f>IF($N68="","",IF(_xlfn.XLOOKUP($N68,'Activity'!$A$8:$A$1007,'Activity'!$K$8:$K$1007,"")=0,"",_xlfn.XLOOKUP($N68,'Activity'!$A$8:$A$1007,'Activity'!$K$8:$K$1007,"")))</x:f>
      </x:c>
      <x:c r="I68" s="8" t="str">
        <x:v>https://www.linkedin.com/in/alomair/</x:v>
      </x:c>
      <x:c r="J68" s="8" t="str">
        <x:v>Batch 01; Batch 02</x:v>
      </x:c>
      <x:c r="K68" s="8" t="str">
        <x:v>Chief Executive Officer</x:v>
      </x:c>
      <x:c r="L68" s="8" t="str">
        <x:v>outreach-batch-01/contacts.csv; outreach-batch-02/contacts.csv</x:v>
      </x:c>
      <x:c r="M68" s="8" t="str">
        <x:v>Authenticated LinkedIn page read | Public role observed; exact transaction authority not established</x:v>
      </x:c>
      <x:c r="N68" s="8" t="str">
        <x:f>IF(COUNTIFS('Activity'!$B$8:$B$1007,$A68)=0,"",_xlfn.MAXIFS('Activity'!$A$8:$A$1007,'Activity'!$B$8:$B$1007,$A68))</x:f>
      </x:c>
      <x:c r="O68" s="8" t="str">
        <x:f>IF($N68="","",IF(_xlfn.XLOOKUP($N68,'Activity'!$A$8:$A$1007,'Activity'!$F$8:$F$1007,"")=0,"",_xlfn.XLOOKUP($N68,'Activity'!$A$8:$A$1007,'Activity'!$F$8:$F$1007,"")))</x:f>
      </x:c>
      <x:c r="P68" s="8" t="str">
        <x:f>IF($N68="","",IF(_xlfn.XLOOKUP($N68,'Activity'!$A$8:$A$1007,'Activity'!$M$8:$M$1007,"")=0,"",_xlfn.XLOOKUP($N68,'Activity'!$A$8:$A$1007,'Activity'!$M$8:$M$1007,"")))</x:f>
      </x:c>
      <x:c r="Q68" s="8" t="str">
        <x:f>IF($N68="","",IF(_xlfn.XLOOKUP($N68,'Activity'!$A$8:$A$1007,'Activity'!$L$8:$L$1007,"")=0,"",_xlfn.XLOOKUP($N68,'Activity'!$A$8:$A$1007,'Activity'!$L$8:$L$1007,"")))</x:f>
      </x:c>
    </x:row>
    <x:row r="69" ht="34" customHeight="1">
      <x:c r="A69" s="8" t="str">
        <x:v>CON-2fe43712a9</x:v>
      </x:c>
      <x:c r="B69" s="8" t="str">
        <x:v>Motaz Al-Angari</x:v>
      </x:c>
      <x:c r="C69" s="8" t="str">
        <x:v>stc Group</x:v>
      </x:c>
      <x:c r="D69" s="8" t="str">
        <x:f>IF($N69="","No outreach recorded",_xlfn.XLOOKUP($N69,'Activity'!$A$8:$A$1007,'Activity'!$H$8:$H$1007,""))</x:f>
        <x:v>No outreach recorded</x:v>
      </x:c>
      <x:c r="E69" s="9" t="str">
        <x:f>IF($N69="","",_xlfn.MINIFS('Activity'!$C$8:$C$1007,'Activity'!$B$8:$B$1007,$A69))</x:f>
      </x:c>
      <x:c r="F69" s="9" t="str">
        <x:f>IF($N69="","",_xlfn.MAXIFS('Activity'!$C$8:$C$1007,'Activity'!$B$8:$B$1007,$A69))</x:f>
      </x:c>
      <x:c r="G69" s="9" t="str">
        <x:f>IF($N69="","",IF(_xlfn.XLOOKUP($N69,'Activity'!$A$8:$A$1007,'Activity'!$J$8:$J$1007,"")=0,"",_xlfn.XLOOKUP($N69,'Activity'!$A$8:$A$1007,'Activity'!$J$8:$J$1007,"")))</x:f>
      </x:c>
      <x:c r="H69" s="8" t="str">
        <x:f>IF($N69="","",IF(_xlfn.XLOOKUP($N69,'Activity'!$A$8:$A$1007,'Activity'!$K$8:$K$1007,"")=0,"",_xlfn.XLOOKUP($N69,'Activity'!$A$8:$A$1007,'Activity'!$K$8:$K$1007,"")))</x:f>
      </x:c>
      <x:c r="I69" s="8" t="str">
        <x:v>https://www.linkedin.com/in/motaz-al-angari-07174820/</x:v>
      </x:c>
      <x:c r="J69" s="8" t="str">
        <x:v>Batch 01; Batch 02</x:v>
      </x:c>
      <x:c r="K69" s="8" t="str">
        <x:v>Group Chief Investment Officer</x:v>
      </x:c>
      <x:c r="L69" s="8" t="str">
        <x:v>outreach-batch-01/contacts.csv; outreach-batch-02/contacts.csv</x:v>
      </x:c>
      <x:c r="M69" s="8" t="str">
        <x:v>Authenticated LinkedIn page read | Public role observed; exact transaction authority not established</x:v>
      </x:c>
      <x:c r="N69" s="8" t="str">
        <x:f>IF(COUNTIFS('Activity'!$B$8:$B$1007,$A69)=0,"",_xlfn.MAXIFS('Activity'!$A$8:$A$1007,'Activity'!$B$8:$B$1007,$A69))</x:f>
      </x:c>
      <x:c r="O69" s="8" t="str">
        <x:f>IF($N69="","",IF(_xlfn.XLOOKUP($N69,'Activity'!$A$8:$A$1007,'Activity'!$F$8:$F$1007,"")=0,"",_xlfn.XLOOKUP($N69,'Activity'!$A$8:$A$1007,'Activity'!$F$8:$F$1007,"")))</x:f>
      </x:c>
      <x:c r="P69" s="8" t="str">
        <x:f>IF($N69="","",IF(_xlfn.XLOOKUP($N69,'Activity'!$A$8:$A$1007,'Activity'!$M$8:$M$1007,"")=0,"",_xlfn.XLOOKUP($N69,'Activity'!$A$8:$A$1007,'Activity'!$M$8:$M$1007,"")))</x:f>
      </x:c>
      <x:c r="Q69" s="8" t="str">
        <x:f>IF($N69="","",IF(_xlfn.XLOOKUP($N69,'Activity'!$A$8:$A$1007,'Activity'!$L$8:$L$1007,"")=0,"",_xlfn.XLOOKUP($N69,'Activity'!$A$8:$A$1007,'Activity'!$L$8:$L$1007,"")))</x:f>
      </x:c>
    </x:row>
    <x:row r="70" ht="34" customHeight="1">
      <x:c r="A70" s="8" t="str">
        <x:v>CON-828a8ff722</x:v>
      </x:c>
      <x:c r="B70" s="8" t="str">
        <x:v>Nick Shalek</x:v>
      </x:c>
      <x:c r="C70" s="8" t="str">
        <x:v>Ribbit Capital</x:v>
      </x:c>
      <x:c r="D70" s="8" t="str">
        <x:f>IF($N70="","No outreach recorded",_xlfn.XLOOKUP($N70,'Activity'!$A$8:$A$1007,'Activity'!$H$8:$H$1007,""))</x:f>
        <x:v>No outreach recorded</x:v>
      </x:c>
      <x:c r="E70" s="9" t="str">
        <x:f>IF($N70="","",_xlfn.MINIFS('Activity'!$C$8:$C$1007,'Activity'!$B$8:$B$1007,$A70))</x:f>
      </x:c>
      <x:c r="F70" s="9" t="str">
        <x:f>IF($N70="","",_xlfn.MAXIFS('Activity'!$C$8:$C$1007,'Activity'!$B$8:$B$1007,$A70))</x:f>
      </x:c>
      <x:c r="G70" s="9" t="str">
        <x:f>IF($N70="","",IF(_xlfn.XLOOKUP($N70,'Activity'!$A$8:$A$1007,'Activity'!$J$8:$J$1007,"")=0,"",_xlfn.XLOOKUP($N70,'Activity'!$A$8:$A$1007,'Activity'!$J$8:$J$1007,"")))</x:f>
      </x:c>
      <x:c r="H70" s="8" t="str">
        <x:f>IF($N70="","",IF(_xlfn.XLOOKUP($N70,'Activity'!$A$8:$A$1007,'Activity'!$K$8:$K$1007,"")=0,"",_xlfn.XLOOKUP($N70,'Activity'!$A$8:$A$1007,'Activity'!$K$8:$K$1007,"")))</x:f>
      </x:c>
      <x:c r="I70" s="8" t="str">
        <x:v>https://www.linkedin.com/in/nickshalek/</x:v>
      </x:c>
      <x:c r="J70" s="8" t="str">
        <x:v>Batch 03</x:v>
      </x:c>
      <x:c r="K70" s="8" t="str">
        <x:v>Complementary investment/AI discussion route; current team member</x:v>
      </x:c>
      <x:c r="L70" s="8" t="str">
        <x:v>outreach-batch-03/leads/ribbit-capital.md</x:v>
      </x:c>
      <x:c r="M70" s="8" t="str">
        <x:v>Current official roster and indexed public Ribbit-related investment posts checked; current title not exposed on the official roster | Batch 03 suggested contact; transaction authority and interest unconfirmed.</x:v>
      </x:c>
      <x:c r="N70" s="8" t="str">
        <x:f>IF(COUNTIFS('Activity'!$B$8:$B$1007,$A70)=0,"",_xlfn.MAXIFS('Activity'!$A$8:$A$1007,'Activity'!$B$8:$B$1007,$A70))</x:f>
      </x:c>
      <x:c r="O70" s="8" t="str">
        <x:f>IF($N70="","",IF(_xlfn.XLOOKUP($N70,'Activity'!$A$8:$A$1007,'Activity'!$F$8:$F$1007,"")=0,"",_xlfn.XLOOKUP($N70,'Activity'!$A$8:$A$1007,'Activity'!$F$8:$F$1007,"")))</x:f>
      </x:c>
      <x:c r="P70" s="8" t="str">
        <x:f>IF($N70="","",IF(_xlfn.XLOOKUP($N70,'Activity'!$A$8:$A$1007,'Activity'!$M$8:$M$1007,"")=0,"",_xlfn.XLOOKUP($N70,'Activity'!$A$8:$A$1007,'Activity'!$M$8:$M$1007,"")))</x:f>
      </x:c>
      <x:c r="Q70" s="8" t="str">
        <x:f>IF($N70="","",IF(_xlfn.XLOOKUP($N70,'Activity'!$A$8:$A$1007,'Activity'!$L$8:$L$1007,"")=0,"",_xlfn.XLOOKUP($N70,'Activity'!$A$8:$A$1007,'Activity'!$L$8:$L$1007,"")))</x:f>
      </x:c>
    </x:row>
    <x:row r="71" ht="34" customHeight="1">
      <x:c r="A71" s="8" t="str">
        <x:v>CON-12eccba4a3</x:v>
      </x:c>
      <x:c r="B71" s="8" t="str">
        <x:v>Nishita Cummings</x:v>
      </x:c>
      <x:c r="C71" s="8" t="str">
        <x:v>Composition Capital</x:v>
      </x:c>
      <x:c r="D71" s="8" t="str">
        <x:f>IF($N71="","No outreach recorded",_xlfn.XLOOKUP($N71,'Activity'!$A$8:$A$1007,'Activity'!$H$8:$H$1007,""))</x:f>
        <x:v>No outreach recorded</x:v>
      </x:c>
      <x:c r="E71" s="9" t="str">
        <x:f>IF($N71="","",_xlfn.MINIFS('Activity'!$C$8:$C$1007,'Activity'!$B$8:$B$1007,$A71))</x:f>
      </x:c>
      <x:c r="F71" s="9" t="str">
        <x:f>IF($N71="","",_xlfn.MAXIFS('Activity'!$C$8:$C$1007,'Activity'!$B$8:$B$1007,$A71))</x:f>
      </x:c>
      <x:c r="G71" s="9" t="str">
        <x:f>IF($N71="","",IF(_xlfn.XLOOKUP($N71,'Activity'!$A$8:$A$1007,'Activity'!$J$8:$J$1007,"")=0,"",_xlfn.XLOOKUP($N71,'Activity'!$A$8:$A$1007,'Activity'!$J$8:$J$1007,"")))</x:f>
      </x:c>
      <x:c r="H71" s="8" t="str">
        <x:f>IF($N71="","",IF(_xlfn.XLOOKUP($N71,'Activity'!$A$8:$A$1007,'Activity'!$K$8:$K$1007,"")=0,"",_xlfn.XLOOKUP($N71,'Activity'!$A$8:$A$1007,'Activity'!$K$8:$K$1007,"")))</x:f>
      </x:c>
      <x:c r="I71" s="8" t="str">
        <x:v>https://www.linkedin.com/in/nishita-cummings/</x:v>
      </x:c>
      <x:c r="J71" s="8" t="str">
        <x:v>Batch 04</x:v>
      </x:c>
      <x:c r="K71" s="8" t="str">
        <x:v>Co-Founder and Managing Partner</x:v>
      </x:c>
      <x:c r="L71" s="8" t="str">
        <x:v>outreach-batch-04/research.json</x:v>
      </x:c>
      <x:c r="M71" s="8" t="str">
        <x:v>authenticated LinkedIn header inspected 2026-10-03; matches named firm and location | Senior sponsor; qualify ARR gate first</x:v>
      </x:c>
      <x:c r="N71" s="8" t="str">
        <x:f>IF(COUNTIFS('Activity'!$B$8:$B$1007,$A71)=0,"",_xlfn.MAXIFS('Activity'!$A$8:$A$1007,'Activity'!$B$8:$B$1007,$A71))</x:f>
      </x:c>
      <x:c r="O71" s="8" t="str">
        <x:f>IF($N71="","",IF(_xlfn.XLOOKUP($N71,'Activity'!$A$8:$A$1007,'Activity'!$F$8:$F$1007,"")=0,"",_xlfn.XLOOKUP($N71,'Activity'!$A$8:$A$1007,'Activity'!$F$8:$F$1007,"")))</x:f>
      </x:c>
      <x:c r="P71" s="8" t="str">
        <x:f>IF($N71="","",IF(_xlfn.XLOOKUP($N71,'Activity'!$A$8:$A$1007,'Activity'!$M$8:$M$1007,"")=0,"",_xlfn.XLOOKUP($N71,'Activity'!$A$8:$A$1007,'Activity'!$M$8:$M$1007,"")))</x:f>
      </x:c>
      <x:c r="Q71" s="8" t="str">
        <x:f>IF($N71="","",IF(_xlfn.XLOOKUP($N71,'Activity'!$A$8:$A$1007,'Activity'!$L$8:$L$1007,"")=0,"",_xlfn.XLOOKUP($N71,'Activity'!$A$8:$A$1007,'Activity'!$L$8:$L$1007,"")))</x:f>
      </x:c>
    </x:row>
    <x:row r="72" ht="34" customHeight="1">
      <x:c r="A72" s="8" t="str">
        <x:v>CON-ac496970c2</x:v>
      </x:c>
      <x:c r="B72" s="8" t="str">
        <x:v>Noah Yago</x:v>
      </x:c>
      <x:c r="C72" s="8" t="str">
        <x:v>Cisco Investments</x:v>
      </x:c>
      <x:c r="D72" s="8" t="str">
        <x:f>IF($N72="","No outreach recorded",_xlfn.XLOOKUP($N72,'Activity'!$A$8:$A$1007,'Activity'!$H$8:$H$1007,""))</x:f>
        <x:v>No outreach recorded</x:v>
      </x:c>
      <x:c r="E72" s="9" t="str">
        <x:f>IF($N72="","",_xlfn.MINIFS('Activity'!$C$8:$C$1007,'Activity'!$B$8:$B$1007,$A72))</x:f>
      </x:c>
      <x:c r="F72" s="9" t="str">
        <x:f>IF($N72="","",_xlfn.MAXIFS('Activity'!$C$8:$C$1007,'Activity'!$B$8:$B$1007,$A72))</x:f>
      </x:c>
      <x:c r="G72" s="9" t="str">
        <x:f>IF($N72="","",IF(_xlfn.XLOOKUP($N72,'Activity'!$A$8:$A$1007,'Activity'!$J$8:$J$1007,"")=0,"",_xlfn.XLOOKUP($N72,'Activity'!$A$8:$A$1007,'Activity'!$J$8:$J$1007,"")))</x:f>
      </x:c>
      <x:c r="H72" s="8" t="str">
        <x:f>IF($N72="","",IF(_xlfn.XLOOKUP($N72,'Activity'!$A$8:$A$1007,'Activity'!$K$8:$K$1007,"")=0,"",_xlfn.XLOOKUP($N72,'Activity'!$A$8:$A$1007,'Activity'!$K$8:$K$1007,"")))</x:f>
      </x:c>
      <x:c r="I72" s="8" t="str">
        <x:v>https://www.linkedin.com/in/noahyago/</x:v>
      </x:c>
      <x:c r="J72" s="8" t="str">
        <x:v>Batch 01</x:v>
      </x:c>
      <x:c r="K72" s="8" t="str">
        <x:v>Vice President</x:v>
      </x:c>
      <x:c r="L72" s="8" t="str">
        <x:v>outreach-batch-01/contacts.csv</x:v>
      </x:c>
      <x:c r="M72" s="8" t="str">
        <x:v>Authenticated LinkedIn page read | Public role observed; exact transaction authority not established</x:v>
      </x:c>
      <x:c r="N72" s="8" t="str">
        <x:f>IF(COUNTIFS('Activity'!$B$8:$B$1007,$A72)=0,"",_xlfn.MAXIFS('Activity'!$A$8:$A$1007,'Activity'!$B$8:$B$1007,$A72))</x:f>
      </x:c>
      <x:c r="O72" s="8" t="str">
        <x:f>IF($N72="","",IF(_xlfn.XLOOKUP($N72,'Activity'!$A$8:$A$1007,'Activity'!$F$8:$F$1007,"")=0,"",_xlfn.XLOOKUP($N72,'Activity'!$A$8:$A$1007,'Activity'!$F$8:$F$1007,"")))</x:f>
      </x:c>
      <x:c r="P72" s="8" t="str">
        <x:f>IF($N72="","",IF(_xlfn.XLOOKUP($N72,'Activity'!$A$8:$A$1007,'Activity'!$M$8:$M$1007,"")=0,"",_xlfn.XLOOKUP($N72,'Activity'!$A$8:$A$1007,'Activity'!$M$8:$M$1007,"")))</x:f>
      </x:c>
      <x:c r="Q72" s="8" t="str">
        <x:f>IF($N72="","",IF(_xlfn.XLOOKUP($N72,'Activity'!$A$8:$A$1007,'Activity'!$L$8:$L$1007,"")=0,"",_xlfn.XLOOKUP($N72,'Activity'!$A$8:$A$1007,'Activity'!$L$8:$L$1007,"")))</x:f>
      </x:c>
    </x:row>
    <x:row r="73" ht="34" customHeight="1">
      <x:c r="A73" s="8" t="str">
        <x:v>CON-3108862290</x:v>
      </x:c>
      <x:c r="B73" s="8" t="str">
        <x:v>Ondrej Ruzicka</x:v>
      </x:c>
      <x:c r="C73" s="8" t="str">
        <x:v>Crescent Capital Partners</x:v>
      </x:c>
      <x:c r="D73" s="8" t="str">
        <x:f>IF($N73="","No outreach recorded",_xlfn.XLOOKUP($N73,'Activity'!$A$8:$A$1007,'Activity'!$H$8:$H$1007,""))</x:f>
        <x:v>No outreach recorded</x:v>
      </x:c>
      <x:c r="E73" s="9" t="str">
        <x:f>IF($N73="","",_xlfn.MINIFS('Activity'!$C$8:$C$1007,'Activity'!$B$8:$B$1007,$A73))</x:f>
      </x:c>
      <x:c r="F73" s="9" t="str">
        <x:f>IF($N73="","",_xlfn.MAXIFS('Activity'!$C$8:$C$1007,'Activity'!$B$8:$B$1007,$A73))</x:f>
      </x:c>
      <x:c r="G73" s="9" t="str">
        <x:f>IF($N73="","",IF(_xlfn.XLOOKUP($N73,'Activity'!$A$8:$A$1007,'Activity'!$J$8:$J$1007,"")=0,"",_xlfn.XLOOKUP($N73,'Activity'!$A$8:$A$1007,'Activity'!$J$8:$J$1007,"")))</x:f>
      </x:c>
      <x:c r="H73" s="8" t="str">
        <x:f>IF($N73="","",IF(_xlfn.XLOOKUP($N73,'Activity'!$A$8:$A$1007,'Activity'!$K$8:$K$1007,"")=0,"",_xlfn.XLOOKUP($N73,'Activity'!$A$8:$A$1007,'Activity'!$K$8:$K$1007,"")))</x:f>
      </x:c>
      <x:c r="I73" s="8" t="str">
        <x:v>https://www.linkedin.com/in/ondrej-ruzicka-759a556/</x:v>
      </x:c>
      <x:c r="J73" s="8" t="str">
        <x:v>Batch 03</x:v>
      </x:c>
      <x:c r="K73" s="8" t="str">
        <x:v>Managing Partner Crescent Growth; complementary route if company scale requires the smaller-investment strategy</x:v>
      </x:c>
      <x:c r="L73" s="8" t="str">
        <x:v>outreach-batch-03/leads/crescent-capital-partners.md</x:v>
      </x:c>
      <x:c r="M73" s="8" t="str">
        <x:v>Role from official team page; public profile identifies Crescent. Published background is consumer/healthcare, so do not assume software specialism | Batch 03 suggested contact; transaction authority and interest unconfirmed.</x:v>
      </x:c>
      <x:c r="N73" s="8" t="str">
        <x:f>IF(COUNTIFS('Activity'!$B$8:$B$1007,$A73)=0,"",_xlfn.MAXIFS('Activity'!$A$8:$A$1007,'Activity'!$B$8:$B$1007,$A73))</x:f>
      </x:c>
      <x:c r="O73" s="8" t="str">
        <x:f>IF($N73="","",IF(_xlfn.XLOOKUP($N73,'Activity'!$A$8:$A$1007,'Activity'!$F$8:$F$1007,"")=0,"",_xlfn.XLOOKUP($N73,'Activity'!$A$8:$A$1007,'Activity'!$F$8:$F$1007,"")))</x:f>
      </x:c>
      <x:c r="P73" s="8" t="str">
        <x:f>IF($N73="","",IF(_xlfn.XLOOKUP($N73,'Activity'!$A$8:$A$1007,'Activity'!$M$8:$M$1007,"")=0,"",_xlfn.XLOOKUP($N73,'Activity'!$A$8:$A$1007,'Activity'!$M$8:$M$1007,"")))</x:f>
      </x:c>
      <x:c r="Q73" s="8" t="str">
        <x:f>IF($N73="","",IF(_xlfn.XLOOKUP($N73,'Activity'!$A$8:$A$1007,'Activity'!$L$8:$L$1007,"")=0,"",_xlfn.XLOOKUP($N73,'Activity'!$A$8:$A$1007,'Activity'!$L$8:$L$1007,"")))</x:f>
      </x:c>
    </x:row>
    <x:row r="74" ht="34" customHeight="1">
      <x:c r="A74" s="8" t="str">
        <x:v>CON-7292c6d26c</x:v>
      </x:c>
      <x:c r="B74" s="8" t="str">
        <x:v>Peng Xiao</x:v>
      </x:c>
      <x:c r="C74" s="8" t="str">
        <x:v>G42</x:v>
      </x:c>
      <x:c r="D74" s="8" t="str">
        <x:f>IF($N74="","No outreach recorded",_xlfn.XLOOKUP($N74,'Activity'!$A$8:$A$1007,'Activity'!$H$8:$H$1007,""))</x:f>
        <x:v>No outreach recorded</x:v>
      </x:c>
      <x:c r="E74" s="9" t="str">
        <x:f>IF($N74="","",_xlfn.MINIFS('Activity'!$C$8:$C$1007,'Activity'!$B$8:$B$1007,$A74))</x:f>
      </x:c>
      <x:c r="F74" s="9" t="str">
        <x:f>IF($N74="","",_xlfn.MAXIFS('Activity'!$C$8:$C$1007,'Activity'!$B$8:$B$1007,$A74))</x:f>
      </x:c>
      <x:c r="G74" s="9" t="str">
        <x:f>IF($N74="","",IF(_xlfn.XLOOKUP($N74,'Activity'!$A$8:$A$1007,'Activity'!$J$8:$J$1007,"")=0,"",_xlfn.XLOOKUP($N74,'Activity'!$A$8:$A$1007,'Activity'!$J$8:$J$1007,"")))</x:f>
      </x:c>
      <x:c r="H74" s="8" t="str">
        <x:f>IF($N74="","",IF(_xlfn.XLOOKUP($N74,'Activity'!$A$8:$A$1007,'Activity'!$K$8:$K$1007,"")=0,"",_xlfn.XLOOKUP($N74,'Activity'!$A$8:$A$1007,'Activity'!$K$8:$K$1007,"")))</x:f>
      </x:c>
      <x:c r="I74" s="8" t="str">
        <x:v>https://www.linkedin.com/in/reachpeng/</x:v>
      </x:c>
      <x:c r="J74" s="8" t="str">
        <x:v>Batch 01; Batch 02</x:v>
      </x:c>
      <x:c r="K74" s="8" t="str">
        <x:v>Group Chief Executive Officer</x:v>
      </x:c>
      <x:c r="L74" s="8" t="str">
        <x:v>outreach-batch-01/contacts.csv; outreach-batch-02/contacts.csv</x:v>
      </x:c>
      <x:c r="M74" s="8" t="str">
        <x:v>Authenticated LinkedIn page read | Public role observed; exact transaction authority not established</x:v>
      </x:c>
      <x:c r="N74" s="8" t="str">
        <x:f>IF(COUNTIFS('Activity'!$B$8:$B$1007,$A74)=0,"",_xlfn.MAXIFS('Activity'!$A$8:$A$1007,'Activity'!$B$8:$B$1007,$A74))</x:f>
      </x:c>
      <x:c r="O74" s="8" t="str">
        <x:f>IF($N74="","",IF(_xlfn.XLOOKUP($N74,'Activity'!$A$8:$A$1007,'Activity'!$F$8:$F$1007,"")=0,"",_xlfn.XLOOKUP($N74,'Activity'!$A$8:$A$1007,'Activity'!$F$8:$F$1007,"")))</x:f>
      </x:c>
      <x:c r="P74" s="8" t="str">
        <x:f>IF($N74="","",IF(_xlfn.XLOOKUP($N74,'Activity'!$A$8:$A$1007,'Activity'!$M$8:$M$1007,"")=0,"",_xlfn.XLOOKUP($N74,'Activity'!$A$8:$A$1007,'Activity'!$M$8:$M$1007,"")))</x:f>
      </x:c>
      <x:c r="Q74" s="8" t="str">
        <x:f>IF($N74="","",IF(_xlfn.XLOOKUP($N74,'Activity'!$A$8:$A$1007,'Activity'!$L$8:$L$1007,"")=0,"",_xlfn.XLOOKUP($N74,'Activity'!$A$8:$A$1007,'Activity'!$L$8:$L$1007,"")))</x:f>
      </x:c>
    </x:row>
    <x:row r="75" ht="34" customHeight="1">
      <x:c r="A75" s="8" t="str">
        <x:v>CON-d0f294fb7a</x:v>
      </x:c>
      <x:c r="B75" s="8" t="str">
        <x:v>Peter Chung</x:v>
      </x:c>
      <x:c r="C75" s="8" t="str">
        <x:v>Marlin Equity Partners</x:v>
      </x:c>
      <x:c r="D75" s="8" t="str">
        <x:f>IF($N75="","No outreach recorded",_xlfn.XLOOKUP($N75,'Activity'!$A$8:$A$1007,'Activity'!$H$8:$H$1007,""))</x:f>
        <x:v>No outreach recorded</x:v>
      </x:c>
      <x:c r="E75" s="9" t="str">
        <x:f>IF($N75="","",_xlfn.MINIFS('Activity'!$C$8:$C$1007,'Activity'!$B$8:$B$1007,$A75))</x:f>
      </x:c>
      <x:c r="F75" s="9" t="str">
        <x:f>IF($N75="","",_xlfn.MAXIFS('Activity'!$C$8:$C$1007,'Activity'!$B$8:$B$1007,$A75))</x:f>
      </x:c>
      <x:c r="G75" s="9" t="str">
        <x:f>IF($N75="","",IF(_xlfn.XLOOKUP($N75,'Activity'!$A$8:$A$1007,'Activity'!$J$8:$J$1007,"")=0,"",_xlfn.XLOOKUP($N75,'Activity'!$A$8:$A$1007,'Activity'!$J$8:$J$1007,"")))</x:f>
      </x:c>
      <x:c r="H75" s="8" t="str">
        <x:f>IF($N75="","",IF(_xlfn.XLOOKUP($N75,'Activity'!$A$8:$A$1007,'Activity'!$K$8:$K$1007,"")=0,"",_xlfn.XLOOKUP($N75,'Activity'!$A$8:$A$1007,'Activity'!$K$8:$K$1007,"")))</x:f>
      </x:c>
      <x:c r="I75" s="8" t="str">
        <x:v>https://www.linkedin.com/in/petergchung/</x:v>
      </x:c>
      <x:c r="J75" s="8" t="str">
        <x:v>Batch 04</x:v>
      </x:c>
      <x:c r="K75" s="8" t="str">
        <x:v>Managing Director</x:v>
      </x:c>
      <x:c r="L75" s="8" t="str">
        <x:v>outreach-batch-04/research.json</x:v>
      </x:c>
      <x:c r="M75" s="8" t="str">
        <x:v>authenticated LinkedIn header inspected 2026-10-03; matches named firm and location | Investment evaluation and execution; useful alternative entry</x:v>
      </x:c>
      <x:c r="N75" s="8" t="str">
        <x:f>IF(COUNTIFS('Activity'!$B$8:$B$1007,$A75)=0,"",_xlfn.MAXIFS('Activity'!$A$8:$A$1007,'Activity'!$B$8:$B$1007,$A75))</x:f>
      </x:c>
      <x:c r="O75" s="8" t="str">
        <x:f>IF($N75="","",IF(_xlfn.XLOOKUP($N75,'Activity'!$A$8:$A$1007,'Activity'!$F$8:$F$1007,"")=0,"",_xlfn.XLOOKUP($N75,'Activity'!$A$8:$A$1007,'Activity'!$F$8:$F$1007,"")))</x:f>
      </x:c>
      <x:c r="P75" s="8" t="str">
        <x:f>IF($N75="","",IF(_xlfn.XLOOKUP($N75,'Activity'!$A$8:$A$1007,'Activity'!$M$8:$M$1007,"")=0,"",_xlfn.XLOOKUP($N75,'Activity'!$A$8:$A$1007,'Activity'!$M$8:$M$1007,"")))</x:f>
      </x:c>
      <x:c r="Q75" s="8" t="str">
        <x:f>IF($N75="","",IF(_xlfn.XLOOKUP($N75,'Activity'!$A$8:$A$1007,'Activity'!$L$8:$L$1007,"")=0,"",_xlfn.XLOOKUP($N75,'Activity'!$A$8:$A$1007,'Activity'!$L$8:$L$1007,"")))</x:f>
      </x:c>
    </x:row>
    <x:row r="76" ht="34" customHeight="1">
      <x:c r="A76" s="8" t="str">
        <x:v>CON-7d3ebebf29</x:v>
      </x:c>
      <x:c r="B76" s="8" t="str">
        <x:v>Peter Scrine</x:v>
      </x:c>
      <x:c r="C76" s="8" t="str">
        <x:v>Crescent Capital Partners</x:v>
      </x:c>
      <x:c r="D76" s="8" t="str">
        <x:f>IF($N76="","No outreach recorded",_xlfn.XLOOKUP($N76,'Activity'!$A$8:$A$1007,'Activity'!$H$8:$H$1007,""))</x:f>
        <x:v>No outreach recorded</x:v>
      </x:c>
      <x:c r="E76" s="9" t="str">
        <x:f>IF($N76="","",_xlfn.MINIFS('Activity'!$C$8:$C$1007,'Activity'!$B$8:$B$1007,$A76))</x:f>
      </x:c>
      <x:c r="F76" s="9" t="str">
        <x:f>IF($N76="","",_xlfn.MAXIFS('Activity'!$C$8:$C$1007,'Activity'!$B$8:$B$1007,$A76))</x:f>
      </x:c>
      <x:c r="G76" s="9" t="str">
        <x:f>IF($N76="","",IF(_xlfn.XLOOKUP($N76,'Activity'!$A$8:$A$1007,'Activity'!$J$8:$J$1007,"")=0,"",_xlfn.XLOOKUP($N76,'Activity'!$A$8:$A$1007,'Activity'!$J$8:$J$1007,"")))</x:f>
      </x:c>
      <x:c r="H76" s="8" t="str">
        <x:f>IF($N76="","",IF(_xlfn.XLOOKUP($N76,'Activity'!$A$8:$A$1007,'Activity'!$K$8:$K$1007,"")=0,"",_xlfn.XLOOKUP($N76,'Activity'!$A$8:$A$1007,'Activity'!$K$8:$K$1007,"")))</x:f>
      </x:c>
      <x:c r="I76" s="8" t="str">
        <x:v>https://www.linkedin.com/in/peterscrine/</x:v>
      </x:c>
      <x:c r="J76" s="8" t="str">
        <x:v>Batch 03</x:v>
      </x:c>
      <x:c r="K76" s="8" t="str">
        <x:v>Director Business Development; sourcing and founder-partnership discussion route</x:v>
      </x:c>
      <x:c r="L76" s="8" t="str">
        <x:v>outreach-batch-03/leads/crescent-capital-partners.md</x:v>
      </x:c>
      <x:c r="M76" s="8" t="str">
        <x:v>Official role and indexed public profile/comments checked; no personal connection or current deal mandate established | Batch 03 suggested contact; transaction authority and interest unconfirmed.</x:v>
      </x:c>
      <x:c r="N76" s="8" t="str">
        <x:f>IF(COUNTIFS('Activity'!$B$8:$B$1007,$A76)=0,"",_xlfn.MAXIFS('Activity'!$A$8:$A$1007,'Activity'!$B$8:$B$1007,$A76))</x:f>
      </x:c>
      <x:c r="O76" s="8" t="str">
        <x:f>IF($N76="","",IF(_xlfn.XLOOKUP($N76,'Activity'!$A$8:$A$1007,'Activity'!$F$8:$F$1007,"")=0,"",_xlfn.XLOOKUP($N76,'Activity'!$A$8:$A$1007,'Activity'!$F$8:$F$1007,"")))</x:f>
      </x:c>
      <x:c r="P76" s="8" t="str">
        <x:f>IF($N76="","",IF(_xlfn.XLOOKUP($N76,'Activity'!$A$8:$A$1007,'Activity'!$M$8:$M$1007,"")=0,"",_xlfn.XLOOKUP($N76,'Activity'!$A$8:$A$1007,'Activity'!$M$8:$M$1007,"")))</x:f>
      </x:c>
      <x:c r="Q76" s="8" t="str">
        <x:f>IF($N76="","",IF(_xlfn.XLOOKUP($N76,'Activity'!$A$8:$A$1007,'Activity'!$L$8:$L$1007,"")=0,"",_xlfn.XLOOKUP($N76,'Activity'!$A$8:$A$1007,'Activity'!$L$8:$L$1007,"")))</x:f>
      </x:c>
    </x:row>
    <x:row r="77" ht="34" customHeight="1">
      <x:c r="A77" s="8" t="str">
        <x:v>CON-9e71012cee</x:v>
      </x:c>
      <x:c r="B77" s="8" t="str">
        <x:v>Philip Kirk</x:v>
      </x:c>
      <x:c r="C77" s="8" t="str">
        <x:v>Databricks Ventures</x:v>
      </x:c>
      <x:c r="D77" s="8" t="str">
        <x:f>IF($N77="","No outreach recorded",_xlfn.XLOOKUP($N77,'Activity'!$A$8:$A$1007,'Activity'!$H$8:$H$1007,""))</x:f>
        <x:v>No outreach recorded</x:v>
      </x:c>
      <x:c r="E77" s="9" t="str">
        <x:f>IF($N77="","",_xlfn.MINIFS('Activity'!$C$8:$C$1007,'Activity'!$B$8:$B$1007,$A77))</x:f>
      </x:c>
      <x:c r="F77" s="9" t="str">
        <x:f>IF($N77="","",_xlfn.MAXIFS('Activity'!$C$8:$C$1007,'Activity'!$B$8:$B$1007,$A77))</x:f>
      </x:c>
      <x:c r="G77" s="9" t="str">
        <x:f>IF($N77="","",IF(_xlfn.XLOOKUP($N77,'Activity'!$A$8:$A$1007,'Activity'!$J$8:$J$1007,"")=0,"",_xlfn.XLOOKUP($N77,'Activity'!$A$8:$A$1007,'Activity'!$J$8:$J$1007,"")))</x:f>
      </x:c>
      <x:c r="H77" s="8" t="str">
        <x:f>IF($N77="","",IF(_xlfn.XLOOKUP($N77,'Activity'!$A$8:$A$1007,'Activity'!$K$8:$K$1007,"")=0,"",_xlfn.XLOOKUP($N77,'Activity'!$A$8:$A$1007,'Activity'!$K$8:$K$1007,"")))</x:f>
      </x:c>
      <x:c r="I77" s="8" t="str">
        <x:v>https://www.linkedin.com/in/philipjkirk/</x:v>
      </x:c>
      <x:c r="J77" s="8" t="str">
        <x:v>Batch 01</x:v>
      </x:c>
      <x:c r="K77" s="8" t="str">
        <x:v>SVP, Corporate Development &amp; Venture Investments</x:v>
      </x:c>
      <x:c r="L77" s="8" t="str">
        <x:v>outreach-batch-01/contacts.csv</x:v>
      </x:c>
      <x:c r="M77" s="8" t="str">
        <x:v>Authenticated LinkedIn page read | Public role observed; exact transaction authority not established</x:v>
      </x:c>
      <x:c r="N77" s="8" t="str">
        <x:f>IF(COUNTIFS('Activity'!$B$8:$B$1007,$A77)=0,"",_xlfn.MAXIFS('Activity'!$A$8:$A$1007,'Activity'!$B$8:$B$1007,$A77))</x:f>
      </x:c>
      <x:c r="O77" s="8" t="str">
        <x:f>IF($N77="","",IF(_xlfn.XLOOKUP($N77,'Activity'!$A$8:$A$1007,'Activity'!$F$8:$F$1007,"")=0,"",_xlfn.XLOOKUP($N77,'Activity'!$A$8:$A$1007,'Activity'!$F$8:$F$1007,"")))</x:f>
      </x:c>
      <x:c r="P77" s="8" t="str">
        <x:f>IF($N77="","",IF(_xlfn.XLOOKUP($N77,'Activity'!$A$8:$A$1007,'Activity'!$M$8:$M$1007,"")=0,"",_xlfn.XLOOKUP($N77,'Activity'!$A$8:$A$1007,'Activity'!$M$8:$M$1007,"")))</x:f>
      </x:c>
      <x:c r="Q77" s="8" t="str">
        <x:f>IF($N77="","",IF(_xlfn.XLOOKUP($N77,'Activity'!$A$8:$A$1007,'Activity'!$L$8:$L$1007,"")=0,"",_xlfn.XLOOKUP($N77,'Activity'!$A$8:$A$1007,'Activity'!$L$8:$L$1007,"")))</x:f>
      </x:c>
    </x:row>
    <x:row r="78" ht="34" customHeight="1">
      <x:c r="A78" s="8" t="str">
        <x:v>CON-7b9d851e82</x:v>
      </x:c>
      <x:c r="B78" s="8" t="str">
        <x:v>Radek Sali</x:v>
      </x:c>
      <x:c r="C78" s="8" t="str">
        <x:v>Light Warrior</x:v>
      </x:c>
      <x:c r="D78" s="8" t="str">
        <x:f>IF($N78="","No outreach recorded",_xlfn.XLOOKUP($N78,'Activity'!$A$8:$A$1007,'Activity'!$H$8:$H$1007,""))</x:f>
        <x:v>No outreach recorded</x:v>
      </x:c>
      <x:c r="E78" s="9" t="str">
        <x:f>IF($N78="","",_xlfn.MINIFS('Activity'!$C$8:$C$1007,'Activity'!$B$8:$B$1007,$A78))</x:f>
      </x:c>
      <x:c r="F78" s="9" t="str">
        <x:f>IF($N78="","",_xlfn.MAXIFS('Activity'!$C$8:$C$1007,'Activity'!$B$8:$B$1007,$A78))</x:f>
      </x:c>
      <x:c r="G78" s="9" t="str">
        <x:f>IF($N78="","",IF(_xlfn.XLOOKUP($N78,'Activity'!$A$8:$A$1007,'Activity'!$J$8:$J$1007,"")=0,"",_xlfn.XLOOKUP($N78,'Activity'!$A$8:$A$1007,'Activity'!$J$8:$J$1007,"")))</x:f>
      </x:c>
      <x:c r="H78" s="8" t="str">
        <x:f>IF($N78="","",IF(_xlfn.XLOOKUP($N78,'Activity'!$A$8:$A$1007,'Activity'!$K$8:$K$1007,"")=0,"",_xlfn.XLOOKUP($N78,'Activity'!$A$8:$A$1007,'Activity'!$K$8:$K$1007,"")))</x:f>
      </x:c>
      <x:c r="I78" s="8" t="str">
        <x:v>https://www.linkedin.com/in/radeksali/</x:v>
      </x:c>
      <x:c r="J78" s="8" t="str">
        <x:v>Batch 03</x:v>
      </x:c>
      <x:c r="K78" s="8" t="str">
        <x:v>Founder / Executive Chairman; senior strategic-conviction route after initial fit qualification</x:v>
      </x:c>
      <x:c r="L78" s="8" t="str">
        <x:v>outreach-batch-03/leads/light-warrior.md</x:v>
      </x:c>
      <x:c r="M78" s="8" t="str">
        <x:v>Role from official team page. Locator is published in the [14 August 2023 Buy Grow Sell interview notes](https://buygrowsell.com/podcast/how-swisse-wellness-group-got-acquired-for-1-7b-by-an-international-buyer/); direct LinkedIn fetch was blocked. Current profile identity/content must be reconfirmed before use | Batch 03 suggested contact; transaction authority and interest unconfirmed.</x:v>
      </x:c>
      <x:c r="N78" s="8" t="str">
        <x:f>IF(COUNTIFS('Activity'!$B$8:$B$1007,$A78)=0,"",_xlfn.MAXIFS('Activity'!$A$8:$A$1007,'Activity'!$B$8:$B$1007,$A78))</x:f>
      </x:c>
      <x:c r="O78" s="8" t="str">
        <x:f>IF($N78="","",IF(_xlfn.XLOOKUP($N78,'Activity'!$A$8:$A$1007,'Activity'!$F$8:$F$1007,"")=0,"",_xlfn.XLOOKUP($N78,'Activity'!$A$8:$A$1007,'Activity'!$F$8:$F$1007,"")))</x:f>
      </x:c>
      <x:c r="P78" s="8" t="str">
        <x:f>IF($N78="","",IF(_xlfn.XLOOKUP($N78,'Activity'!$A$8:$A$1007,'Activity'!$M$8:$M$1007,"")=0,"",_xlfn.XLOOKUP($N78,'Activity'!$A$8:$A$1007,'Activity'!$M$8:$M$1007,"")))</x:f>
      </x:c>
      <x:c r="Q78" s="8" t="str">
        <x:f>IF($N78="","",IF(_xlfn.XLOOKUP($N78,'Activity'!$A$8:$A$1007,'Activity'!$L$8:$L$1007,"")=0,"",_xlfn.XLOOKUP($N78,'Activity'!$A$8:$A$1007,'Activity'!$L$8:$L$1007,"")))</x:f>
      </x:c>
    </x:row>
    <x:row r="79" ht="34" customHeight="1">
      <x:c r="A79" s="8" t="str">
        <x:v>CON-8a185e50c1</x:v>
      </x:c>
      <x:c r="B79" s="8" t="str">
        <x:v>Ran Ding</x:v>
      </x:c>
      <x:c r="C79" s="8" t="str">
        <x:v>Norwest</x:v>
      </x:c>
      <x:c r="D79" s="8" t="str">
        <x:f>IF($N79="","No outreach recorded",_xlfn.XLOOKUP($N79,'Activity'!$A$8:$A$1007,'Activity'!$H$8:$H$1007,""))</x:f>
        <x:v>No outreach recorded</x:v>
      </x:c>
      <x:c r="E79" s="9" t="str">
        <x:f>IF($N79="","",_xlfn.MINIFS('Activity'!$C$8:$C$1007,'Activity'!$B$8:$B$1007,$A79))</x:f>
      </x:c>
      <x:c r="F79" s="9" t="str">
        <x:f>IF($N79="","",_xlfn.MAXIFS('Activity'!$C$8:$C$1007,'Activity'!$B$8:$B$1007,$A79))</x:f>
      </x:c>
      <x:c r="G79" s="9" t="str">
        <x:f>IF($N79="","",IF(_xlfn.XLOOKUP($N79,'Activity'!$A$8:$A$1007,'Activity'!$J$8:$J$1007,"")=0,"",_xlfn.XLOOKUP($N79,'Activity'!$A$8:$A$1007,'Activity'!$J$8:$J$1007,"")))</x:f>
      </x:c>
      <x:c r="H79" s="8" t="str">
        <x:f>IF($N79="","",IF(_xlfn.XLOOKUP($N79,'Activity'!$A$8:$A$1007,'Activity'!$K$8:$K$1007,"")=0,"",_xlfn.XLOOKUP($N79,'Activity'!$A$8:$A$1007,'Activity'!$K$8:$K$1007,"")))</x:f>
      </x:c>
      <x:c r="I79" s="8" t="str">
        <x:v>https://www.linkedin.com/in/randing/</x:v>
      </x:c>
      <x:c r="J79" s="8" t="str">
        <x:v>Batch 03</x:v>
      </x:c>
      <x:c r="K79" s="8" t="str">
        <x:v>General Partner; co-leads B2B growth equity in software/data/services. Suggested first route for compliance, public-sector workflows and transaction qualification</x:v>
      </x:c>
      <x:c r="L79" s="8" t="str">
        <x:v>outreach-batch-03/leads/norwest.md</x:v>
      </x:c>
      <x:c r="M79" s="8" t="str">
        <x:v>Official role/focus; indexed LinkedIn name, Norwest, Menlo Park and Cornell education align. Full authenticated profile not inspected | Batch 03 suggested contact; transaction authority and interest unconfirmed.</x:v>
      </x:c>
      <x:c r="N79" s="8" t="str">
        <x:f>IF(COUNTIFS('Activity'!$B$8:$B$1007,$A79)=0,"",_xlfn.MAXIFS('Activity'!$A$8:$A$1007,'Activity'!$B$8:$B$1007,$A79))</x:f>
      </x:c>
      <x:c r="O79" s="8" t="str">
        <x:f>IF($N79="","",IF(_xlfn.XLOOKUP($N79,'Activity'!$A$8:$A$1007,'Activity'!$F$8:$F$1007,"")=0,"",_xlfn.XLOOKUP($N79,'Activity'!$A$8:$A$1007,'Activity'!$F$8:$F$1007,"")))</x:f>
      </x:c>
      <x:c r="P79" s="8" t="str">
        <x:f>IF($N79="","",IF(_xlfn.XLOOKUP($N79,'Activity'!$A$8:$A$1007,'Activity'!$M$8:$M$1007,"")=0,"",_xlfn.XLOOKUP($N79,'Activity'!$A$8:$A$1007,'Activity'!$M$8:$M$1007,"")))</x:f>
      </x:c>
      <x:c r="Q79" s="8" t="str">
        <x:f>IF($N79="","",IF(_xlfn.XLOOKUP($N79,'Activity'!$A$8:$A$1007,'Activity'!$L$8:$L$1007,"")=0,"",_xlfn.XLOOKUP($N79,'Activity'!$A$8:$A$1007,'Activity'!$L$8:$L$1007,"")))</x:f>
      </x:c>
    </x:row>
    <x:row r="80" ht="34" customHeight="1">
      <x:c r="A80" s="8" t="str">
        <x:v>CON-1de066f236</x:v>
      </x:c>
      <x:c r="B80" s="8" t="str">
        <x:v>Ravi Mhatre</x:v>
      </x:c>
      <x:c r="C80" s="8" t="str">
        <x:v>Lightspeed Venture Partners</x:v>
      </x:c>
      <x:c r="D80" s="8" t="str">
        <x:f>IF($N80="","No outreach recorded",_xlfn.XLOOKUP($N80,'Activity'!$A$8:$A$1007,'Activity'!$H$8:$H$1007,""))</x:f>
        <x:v>No outreach recorded</x:v>
      </x:c>
      <x:c r="E80" s="9" t="str">
        <x:f>IF($N80="","",_xlfn.MINIFS('Activity'!$C$8:$C$1007,'Activity'!$B$8:$B$1007,$A80))</x:f>
      </x:c>
      <x:c r="F80" s="9" t="str">
        <x:f>IF($N80="","",_xlfn.MAXIFS('Activity'!$C$8:$C$1007,'Activity'!$B$8:$B$1007,$A80))</x:f>
      </x:c>
      <x:c r="G80" s="9" t="str">
        <x:f>IF($N80="","",IF(_xlfn.XLOOKUP($N80,'Activity'!$A$8:$A$1007,'Activity'!$J$8:$J$1007,"")=0,"",_xlfn.XLOOKUP($N80,'Activity'!$A$8:$A$1007,'Activity'!$J$8:$J$1007,"")))</x:f>
      </x:c>
      <x:c r="H80" s="8" t="str">
        <x:f>IF($N80="","",IF(_xlfn.XLOOKUP($N80,'Activity'!$A$8:$A$1007,'Activity'!$K$8:$K$1007,"")=0,"",_xlfn.XLOOKUP($N80,'Activity'!$A$8:$A$1007,'Activity'!$K$8:$K$1007,"")))</x:f>
      </x:c>
      <x:c r="I80" s="8" t="str">
        <x:v>https://www.linkedin.com/in/ravimhatre/</x:v>
      </x:c>
      <x:c r="J80" s="8" t="str">
        <x:v>Batch 03</x:v>
      </x:c>
      <x:c r="K80" s="8" t="str">
        <x:v>Senior enterprise/infrastructure sponsor; Temporal announcement co-author</x:v>
      </x:c>
      <x:c r="L80" s="8" t="str">
        <x:v>outreach-batch-03/leads/lightspeed-venture-partners.md</x:v>
      </x:c>
      <x:c r="M80" s="8" t="str">
        <x:v>Current biography lists Partner &amp; Co-Founder, Menlo Park; indexed profile matches the firm | Batch 03 suggested contact; transaction authority and interest unconfirmed.</x:v>
      </x:c>
      <x:c r="N80" s="8" t="str">
        <x:f>IF(COUNTIFS('Activity'!$B$8:$B$1007,$A80)=0,"",_xlfn.MAXIFS('Activity'!$A$8:$A$1007,'Activity'!$B$8:$B$1007,$A80))</x:f>
      </x:c>
      <x:c r="O80" s="8" t="str">
        <x:f>IF($N80="","",IF(_xlfn.XLOOKUP($N80,'Activity'!$A$8:$A$1007,'Activity'!$F$8:$F$1007,"")=0,"",_xlfn.XLOOKUP($N80,'Activity'!$A$8:$A$1007,'Activity'!$F$8:$F$1007,"")))</x:f>
      </x:c>
      <x:c r="P80" s="8" t="str">
        <x:f>IF($N80="","",IF(_xlfn.XLOOKUP($N80,'Activity'!$A$8:$A$1007,'Activity'!$M$8:$M$1007,"")=0,"",_xlfn.XLOOKUP($N80,'Activity'!$A$8:$A$1007,'Activity'!$M$8:$M$1007,"")))</x:f>
      </x:c>
      <x:c r="Q80" s="8" t="str">
        <x:f>IF($N80="","",IF(_xlfn.XLOOKUP($N80,'Activity'!$A$8:$A$1007,'Activity'!$L$8:$L$1007,"")=0,"",_xlfn.XLOOKUP($N80,'Activity'!$A$8:$A$1007,'Activity'!$L$8:$L$1007,"")))</x:f>
      </x:c>
    </x:row>
    <x:row r="81" ht="34" customHeight="1">
      <x:c r="A81" s="8" t="str">
        <x:v>CON-ed5b72a468</x:v>
      </x:c>
      <x:c r="B81" s="8" t="str">
        <x:v>Riyadh Muawad</x:v>
      </x:c>
      <x:c r="C81" s="8" t="str">
        <x:v>stc Group</x:v>
      </x:c>
      <x:c r="D81" s="8" t="str">
        <x:f>IF($N81="","No outreach recorded",_xlfn.XLOOKUP($N81,'Activity'!$A$8:$A$1007,'Activity'!$H$8:$H$1007,""))</x:f>
        <x:v>No outreach recorded</x:v>
      </x:c>
      <x:c r="E81" s="9" t="str">
        <x:f>IF($N81="","",_xlfn.MINIFS('Activity'!$C$8:$C$1007,'Activity'!$B$8:$B$1007,$A81))</x:f>
      </x:c>
      <x:c r="F81" s="9" t="str">
        <x:f>IF($N81="","",_xlfn.MAXIFS('Activity'!$C$8:$C$1007,'Activity'!$B$8:$B$1007,$A81))</x:f>
      </x:c>
      <x:c r="G81" s="9" t="str">
        <x:f>IF($N81="","",IF(_xlfn.XLOOKUP($N81,'Activity'!$A$8:$A$1007,'Activity'!$J$8:$J$1007,"")=0,"",_xlfn.XLOOKUP($N81,'Activity'!$A$8:$A$1007,'Activity'!$J$8:$J$1007,"")))</x:f>
      </x:c>
      <x:c r="H81" s="8" t="str">
        <x:f>IF($N81="","",IF(_xlfn.XLOOKUP($N81,'Activity'!$A$8:$A$1007,'Activity'!$K$8:$K$1007,"")=0,"",_xlfn.XLOOKUP($N81,'Activity'!$A$8:$A$1007,'Activity'!$K$8:$K$1007,"")))</x:f>
      </x:c>
      <x:c r="I81" s="8" t="str">
        <x:v>https://www.linkedin.com/in/riyadhmuawad/</x:v>
      </x:c>
      <x:c r="J81" s="8" t="str">
        <x:v>Batch 01; Batch 02</x:v>
      </x:c>
      <x:c r="K81" s="8" t="str">
        <x:v>Group Chief Business Officer</x:v>
      </x:c>
      <x:c r="L81" s="8" t="str">
        <x:v>outreach-batch-01/contacts.csv; outreach-batch-02/contacts.csv</x:v>
      </x:c>
      <x:c r="M81" s="8" t="str">
        <x:v>Authenticated LinkedIn page read | Public role observed; exact transaction authority not established</x:v>
      </x:c>
      <x:c r="N81" s="8" t="str">
        <x:f>IF(COUNTIFS('Activity'!$B$8:$B$1007,$A81)=0,"",_xlfn.MAXIFS('Activity'!$A$8:$A$1007,'Activity'!$B$8:$B$1007,$A81))</x:f>
      </x:c>
      <x:c r="O81" s="8" t="str">
        <x:f>IF($N81="","",IF(_xlfn.XLOOKUP($N81,'Activity'!$A$8:$A$1007,'Activity'!$F$8:$F$1007,"")=0,"",_xlfn.XLOOKUP($N81,'Activity'!$A$8:$A$1007,'Activity'!$F$8:$F$1007,"")))</x:f>
      </x:c>
      <x:c r="P81" s="8" t="str">
        <x:f>IF($N81="","",IF(_xlfn.XLOOKUP($N81,'Activity'!$A$8:$A$1007,'Activity'!$M$8:$M$1007,"")=0,"",_xlfn.XLOOKUP($N81,'Activity'!$A$8:$A$1007,'Activity'!$M$8:$M$1007,"")))</x:f>
      </x:c>
      <x:c r="Q81" s="8" t="str">
        <x:f>IF($N81="","",IF(_xlfn.XLOOKUP($N81,'Activity'!$A$8:$A$1007,'Activity'!$L$8:$L$1007,"")=0,"",_xlfn.XLOOKUP($N81,'Activity'!$A$8:$A$1007,'Activity'!$L$8:$L$1007,"")))</x:f>
      </x:c>
    </x:row>
    <x:row r="82" ht="34" customHeight="1">
      <x:c r="A82" s="8" t="str">
        <x:v>CON-3b167649e4</x:v>
      </x:c>
      <x:c r="B82" s="8" t="str">
        <x:v>Ron Cano</x:v>
      </x:c>
      <x:c r="C82" s="8" t="str">
        <x:v>K1 Investment Management</x:v>
      </x:c>
      <x:c r="D82" s="8" t="str">
        <x:f>IF($N82="","No outreach recorded",_xlfn.XLOOKUP($N82,'Activity'!$A$8:$A$1007,'Activity'!$H$8:$H$1007,""))</x:f>
        <x:v>No outreach recorded</x:v>
      </x:c>
      <x:c r="E82" s="9" t="str">
        <x:f>IF($N82="","",_xlfn.MINIFS('Activity'!$C$8:$C$1007,'Activity'!$B$8:$B$1007,$A82))</x:f>
      </x:c>
      <x:c r="F82" s="9" t="str">
        <x:f>IF($N82="","",_xlfn.MAXIFS('Activity'!$C$8:$C$1007,'Activity'!$B$8:$B$1007,$A82))</x:f>
      </x:c>
      <x:c r="G82" s="9" t="str">
        <x:f>IF($N82="","",IF(_xlfn.XLOOKUP($N82,'Activity'!$A$8:$A$1007,'Activity'!$J$8:$J$1007,"")=0,"",_xlfn.XLOOKUP($N82,'Activity'!$A$8:$A$1007,'Activity'!$J$8:$J$1007,"")))</x:f>
      </x:c>
      <x:c r="H82" s="8" t="str">
        <x:f>IF($N82="","",IF(_xlfn.XLOOKUP($N82,'Activity'!$A$8:$A$1007,'Activity'!$K$8:$K$1007,"")=0,"",_xlfn.XLOOKUP($N82,'Activity'!$A$8:$A$1007,'Activity'!$K$8:$K$1007,"")))</x:f>
      </x:c>
      <x:c r="I82" s="8" t="str">
        <x:v>https://www.linkedin.com/in/ron-cano-4314264/</x:v>
      </x:c>
      <x:c r="J82" s="8" t="str">
        <x:v>Batch 04</x:v>
      </x:c>
      <x:c r="K82" s="8" t="str">
        <x:v>Managing Partner</x:v>
      </x:c>
      <x:c r="L82" s="8" t="str">
        <x:v>outreach-batch-04/research.json</x:v>
      </x:c>
      <x:c r="M82" s="8" t="str">
        <x:v>authenticated LinkedIn header inspected 2026-10-03; matches named firm and location | Alternative investment sponsor; qualify digital-trust portfolio overlap</x:v>
      </x:c>
      <x:c r="N82" s="8" t="str">
        <x:f>IF(COUNTIFS('Activity'!$B$8:$B$1007,$A82)=0,"",_xlfn.MAXIFS('Activity'!$A$8:$A$1007,'Activity'!$B$8:$B$1007,$A82))</x:f>
      </x:c>
      <x:c r="O82" s="8" t="str">
        <x:f>IF($N82="","",IF(_xlfn.XLOOKUP($N82,'Activity'!$A$8:$A$1007,'Activity'!$F$8:$F$1007,"")=0,"",_xlfn.XLOOKUP($N82,'Activity'!$A$8:$A$1007,'Activity'!$F$8:$F$1007,"")))</x:f>
      </x:c>
      <x:c r="P82" s="8" t="str">
        <x:f>IF($N82="","",IF(_xlfn.XLOOKUP($N82,'Activity'!$A$8:$A$1007,'Activity'!$M$8:$M$1007,"")=0,"",_xlfn.XLOOKUP($N82,'Activity'!$A$8:$A$1007,'Activity'!$M$8:$M$1007,"")))</x:f>
      </x:c>
      <x:c r="Q82" s="8" t="str">
        <x:f>IF($N82="","",IF(_xlfn.XLOOKUP($N82,'Activity'!$A$8:$A$1007,'Activity'!$L$8:$L$1007,"")=0,"",_xlfn.XLOOKUP($N82,'Activity'!$A$8:$A$1007,'Activity'!$L$8:$L$1007,"")))</x:f>
      </x:c>
    </x:row>
    <x:row r="83" ht="34" customHeight="1">
      <x:c r="A83" s="8" t="str">
        <x:v>CON-797ed957b8</x:v>
      </x:c>
      <x:c r="B83" s="8" t="str">
        <x:v>Ron Nayot</x:v>
      </x:c>
      <x:c r="C83" s="8" t="str">
        <x:v>Diversis Capital</x:v>
      </x:c>
      <x:c r="D83" s="8" t="str">
        <x:f>IF($N83="","No outreach recorded",_xlfn.XLOOKUP($N83,'Activity'!$A$8:$A$1007,'Activity'!$H$8:$H$1007,""))</x:f>
        <x:v>No outreach recorded</x:v>
      </x:c>
      <x:c r="E83" s="9" t="str">
        <x:f>IF($N83="","",_xlfn.MINIFS('Activity'!$C$8:$C$1007,'Activity'!$B$8:$B$1007,$A83))</x:f>
      </x:c>
      <x:c r="F83" s="9" t="str">
        <x:f>IF($N83="","",_xlfn.MAXIFS('Activity'!$C$8:$C$1007,'Activity'!$B$8:$B$1007,$A83))</x:f>
      </x:c>
      <x:c r="G83" s="9" t="str">
        <x:f>IF($N83="","",IF(_xlfn.XLOOKUP($N83,'Activity'!$A$8:$A$1007,'Activity'!$J$8:$J$1007,"")=0,"",_xlfn.XLOOKUP($N83,'Activity'!$A$8:$A$1007,'Activity'!$J$8:$J$1007,"")))</x:f>
      </x:c>
      <x:c r="H83" s="8" t="str">
        <x:f>IF($N83="","",IF(_xlfn.XLOOKUP($N83,'Activity'!$A$8:$A$1007,'Activity'!$K$8:$K$1007,"")=0,"",_xlfn.XLOOKUP($N83,'Activity'!$A$8:$A$1007,'Activity'!$K$8:$K$1007,"")))</x:f>
      </x:c>
      <x:c r="I83" s="8" t="str">
        <x:v>https://www.linkedin.com/in/ron-nayot-a0b7b967/</x:v>
      </x:c>
      <x:c r="J83" s="8" t="str">
        <x:v>Batch 04</x:v>
      </x:c>
      <x:c r="K83" s="8" t="str">
        <x:v>Co-Founder and Managing Partner</x:v>
      </x:c>
      <x:c r="L83" s="8" t="str">
        <x:v>outreach-batch-04/research.json</x:v>
      </x:c>
      <x:c r="M83" s="8" t="str">
        <x:v>authenticated LinkedIn header inspected 2026-10-03; matches named firm and location | Control transaction sponsor; qualify ticket/geography</x:v>
      </x:c>
      <x:c r="N83" s="8" t="str">
        <x:f>IF(COUNTIFS('Activity'!$B$8:$B$1007,$A83)=0,"",_xlfn.MAXIFS('Activity'!$A$8:$A$1007,'Activity'!$B$8:$B$1007,$A83))</x:f>
      </x:c>
      <x:c r="O83" s="8" t="str">
        <x:f>IF($N83="","",IF(_xlfn.XLOOKUP($N83,'Activity'!$A$8:$A$1007,'Activity'!$F$8:$F$1007,"")=0,"",_xlfn.XLOOKUP($N83,'Activity'!$A$8:$A$1007,'Activity'!$F$8:$F$1007,"")))</x:f>
      </x:c>
      <x:c r="P83" s="8" t="str">
        <x:f>IF($N83="","",IF(_xlfn.XLOOKUP($N83,'Activity'!$A$8:$A$1007,'Activity'!$M$8:$M$1007,"")=0,"",_xlfn.XLOOKUP($N83,'Activity'!$A$8:$A$1007,'Activity'!$M$8:$M$1007,"")))</x:f>
      </x:c>
      <x:c r="Q83" s="8" t="str">
        <x:f>IF($N83="","",IF(_xlfn.XLOOKUP($N83,'Activity'!$A$8:$A$1007,'Activity'!$L$8:$L$1007,"")=0,"",_xlfn.XLOOKUP($N83,'Activity'!$A$8:$A$1007,'Activity'!$L$8:$L$1007,"")))</x:f>
      </x:c>
    </x:row>
    <x:row r="84" ht="34" customHeight="1">
      <x:c r="A84" s="8" t="str">
        <x:v>CON-83f148eea7</x:v>
      </x:c>
      <x:c r="B84" s="8" t="str">
        <x:v>Ryan Mandl</x:v>
      </x:c>
      <x:c r="C84" s="8" t="str">
        <x:v>Five Elms Capital</x:v>
      </x:c>
      <x:c r="D84" s="8" t="str">
        <x:f>IF($N84="","No outreach recorded",_xlfn.XLOOKUP($N84,'Activity'!$A$8:$A$1007,'Activity'!$H$8:$H$1007,""))</x:f>
        <x:v>No outreach recorded</x:v>
      </x:c>
      <x:c r="E84" s="9" t="str">
        <x:f>IF($N84="","",_xlfn.MINIFS('Activity'!$C$8:$C$1007,'Activity'!$B$8:$B$1007,$A84))</x:f>
      </x:c>
      <x:c r="F84" s="9" t="str">
        <x:f>IF($N84="","",_xlfn.MAXIFS('Activity'!$C$8:$C$1007,'Activity'!$B$8:$B$1007,$A84))</x:f>
      </x:c>
      <x:c r="G84" s="9" t="str">
        <x:f>IF($N84="","",IF(_xlfn.XLOOKUP($N84,'Activity'!$A$8:$A$1007,'Activity'!$J$8:$J$1007,"")=0,"",_xlfn.XLOOKUP($N84,'Activity'!$A$8:$A$1007,'Activity'!$J$8:$J$1007,"")))</x:f>
      </x:c>
      <x:c r="H84" s="8" t="str">
        <x:f>IF($N84="","",IF(_xlfn.XLOOKUP($N84,'Activity'!$A$8:$A$1007,'Activity'!$K$8:$K$1007,"")=0,"",_xlfn.XLOOKUP($N84,'Activity'!$A$8:$A$1007,'Activity'!$K$8:$K$1007,"")))</x:f>
      </x:c>
      <x:c r="I84" s="8" t="str">
        <x:v>https://www.linkedin.com/in/ryanmandl/</x:v>
      </x:c>
      <x:c r="J84" s="8" t="str">
        <x:v>Batch 01; Batch 02</x:v>
      </x:c>
      <x:c r="K84" s="8" t="str">
        <x:v>Partner</x:v>
      </x:c>
      <x:c r="L84" s="8" t="str">
        <x:v>outreach-batch-01/contacts.csv; outreach-batch-02/contacts.csv</x:v>
      </x:c>
      <x:c r="M84" s="8" t="str">
        <x:v>Authenticated LinkedIn page read | Public role observed; exact transaction authority not established</x:v>
      </x:c>
      <x:c r="N84" s="8" t="str">
        <x:f>IF(COUNTIFS('Activity'!$B$8:$B$1007,$A84)=0,"",_xlfn.MAXIFS('Activity'!$A$8:$A$1007,'Activity'!$B$8:$B$1007,$A84))</x:f>
      </x:c>
      <x:c r="O84" s="8" t="str">
        <x:f>IF($N84="","",IF(_xlfn.XLOOKUP($N84,'Activity'!$A$8:$A$1007,'Activity'!$F$8:$F$1007,"")=0,"",_xlfn.XLOOKUP($N84,'Activity'!$A$8:$A$1007,'Activity'!$F$8:$F$1007,"")))</x:f>
      </x:c>
      <x:c r="P84" s="8" t="str">
        <x:f>IF($N84="","",IF(_xlfn.XLOOKUP($N84,'Activity'!$A$8:$A$1007,'Activity'!$M$8:$M$1007,"")=0,"",_xlfn.XLOOKUP($N84,'Activity'!$A$8:$A$1007,'Activity'!$M$8:$M$1007,"")))</x:f>
      </x:c>
      <x:c r="Q84" s="8" t="str">
        <x:f>IF($N84="","",IF(_xlfn.XLOOKUP($N84,'Activity'!$A$8:$A$1007,'Activity'!$L$8:$L$1007,"")=0,"",_xlfn.XLOOKUP($N84,'Activity'!$A$8:$A$1007,'Activity'!$L$8:$L$1007,"")))</x:f>
      </x:c>
    </x:row>
    <x:row r="85" ht="34" customHeight="1">
      <x:c r="A85" s="8" t="str">
        <x:v>CON-ed1e76b36e</x:v>
      </x:c>
      <x:c r="B85" s="8" t="str">
        <x:v>Saad Saleh Alaboodi</x:v>
      </x:c>
      <x:c r="C85" s="8" t="str">
        <x:v>SITE</x:v>
      </x:c>
      <x:c r="D85" s="8" t="str">
        <x:f>IF($N85="","No outreach recorded",_xlfn.XLOOKUP($N85,'Activity'!$A$8:$A$1007,'Activity'!$H$8:$H$1007,""))</x:f>
        <x:v>No outreach recorded</x:v>
      </x:c>
      <x:c r="E85" s="9" t="str">
        <x:f>IF($N85="","",_xlfn.MINIFS('Activity'!$C$8:$C$1007,'Activity'!$B$8:$B$1007,$A85))</x:f>
      </x:c>
      <x:c r="F85" s="9" t="str">
        <x:f>IF($N85="","",_xlfn.MAXIFS('Activity'!$C$8:$C$1007,'Activity'!$B$8:$B$1007,$A85))</x:f>
      </x:c>
      <x:c r="G85" s="9" t="str">
        <x:f>IF($N85="","",IF(_xlfn.XLOOKUP($N85,'Activity'!$A$8:$A$1007,'Activity'!$J$8:$J$1007,"")=0,"",_xlfn.XLOOKUP($N85,'Activity'!$A$8:$A$1007,'Activity'!$J$8:$J$1007,"")))</x:f>
      </x:c>
      <x:c r="H85" s="8" t="str">
        <x:f>IF($N85="","",IF(_xlfn.XLOOKUP($N85,'Activity'!$A$8:$A$1007,'Activity'!$K$8:$K$1007,"")=0,"",_xlfn.XLOOKUP($N85,'Activity'!$A$8:$A$1007,'Activity'!$K$8:$K$1007,"")))</x:f>
      </x:c>
      <x:c r="I85" s="8" t="str"/>
      <x:c r="J85" s="8" t="str">
        <x:v>Batch 01</x:v>
      </x:c>
      <x:c r="K85" s="8" t="str">
        <x:v>Chief Executive Officer</x:v>
      </x:c>
      <x:c r="L85" s="8" t="str">
        <x:v>outreach-batch-01/contacts.csv</x:v>
      </x:c>
      <x:c r="M85" s="8" t="str">
        <x:v>Unresolved | Public role observed; exact transaction authority not established</x:v>
      </x:c>
      <x:c r="N85" s="8" t="str">
        <x:f>IF(COUNTIFS('Activity'!$B$8:$B$1007,$A85)=0,"",_xlfn.MAXIFS('Activity'!$A$8:$A$1007,'Activity'!$B$8:$B$1007,$A85))</x:f>
      </x:c>
      <x:c r="O85" s="8" t="str">
        <x:f>IF($N85="","",IF(_xlfn.XLOOKUP($N85,'Activity'!$A$8:$A$1007,'Activity'!$F$8:$F$1007,"")=0,"",_xlfn.XLOOKUP($N85,'Activity'!$A$8:$A$1007,'Activity'!$F$8:$F$1007,"")))</x:f>
      </x:c>
      <x:c r="P85" s="8" t="str">
        <x:f>IF($N85="","",IF(_xlfn.XLOOKUP($N85,'Activity'!$A$8:$A$1007,'Activity'!$M$8:$M$1007,"")=0,"",_xlfn.XLOOKUP($N85,'Activity'!$A$8:$A$1007,'Activity'!$M$8:$M$1007,"")))</x:f>
      </x:c>
      <x:c r="Q85" s="8" t="str">
        <x:f>IF($N85="","",IF(_xlfn.XLOOKUP($N85,'Activity'!$A$8:$A$1007,'Activity'!$L$8:$L$1007,"")=0,"",_xlfn.XLOOKUP($N85,'Activity'!$A$8:$A$1007,'Activity'!$L$8:$L$1007,"")))</x:f>
      </x:c>
    </x:row>
    <x:row r="86" ht="34" customHeight="1">
      <x:c r="A86" s="8" t="str">
        <x:v>CON-9c19427e51</x:v>
      </x:c>
      <x:c r="B86" s="8" t="str">
        <x:v>Sarah Sommer</x:v>
      </x:c>
      <x:c r="C86" s="8" t="str">
        <x:v>Level Equity</x:v>
      </x:c>
      <x:c r="D86" s="8" t="str">
        <x:f>IF($N86="","No outreach recorded",_xlfn.XLOOKUP($N86,'Activity'!$A$8:$A$1007,'Activity'!$H$8:$H$1007,""))</x:f>
        <x:v>No outreach recorded</x:v>
      </x:c>
      <x:c r="E86" s="9" t="str">
        <x:f>IF($N86="","",_xlfn.MINIFS('Activity'!$C$8:$C$1007,'Activity'!$B$8:$B$1007,$A86))</x:f>
      </x:c>
      <x:c r="F86" s="9" t="str">
        <x:f>IF($N86="","",_xlfn.MAXIFS('Activity'!$C$8:$C$1007,'Activity'!$B$8:$B$1007,$A86))</x:f>
      </x:c>
      <x:c r="G86" s="9" t="str">
        <x:f>IF($N86="","",IF(_xlfn.XLOOKUP($N86,'Activity'!$A$8:$A$1007,'Activity'!$J$8:$J$1007,"")=0,"",_xlfn.XLOOKUP($N86,'Activity'!$A$8:$A$1007,'Activity'!$J$8:$J$1007,"")))</x:f>
      </x:c>
      <x:c r="H86" s="8" t="str">
        <x:f>IF($N86="","",IF(_xlfn.XLOOKUP($N86,'Activity'!$A$8:$A$1007,'Activity'!$K$8:$K$1007,"")=0,"",_xlfn.XLOOKUP($N86,'Activity'!$A$8:$A$1007,'Activity'!$K$8:$K$1007,"")))</x:f>
      </x:c>
      <x:c r="I86" s="8" t="str">
        <x:v>https://www.linkedin.com/in/sarah-sommer-14b61227/</x:v>
      </x:c>
      <x:c r="J86" s="8" t="str">
        <x:v>Batch 01; Batch 02</x:v>
      </x:c>
      <x:c r="K86" s="8" t="str">
        <x:v>Co-Founder and Partner</x:v>
      </x:c>
      <x:c r="L86" s="8" t="str">
        <x:v>outreach-batch-01/contacts.csv; outreach-batch-02/contacts.csv</x:v>
      </x:c>
      <x:c r="M86" s="8" t="str">
        <x:v>Authenticated LinkedIn page read | Public role observed; exact transaction authority not established</x:v>
      </x:c>
      <x:c r="N86" s="8" t="str">
        <x:f>IF(COUNTIFS('Activity'!$B$8:$B$1007,$A86)=0,"",_xlfn.MAXIFS('Activity'!$A$8:$A$1007,'Activity'!$B$8:$B$1007,$A86))</x:f>
      </x:c>
      <x:c r="O86" s="8" t="str">
        <x:f>IF($N86="","",IF(_xlfn.XLOOKUP($N86,'Activity'!$A$8:$A$1007,'Activity'!$F$8:$F$1007,"")=0,"",_xlfn.XLOOKUP($N86,'Activity'!$A$8:$A$1007,'Activity'!$F$8:$F$1007,"")))</x:f>
      </x:c>
      <x:c r="P86" s="8" t="str">
        <x:f>IF($N86="","",IF(_xlfn.XLOOKUP($N86,'Activity'!$A$8:$A$1007,'Activity'!$M$8:$M$1007,"")=0,"",_xlfn.XLOOKUP($N86,'Activity'!$A$8:$A$1007,'Activity'!$M$8:$M$1007,"")))</x:f>
      </x:c>
      <x:c r="Q86" s="8" t="str">
        <x:f>IF($N86="","",IF(_xlfn.XLOOKUP($N86,'Activity'!$A$8:$A$1007,'Activity'!$L$8:$L$1007,"")=0,"",_xlfn.XLOOKUP($N86,'Activity'!$A$8:$A$1007,'Activity'!$L$8:$L$1007,"")))</x:f>
      </x:c>
    </x:row>
    <x:row r="87" ht="34" customHeight="1">
      <x:c r="A87" s="8" t="str">
        <x:v>CON-d779ec95a0</x:v>
      </x:c>
      <x:c r="B87" s="8" t="str">
        <x:v>Shaikh Mohamed bin Khalifa Al Khalifa</x:v>
      </x:c>
      <x:c r="C87" s="8" t="str">
        <x:v>Beyon</x:v>
      </x:c>
      <x:c r="D87" s="8" t="str">
        <x:f>IF($N87="","No outreach recorded",_xlfn.XLOOKUP($N87,'Activity'!$A$8:$A$1007,'Activity'!$H$8:$H$1007,""))</x:f>
        <x:v>No outreach recorded</x:v>
      </x:c>
      <x:c r="E87" s="9" t="str">
        <x:f>IF($N87="","",_xlfn.MINIFS('Activity'!$C$8:$C$1007,'Activity'!$B$8:$B$1007,$A87))</x:f>
      </x:c>
      <x:c r="F87" s="9" t="str">
        <x:f>IF($N87="","",_xlfn.MAXIFS('Activity'!$C$8:$C$1007,'Activity'!$B$8:$B$1007,$A87))</x:f>
      </x:c>
      <x:c r="G87" s="9" t="str">
        <x:f>IF($N87="","",IF(_xlfn.XLOOKUP($N87,'Activity'!$A$8:$A$1007,'Activity'!$J$8:$J$1007,"")=0,"",_xlfn.XLOOKUP($N87,'Activity'!$A$8:$A$1007,'Activity'!$J$8:$J$1007,"")))</x:f>
      </x:c>
      <x:c r="H87" s="8" t="str">
        <x:f>IF($N87="","",IF(_xlfn.XLOOKUP($N87,'Activity'!$A$8:$A$1007,'Activity'!$K$8:$K$1007,"")=0,"",_xlfn.XLOOKUP($N87,'Activity'!$A$8:$A$1007,'Activity'!$K$8:$K$1007,"")))</x:f>
      </x:c>
      <x:c r="I87" s="8" t="str">
        <x:v>https://www.linkedin.com/in/moalkhalifa/</x:v>
      </x:c>
      <x:c r="J87" s="8" t="str">
        <x:v>Batch 01</x:v>
      </x:c>
      <x:c r="K87" s="8" t="str">
        <x:v>CEO Beyon Digital Growth</x:v>
      </x:c>
      <x:c r="L87" s="8" t="str">
        <x:v>outreach-batch-01/contacts.csv</x:v>
      </x:c>
      <x:c r="M87" s="8" t="str">
        <x:v>Authenticated LinkedIn page read | Public role observed; exact transaction authority not established</x:v>
      </x:c>
      <x:c r="N87" s="8" t="str">
        <x:f>IF(COUNTIFS('Activity'!$B$8:$B$1007,$A87)=0,"",_xlfn.MAXIFS('Activity'!$A$8:$A$1007,'Activity'!$B$8:$B$1007,$A87))</x:f>
      </x:c>
      <x:c r="O87" s="8" t="str">
        <x:f>IF($N87="","",IF(_xlfn.XLOOKUP($N87,'Activity'!$A$8:$A$1007,'Activity'!$F$8:$F$1007,"")=0,"",_xlfn.XLOOKUP($N87,'Activity'!$A$8:$A$1007,'Activity'!$F$8:$F$1007,"")))</x:f>
      </x:c>
      <x:c r="P87" s="8" t="str">
        <x:f>IF($N87="","",IF(_xlfn.XLOOKUP($N87,'Activity'!$A$8:$A$1007,'Activity'!$M$8:$M$1007,"")=0,"",_xlfn.XLOOKUP($N87,'Activity'!$A$8:$A$1007,'Activity'!$M$8:$M$1007,"")))</x:f>
      </x:c>
      <x:c r="Q87" s="8" t="str">
        <x:f>IF($N87="","",IF(_xlfn.XLOOKUP($N87,'Activity'!$A$8:$A$1007,'Activity'!$L$8:$L$1007,"")=0,"",_xlfn.XLOOKUP($N87,'Activity'!$A$8:$A$1007,'Activity'!$L$8:$L$1007,"")))</x:f>
      </x:c>
    </x:row>
    <x:row r="88" ht="34" customHeight="1">
      <x:c r="A88" s="8" t="str">
        <x:v>CON-948163ada6</x:v>
      </x:c>
      <x:c r="B88" s="8" t="str">
        <x:v>Solomon Hailu</x:v>
      </x:c>
      <x:c r="C88" s="8" t="str">
        <x:v>March Capital</x:v>
      </x:c>
      <x:c r="D88" s="8" t="str">
        <x:f>IF($N88="","No outreach recorded",_xlfn.XLOOKUP($N88,'Activity'!$A$8:$A$1007,'Activity'!$H$8:$H$1007,""))</x:f>
        <x:v>No outreach recorded</x:v>
      </x:c>
      <x:c r="E88" s="9" t="str">
        <x:f>IF($N88="","",_xlfn.MINIFS('Activity'!$C$8:$C$1007,'Activity'!$B$8:$B$1007,$A88))</x:f>
      </x:c>
      <x:c r="F88" s="9" t="str">
        <x:f>IF($N88="","",_xlfn.MAXIFS('Activity'!$C$8:$C$1007,'Activity'!$B$8:$B$1007,$A88))</x:f>
      </x:c>
      <x:c r="G88" s="9" t="str">
        <x:f>IF($N88="","",IF(_xlfn.XLOOKUP($N88,'Activity'!$A$8:$A$1007,'Activity'!$J$8:$J$1007,"")=0,"",_xlfn.XLOOKUP($N88,'Activity'!$A$8:$A$1007,'Activity'!$J$8:$J$1007,"")))</x:f>
      </x:c>
      <x:c r="H88" s="8" t="str">
        <x:f>IF($N88="","",IF(_xlfn.XLOOKUP($N88,'Activity'!$A$8:$A$1007,'Activity'!$K$8:$K$1007,"")=0,"",_xlfn.XLOOKUP($N88,'Activity'!$A$8:$A$1007,'Activity'!$K$8:$K$1007,"")))</x:f>
      </x:c>
      <x:c r="I88" s="8" t="str">
        <x:v>https://www.linkedin.com/in/solomonhailu/</x:v>
      </x:c>
      <x:c r="J88" s="8" t="str">
        <x:v>Batch 04</x:v>
      </x:c>
      <x:c r="K88" s="8" t="str">
        <x:v>Partner</x:v>
      </x:c>
      <x:c r="L88" s="8" t="str">
        <x:v>outreach-batch-04/tech-week-events.json</x:v>
      </x:c>
      <x:c r="M88" s="8" t="str">
        <x:v>authenticated LinkedIn profile header; event agenda | Listed panelist on expanded Partiful agenda; current official March biography corroborates role.</x:v>
      </x:c>
      <x:c r="N88" s="8" t="str">
        <x:f>IF(COUNTIFS('Activity'!$B$8:$B$1007,$A88)=0,"",_xlfn.MAXIFS('Activity'!$A$8:$A$1007,'Activity'!$B$8:$B$1007,$A88))</x:f>
      </x:c>
      <x:c r="O88" s="8" t="str">
        <x:f>IF($N88="","",IF(_xlfn.XLOOKUP($N88,'Activity'!$A$8:$A$1007,'Activity'!$F$8:$F$1007,"")=0,"",_xlfn.XLOOKUP($N88,'Activity'!$A$8:$A$1007,'Activity'!$F$8:$F$1007,"")))</x:f>
      </x:c>
      <x:c r="P88" s="8" t="str">
        <x:f>IF($N88="","",IF(_xlfn.XLOOKUP($N88,'Activity'!$A$8:$A$1007,'Activity'!$M$8:$M$1007,"")=0,"",_xlfn.XLOOKUP($N88,'Activity'!$A$8:$A$1007,'Activity'!$M$8:$M$1007,"")))</x:f>
      </x:c>
      <x:c r="Q88" s="8" t="str">
        <x:f>IF($N88="","",IF(_xlfn.XLOOKUP($N88,'Activity'!$A$8:$A$1007,'Activity'!$L$8:$L$1007,"")=0,"",_xlfn.XLOOKUP($N88,'Activity'!$A$8:$A$1007,'Activity'!$L$8:$L$1007,"")))</x:f>
      </x:c>
    </x:row>
    <x:row r="89" ht="34" customHeight="1">
      <x:c r="A89" s="8" t="str">
        <x:v>CON-50b0b525a6</x:v>
      </x:c>
      <x:c r="B89" s="8" t="str">
        <x:v>Stephynee Harper-Paterson</x:v>
      </x:c>
      <x:c r="C89" s="8" t="str">
        <x:v>Light Warrior</x:v>
      </x:c>
      <x:c r="D89" s="8" t="str">
        <x:f>IF($N89="","No outreach recorded",_xlfn.XLOOKUP($N89,'Activity'!$A$8:$A$1007,'Activity'!$H$8:$H$1007,""))</x:f>
        <x:v>No outreach recorded</x:v>
      </x:c>
      <x:c r="E89" s="9" t="str">
        <x:f>IF($N89="","",_xlfn.MINIFS('Activity'!$C$8:$C$1007,'Activity'!$B$8:$B$1007,$A89))</x:f>
      </x:c>
      <x:c r="F89" s="9" t="str">
        <x:f>IF($N89="","",_xlfn.MAXIFS('Activity'!$C$8:$C$1007,'Activity'!$B$8:$B$1007,$A89))</x:f>
      </x:c>
      <x:c r="G89" s="9" t="str">
        <x:f>IF($N89="","",IF(_xlfn.XLOOKUP($N89,'Activity'!$A$8:$A$1007,'Activity'!$J$8:$J$1007,"")=0,"",_xlfn.XLOOKUP($N89,'Activity'!$A$8:$A$1007,'Activity'!$J$8:$J$1007,"")))</x:f>
      </x:c>
      <x:c r="H89" s="8" t="str">
        <x:f>IF($N89="","",IF(_xlfn.XLOOKUP($N89,'Activity'!$A$8:$A$1007,'Activity'!$K$8:$K$1007,"")=0,"",_xlfn.XLOOKUP($N89,'Activity'!$A$8:$A$1007,'Activity'!$K$8:$K$1007,"")))</x:f>
      </x:c>
      <x:c r="I89" s="8" t="str">
        <x:v>https://www.linkedin.com/in/stephynee-harper-paterson-12abbb316/</x:v>
      </x:c>
      <x:c r="J89" s="8" t="str">
        <x:v>Batch 03</x:v>
      </x:c>
      <x:c r="K89" s="8" t="str">
        <x:v>Investment Manager; preferred first qualification contact for mandate, ticket and structure</x:v>
      </x:c>
      <x:c r="L89" s="8" t="str">
        <x:v>outreach-batch-03/leads/light-warrior.md</x:v>
      </x:c>
      <x:c r="M89" s="8" t="str">
        <x:v>Official role; indexed personal profile matches Light Warrior and University of Queensland. Team page reports prior family-office, M&amp;A and private-equity experience. Full authenticated profile not inspected | Batch 03 suggested contact; transaction authority and interest unconfirmed.</x:v>
      </x:c>
      <x:c r="N89" s="8" t="str">
        <x:f>IF(COUNTIFS('Activity'!$B$8:$B$1007,$A89)=0,"",_xlfn.MAXIFS('Activity'!$A$8:$A$1007,'Activity'!$B$8:$B$1007,$A89))</x:f>
      </x:c>
      <x:c r="O89" s="8" t="str">
        <x:f>IF($N89="","",IF(_xlfn.XLOOKUP($N89,'Activity'!$A$8:$A$1007,'Activity'!$F$8:$F$1007,"")=0,"",_xlfn.XLOOKUP($N89,'Activity'!$A$8:$A$1007,'Activity'!$F$8:$F$1007,"")))</x:f>
      </x:c>
      <x:c r="P89" s="8" t="str">
        <x:f>IF($N89="","",IF(_xlfn.XLOOKUP($N89,'Activity'!$A$8:$A$1007,'Activity'!$M$8:$M$1007,"")=0,"",_xlfn.XLOOKUP($N89,'Activity'!$A$8:$A$1007,'Activity'!$M$8:$M$1007,"")))</x:f>
      </x:c>
      <x:c r="Q89" s="8" t="str">
        <x:f>IF($N89="","",IF(_xlfn.XLOOKUP($N89,'Activity'!$A$8:$A$1007,'Activity'!$L$8:$L$1007,"")=0,"",_xlfn.XLOOKUP($N89,'Activity'!$A$8:$A$1007,'Activity'!$L$8:$L$1007,"")))</x:f>
      </x:c>
    </x:row>
    <x:row r="90" ht="34" customHeight="1">
      <x:c r="A90" s="8" t="str">
        <x:v>CON-fd5315b99a</x:v>
      </x:c>
      <x:c r="B90" s="8" t="str">
        <x:v>Tara Stokes</x:v>
      </x:c>
      <x:c r="C90" s="8" t="str">
        <x:v>Point72</x:v>
      </x:c>
      <x:c r="D90" s="8" t="str">
        <x:f>IF($N90="","No outreach recorded",_xlfn.XLOOKUP($N90,'Activity'!$A$8:$A$1007,'Activity'!$H$8:$H$1007,""))</x:f>
        <x:v>No outreach recorded</x:v>
      </x:c>
      <x:c r="E90" s="9" t="str">
        <x:f>IF($N90="","",_xlfn.MINIFS('Activity'!$C$8:$C$1007,'Activity'!$B$8:$B$1007,$A90))</x:f>
      </x:c>
      <x:c r="F90" s="9" t="str">
        <x:f>IF($N90="","",_xlfn.MAXIFS('Activity'!$C$8:$C$1007,'Activity'!$B$8:$B$1007,$A90))</x:f>
      </x:c>
      <x:c r="G90" s="9" t="str">
        <x:f>IF($N90="","",IF(_xlfn.XLOOKUP($N90,'Activity'!$A$8:$A$1007,'Activity'!$J$8:$J$1007,"")=0,"",_xlfn.XLOOKUP($N90,'Activity'!$A$8:$A$1007,'Activity'!$J$8:$J$1007,"")))</x:f>
      </x:c>
      <x:c r="H90" s="8" t="str">
        <x:f>IF($N90="","",IF(_xlfn.XLOOKUP($N90,'Activity'!$A$8:$A$1007,'Activity'!$K$8:$K$1007,"")=0,"",_xlfn.XLOOKUP($N90,'Activity'!$A$8:$A$1007,'Activity'!$K$8:$K$1007,"")))</x:f>
      </x:c>
      <x:c r="I90" s="8" t="str">
        <x:v>https://www.linkedin.com/in/tara-stokes-63793154/</x:v>
      </x:c>
      <x:c r="J90" s="8" t="str">
        <x:v>Batch 03</x:v>
      </x:c>
      <x:c r="K90" s="8" t="str">
        <x:v>Candidate first sector contact: published AI/ML and vertical-software focus; coauthor of the Luminance investment note</x:v>
      </x:c>
      <x:c r="L90" s="8" t="str">
        <x:v>outreach-batch-03/leads/point72.md</x:v>
      </x:c>
      <x:c r="M90" s="8" t="str">
        <x:v>Partner title and focus from April 2024 announcement; indexed personal profile identifies Point72 Ventures, and company posts describe her as a partner. Reconfirm current role/responsibility before use; full authenticated profile not inspected. Linked official team biography returned 404 | Batch 03 suggested contact; transaction authority and interest unconfirmed.</x:v>
      </x:c>
      <x:c r="N90" s="8" t="str">
        <x:f>IF(COUNTIFS('Activity'!$B$8:$B$1007,$A90)=0,"",_xlfn.MAXIFS('Activity'!$A$8:$A$1007,'Activity'!$B$8:$B$1007,$A90))</x:f>
      </x:c>
      <x:c r="O90" s="8" t="str">
        <x:f>IF($N90="","",IF(_xlfn.XLOOKUP($N90,'Activity'!$A$8:$A$1007,'Activity'!$F$8:$F$1007,"")=0,"",_xlfn.XLOOKUP($N90,'Activity'!$A$8:$A$1007,'Activity'!$F$8:$F$1007,"")))</x:f>
      </x:c>
      <x:c r="P90" s="8" t="str">
        <x:f>IF($N90="","",IF(_xlfn.XLOOKUP($N90,'Activity'!$A$8:$A$1007,'Activity'!$M$8:$M$1007,"")=0,"",_xlfn.XLOOKUP($N90,'Activity'!$A$8:$A$1007,'Activity'!$M$8:$M$1007,"")))</x:f>
      </x:c>
      <x:c r="Q90" s="8" t="str">
        <x:f>IF($N90="","",IF(_xlfn.XLOOKUP($N90,'Activity'!$A$8:$A$1007,'Activity'!$L$8:$L$1007,"")=0,"",_xlfn.XLOOKUP($N90,'Activity'!$A$8:$A$1007,'Activity'!$L$8:$L$1007,"")))</x:f>
      </x:c>
    </x:row>
    <x:row r="91" ht="34" customHeight="1">
      <x:c r="A91" s="8" t="str">
        <x:v>CON-1d4e111ba4</x:v>
      </x:c>
      <x:c r="B91" s="8" t="str">
        <x:v>Tony Ball (Anthony Ball)</x:v>
      </x:c>
      <x:c r="C91" s="8" t="str">
        <x:v>Entrust</x:v>
      </x:c>
      <x:c r="D91" s="8" t="str">
        <x:f>IF($N91="","No outreach recorded",_xlfn.XLOOKUP($N91,'Activity'!$A$8:$A$1007,'Activity'!$H$8:$H$1007,""))</x:f>
        <x:v>No outreach recorded</x:v>
      </x:c>
      <x:c r="E91" s="9" t="str">
        <x:f>IF($N91="","",_xlfn.MINIFS('Activity'!$C$8:$C$1007,'Activity'!$B$8:$B$1007,$A91))</x:f>
      </x:c>
      <x:c r="F91" s="9" t="str">
        <x:f>IF($N91="","",_xlfn.MAXIFS('Activity'!$C$8:$C$1007,'Activity'!$B$8:$B$1007,$A91))</x:f>
      </x:c>
      <x:c r="G91" s="9" t="str">
        <x:f>IF($N91="","",IF(_xlfn.XLOOKUP($N91,'Activity'!$A$8:$A$1007,'Activity'!$J$8:$J$1007,"")=0,"",_xlfn.XLOOKUP($N91,'Activity'!$A$8:$A$1007,'Activity'!$J$8:$J$1007,"")))</x:f>
      </x:c>
      <x:c r="H91" s="8" t="str">
        <x:f>IF($N91="","",IF(_xlfn.XLOOKUP($N91,'Activity'!$A$8:$A$1007,'Activity'!$K$8:$K$1007,"")=0,"",_xlfn.XLOOKUP($N91,'Activity'!$A$8:$A$1007,'Activity'!$K$8:$K$1007,"")))</x:f>
      </x:c>
      <x:c r="I91" s="8" t="str">
        <x:v>https://www.linkedin.com/in/anthony-ball-889391/</x:v>
      </x:c>
      <x:c r="J91" s="8" t="str">
        <x:v>Batch 01; Batch 02</x:v>
      </x:c>
      <x:c r="K91" s="8" t="str">
        <x:v>Chief Executive Officer</x:v>
      </x:c>
      <x:c r="L91" s="8" t="str">
        <x:v>outreach-batch-01/contacts.csv; outreach-batch-02/contacts.csv</x:v>
      </x:c>
      <x:c r="M91" s="8" t="str">
        <x:v>Authenticated LinkedIn page read | Public role observed; exact transaction authority not established</x:v>
      </x:c>
      <x:c r="N91" s="8" t="str">
        <x:f>IF(COUNTIFS('Activity'!$B$8:$B$1007,$A91)=0,"",_xlfn.MAXIFS('Activity'!$A$8:$A$1007,'Activity'!$B$8:$B$1007,$A91))</x:f>
      </x:c>
      <x:c r="O91" s="8" t="str">
        <x:f>IF($N91="","",IF(_xlfn.XLOOKUP($N91,'Activity'!$A$8:$A$1007,'Activity'!$F$8:$F$1007,"")=0,"",_xlfn.XLOOKUP($N91,'Activity'!$A$8:$A$1007,'Activity'!$F$8:$F$1007,"")))</x:f>
      </x:c>
      <x:c r="P91" s="8" t="str">
        <x:f>IF($N91="","",IF(_xlfn.XLOOKUP($N91,'Activity'!$A$8:$A$1007,'Activity'!$M$8:$M$1007,"")=0,"",_xlfn.XLOOKUP($N91,'Activity'!$A$8:$A$1007,'Activity'!$M$8:$M$1007,"")))</x:f>
      </x:c>
      <x:c r="Q91" s="8" t="str">
        <x:f>IF($N91="","",IF(_xlfn.XLOOKUP($N91,'Activity'!$A$8:$A$1007,'Activity'!$L$8:$L$1007,"")=0,"",_xlfn.XLOOKUP($N91,'Activity'!$A$8:$A$1007,'Activity'!$L$8:$L$1007,"")))</x:f>
      </x:c>
    </x:row>
    <x:row r="92" ht="34" customHeight="1">
      <x:c r="A92" s="8" t="str">
        <x:v>CON-a62680351c</x:v>
      </x:c>
      <x:c r="B92" s="8" t="str">
        <x:v>Victor Limongelli</x:v>
      </x:c>
      <x:c r="C92" s="8" t="str">
        <x:v>OneSpan</x:v>
      </x:c>
      <x:c r="D92" s="8" t="str">
        <x:f>IF($N92="","No outreach recorded",_xlfn.XLOOKUP($N92,'Activity'!$A$8:$A$1007,'Activity'!$H$8:$H$1007,""))</x:f>
        <x:v>No outreach recorded</x:v>
      </x:c>
      <x:c r="E92" s="9" t="str">
        <x:f>IF($N92="","",_xlfn.MINIFS('Activity'!$C$8:$C$1007,'Activity'!$B$8:$B$1007,$A92))</x:f>
      </x:c>
      <x:c r="F92" s="9" t="str">
        <x:f>IF($N92="","",_xlfn.MAXIFS('Activity'!$C$8:$C$1007,'Activity'!$B$8:$B$1007,$A92))</x:f>
      </x:c>
      <x:c r="G92" s="9" t="str">
        <x:f>IF($N92="","",IF(_xlfn.XLOOKUP($N92,'Activity'!$A$8:$A$1007,'Activity'!$J$8:$J$1007,"")=0,"",_xlfn.XLOOKUP($N92,'Activity'!$A$8:$A$1007,'Activity'!$J$8:$J$1007,"")))</x:f>
      </x:c>
      <x:c r="H92" s="8" t="str">
        <x:f>IF($N92="","",IF(_xlfn.XLOOKUP($N92,'Activity'!$A$8:$A$1007,'Activity'!$K$8:$K$1007,"")=0,"",_xlfn.XLOOKUP($N92,'Activity'!$A$8:$A$1007,'Activity'!$K$8:$K$1007,"")))</x:f>
      </x:c>
      <x:c r="I92" s="8" t="str">
        <x:v>https://www.linkedin.com/in/victorlimongelli/</x:v>
      </x:c>
      <x:c r="J92" s="8" t="str">
        <x:v>Batch 01; Batch 02</x:v>
      </x:c>
      <x:c r="K92" s="8" t="str">
        <x:v>Chief Executive Officer</x:v>
      </x:c>
      <x:c r="L92" s="8" t="str">
        <x:v>outreach-batch-01/contacts.csv; outreach-batch-02/contacts.csv</x:v>
      </x:c>
      <x:c r="M92" s="8" t="str">
        <x:v>Authenticated LinkedIn page read | Public role observed; exact transaction authority not established</x:v>
      </x:c>
      <x:c r="N92" s="8" t="str">
        <x:f>IF(COUNTIFS('Activity'!$B$8:$B$1007,$A92)=0,"",_xlfn.MAXIFS('Activity'!$A$8:$A$1007,'Activity'!$B$8:$B$1007,$A92))</x:f>
      </x:c>
      <x:c r="O92" s="8" t="str">
        <x:f>IF($N92="","",IF(_xlfn.XLOOKUP($N92,'Activity'!$A$8:$A$1007,'Activity'!$F$8:$F$1007,"")=0,"",_xlfn.XLOOKUP($N92,'Activity'!$A$8:$A$1007,'Activity'!$F$8:$F$1007,"")))</x:f>
      </x:c>
      <x:c r="P92" s="8" t="str">
        <x:f>IF($N92="","",IF(_xlfn.XLOOKUP($N92,'Activity'!$A$8:$A$1007,'Activity'!$M$8:$M$1007,"")=0,"",_xlfn.XLOOKUP($N92,'Activity'!$A$8:$A$1007,'Activity'!$M$8:$M$1007,"")))</x:f>
      </x:c>
      <x:c r="Q92" s="8" t="str">
        <x:f>IF($N92="","",IF(_xlfn.XLOOKUP($N92,'Activity'!$A$8:$A$1007,'Activity'!$L$8:$L$1007,"")=0,"",_xlfn.XLOOKUP($N92,'Activity'!$A$8:$A$1007,'Activity'!$L$8:$L$1007,"")))</x:f>
      </x:c>
    </x:row>
    <x:row r="93" ht="34" customHeight="1">
      <x:c r="A93" s="8" t="str">
        <x:v>CON-375340aa3b</x:v>
      </x:c>
      <x:c r="B93" s="8" t="str">
        <x:v>Will Lynn</x:v>
      </x:c>
      <x:c r="C93" s="8" t="str">
        <x:v>Five Elms Capital</x:v>
      </x:c>
      <x:c r="D93" s="8" t="str">
        <x:f>IF($N93="","No outreach recorded",_xlfn.XLOOKUP($N93,'Activity'!$A$8:$A$1007,'Activity'!$H$8:$H$1007,""))</x:f>
        <x:v>No outreach recorded</x:v>
      </x:c>
      <x:c r="E93" s="9" t="str">
        <x:f>IF($N93="","",_xlfn.MINIFS('Activity'!$C$8:$C$1007,'Activity'!$B$8:$B$1007,$A93))</x:f>
      </x:c>
      <x:c r="F93" s="9" t="str">
        <x:f>IF($N93="","",_xlfn.MAXIFS('Activity'!$C$8:$C$1007,'Activity'!$B$8:$B$1007,$A93))</x:f>
      </x:c>
      <x:c r="G93" s="9" t="str">
        <x:f>IF($N93="","",IF(_xlfn.XLOOKUP($N93,'Activity'!$A$8:$A$1007,'Activity'!$J$8:$J$1007,"")=0,"",_xlfn.XLOOKUP($N93,'Activity'!$A$8:$A$1007,'Activity'!$J$8:$J$1007,"")))</x:f>
      </x:c>
      <x:c r="H93" s="8" t="str">
        <x:f>IF($N93="","",IF(_xlfn.XLOOKUP($N93,'Activity'!$A$8:$A$1007,'Activity'!$K$8:$K$1007,"")=0,"",_xlfn.XLOOKUP($N93,'Activity'!$A$8:$A$1007,'Activity'!$K$8:$K$1007,"")))</x:f>
      </x:c>
      <x:c r="I93" s="8" t="str">
        <x:v>https://www.linkedin.com/in/willlynn/</x:v>
      </x:c>
      <x:c r="J93" s="8" t="str">
        <x:v>Batch 01; Batch 02</x:v>
      </x:c>
      <x:c r="K93" s="8" t="str">
        <x:v>Director of Business Development</x:v>
      </x:c>
      <x:c r="L93" s="8" t="str">
        <x:v>outreach-batch-01/contacts.csv; outreach-batch-02/contacts.csv</x:v>
      </x:c>
      <x:c r="M93" s="8" t="str">
        <x:v>Authenticated LinkedIn page read | Official team page says Director of Business Development; LinkedIn headline says Corporate Strategy.</x:v>
      </x:c>
      <x:c r="N93" s="8" t="str">
        <x:f>IF(COUNTIFS('Activity'!$B$8:$B$1007,$A93)=0,"",_xlfn.MAXIFS('Activity'!$A$8:$A$1007,'Activity'!$B$8:$B$1007,$A93))</x:f>
      </x:c>
      <x:c r="O93" s="8" t="str">
        <x:f>IF($N93="","",IF(_xlfn.XLOOKUP($N93,'Activity'!$A$8:$A$1007,'Activity'!$F$8:$F$1007,"")=0,"",_xlfn.XLOOKUP($N93,'Activity'!$A$8:$A$1007,'Activity'!$F$8:$F$1007,"")))</x:f>
      </x:c>
      <x:c r="P93" s="8" t="str">
        <x:f>IF($N93="","",IF(_xlfn.XLOOKUP($N93,'Activity'!$A$8:$A$1007,'Activity'!$M$8:$M$1007,"")=0,"",_xlfn.XLOOKUP($N93,'Activity'!$A$8:$A$1007,'Activity'!$M$8:$M$1007,"")))</x:f>
      </x:c>
      <x:c r="Q93" s="8" t="str">
        <x:f>IF($N93="","",IF(_xlfn.XLOOKUP($N93,'Activity'!$A$8:$A$1007,'Activity'!$L$8:$L$1007,"")=0,"",_xlfn.XLOOKUP($N93,'Activity'!$A$8:$A$1007,'Activity'!$L$8:$L$1007,"")))</x:f>
      </x:c>
    </x:row>
  </x:sheetData>
  <x:conditionalFormatting sqref="D8:D93">
    <x:cfRule type="containsText" dxfId="0" priority="1" operator="containsText" text="Sent awaiting reply"/>
    <x:cfRule type="containsText" dxfId="1" priority="2" operator="containsText" text="Replied"/>
  </x:conditionalFormatting>
  <x:pageMargins left="0.7" right="0.7" top="0.75" bottom="0.75" header="0.3" footer="0.3"/>
  <x:tableParts count="1">
    <x:tablePart xmlns:r="http://schemas.openxmlformats.org/officeDocument/2006/relationships" r:id="R2e04641c5aa6409f"/>
  </x:tableParts>
</x:worksheet>
</file>

<file path=xl/worksheets/sheet2.xml><?xml version="1.0" encoding="utf-8"?>
<x:worksheet xmlns:x="http://schemas.openxmlformats.org/spreadsheetml/2006/main">
  <x:sheetPr>
    <x:tabColor rgb="FF173B56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17" hidden="0" customWidth="1"/>
    <x:col min="4" max="4" width="17" hidden="0" customWidth="1"/>
    <x:col min="5" max="5" width="36" hidden="0" customWidth="1"/>
    <x:col min="6" max="6" width="15" hidden="0" customWidth="1"/>
    <x:col min="7" max="7" width="15" hidden="0" customWidth="1"/>
    <x:col min="8" max="8" width="26" hidden="0" customWidth="1"/>
    <x:col min="9" max="9" width="65" hidden="0" customWidth="1"/>
    <x:col min="10" max="10" width="17" hidden="0" customWidth="1"/>
    <x:col min="11" max="11" width="38" hidden="0" customWidth="1"/>
    <x:col min="12" max="12" width="60" hidden="0" customWidth="1"/>
    <x:col min="13" max="13" width="48" hidden="0" customWidth="1"/>
    <x:col min="14" max="14" width="22" hidden="0" customWidth="1"/>
    <x:col min="15" max="15" width="65" hidden="0" customWidth="1"/>
  </x:cols>
  <x:sheetData>
    <x:row r="1" ht="34" customHeight="1">
      <x:c r="A1" s="3" t="str">
        <x:v>Investor outreach activity log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>
      <x:c r="A2" s="4" t="str">
        <x:v>Append one interaction per row. Use a new, increasing Entry number and the Contact ID from Contacts.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4" t="str">
        <x:v>Draft · confidential · local register · checked 2026-10-03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Capacity: 1,000 activity rows. Keep Entry numbers unique and increasing; see README for extending the register.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32" customHeight="1">
      <x:c r="A7" s="6" t="str">
        <x:v>Entry</x:v>
      </x:c>
      <x:c r="B7" s="6" t="str">
        <x:v>Contact ID</x:v>
      </x:c>
      <x:c r="C7" s="6" t="str">
        <x:v>Date</x:v>
      </x:c>
      <x:c r="D7" s="6" t="str">
        <x:v>Displayed time</x:v>
      </x:c>
      <x:c r="E7" s="6" t="str">
        <x:v>Timezone</x:v>
      </x:c>
      <x:c r="F7" s="6" t="str">
        <x:v>Channel</x:v>
      </x:c>
      <x:c r="G7" s="6" t="str">
        <x:v>Direction</x:v>
      </x:c>
      <x:c r="H7" s="6" t="str">
        <x:v>Status</x:v>
      </x:c>
      <x:c r="I7" s="6" t="str">
        <x:v>Subject / interaction</x:v>
      </x:c>
      <x:c r="J7" s="6" t="str">
        <x:v>Follow-up date</x:v>
      </x:c>
      <x:c r="K7" s="6" t="str">
        <x:v>Next action</x:v>
      </x:c>
      <x:c r="L7" s="6" t="str">
        <x:v>Thread URL</x:v>
      </x:c>
      <x:c r="M7" s="6" t="str">
        <x:v>Conversation file</x:v>
      </x:c>
      <x:c r="N7" s="6" t="str">
        <x:v>Owner</x:v>
      </x:c>
      <x:c r="O7" s="6" t="str">
        <x:v>Evidence / source</x:v>
      </x:c>
    </x:row>
    <x:row r="8" ht="34" customHeight="1">
      <x:c r="A8" s="10" t="n">
        <x:v>1</x:v>
      </x:c>
      <x:c r="B8" s="10" t="str">
        <x:v>CON-3693ac5238</x:v>
      </x:c>
      <x:c r="C8" s="11" t="d">
        <x:v>2026-10-03T00:00:00.000Z</x:v>
      </x:c>
      <x:c r="D8" s="10" t="str">
        <x:v>3:30 PM</x:v>
      </x:c>
      <x:c r="E8" s="10" t="str">
        <x:v>Unknown — not exposed by LinkedIn</x:v>
      </x:c>
      <x:c r="F8" s="10" t="str">
        <x:v>LinkedIn</x:v>
      </x:c>
      <x:c r="G8" s="10" t="str">
        <x:v>Outbound</x:v>
      </x:c>
      <x:c r="H8" s="10" t="str">
        <x:v>Sent awaiting reply</x:v>
      </x:c>
      <x:c r="I8" s="10" t="str">
        <x:v>Circularo - Trust Infrastructure for the Agentic AI Era</x:v>
      </x:c>
      <x:c r="J8" s="11"/>
      <x:c r="K8" s="10" t="str">
        <x:v>Review reply; arrange LA meeting</x:v>
      </x:c>
      <x:c r="L8" s="10" t="str">
        <x:v>https://www.linkedin.com/messaging/thread/2-YjNlNmQwZGQtNDRhNy00NGY2LTkwY2MtOTI1N2E1NzM5ZDgwXzEwMA==/</x:v>
      </x:c>
      <x:c r="M8" s="10" t="str">
        <x:v>conversations/kobie-fuller.md</x:v>
      </x:c>
      <x:c r="N8" s="10" t="str">
        <x:v>Josef Neumann</x:v>
      </x:c>
      <x:c r="O8" s="10" t="str">
        <x:v>Authenticated LinkedIn visible message; no response at capture</x:v>
      </x:c>
    </x:row>
    <x:row r="9" ht="34" customHeight="1">
      <x:c r="A9" s="10" t="n">
        <x:v>2</x:v>
      </x:c>
      <x:c r="B9" s="10" t="str">
        <x:v>CON-b47cdf8025</x:v>
      </x:c>
      <x:c r="C9" s="11" t="d">
        <x:v>2026-10-03T00:00:00.000Z</x:v>
      </x:c>
      <x:c r="D9" s="10" t="str">
        <x:v>3:28 PM</x:v>
      </x:c>
      <x:c r="E9" s="10" t="str">
        <x:v>Unknown — not exposed by LinkedIn</x:v>
      </x:c>
      <x:c r="F9" s="10" t="str">
        <x:v>LinkedIn</x:v>
      </x:c>
      <x:c r="G9" s="10" t="str">
        <x:v>Outbound</x:v>
      </x:c>
      <x:c r="H9" s="10" t="str">
        <x:v>Sent awaiting reply</x:v>
      </x:c>
      <x:c r="I9" s="10" t="str">
        <x:v>Circularo - Digital Trust &amp; Workflow Infrastructure</x:v>
      </x:c>
      <x:c r="J9" s="11"/>
      <x:c r="K9" s="10" t="str">
        <x:v>Review reply; arrange LA meeting</x:v>
      </x:c>
      <x:c r="L9" s="10" t="str">
        <x:v>https://www.linkedin.com/messaging/thread/2-ZmJmYmZkM2QtMmY0Zi00YzZkLWJmZmItN2NlMGU2ZjVmNGY3XzEwMA==/</x:v>
      </x:c>
      <x:c r="M9" s="10" t="str">
        <x:v>conversations/paul-huber.md</x:v>
      </x:c>
      <x:c r="N9" s="10" t="str">
        <x:v>Josef Neumann</x:v>
      </x:c>
      <x:c r="O9" s="10" t="str">
        <x:v>Authenticated LinkedIn visible message; no response at capture</x:v>
      </x:c>
    </x:row>
    <x:row r="10" ht="34" customHeight="1">
      <x:c r="A10" s="10" t="n">
        <x:v>3</x:v>
      </x:c>
      <x:c r="B10" s="10" t="str">
        <x:v>CON-d0c4e0ef20</x:v>
      </x:c>
      <x:c r="C10" s="11" t="d">
        <x:v>2026-10-03T00:00:00.000Z</x:v>
      </x:c>
      <x:c r="D10" s="10" t="str">
        <x:v>3:25 PM</x:v>
      </x:c>
      <x:c r="E10" s="10" t="str">
        <x:v>Unknown — not exposed by LinkedIn</x:v>
      </x:c>
      <x:c r="F10" s="10" t="str">
        <x:v>LinkedIn</x:v>
      </x:c>
      <x:c r="G10" s="10" t="str">
        <x:v>Outbound</x:v>
      </x:c>
      <x:c r="H10" s="10" t="str">
        <x:v>Sent awaiting reply</x:v>
      </x:c>
      <x:c r="I10" s="10" t="str">
        <x:v>Profitable bootstrapped software platform -&gt; Circularo</x:v>
      </x:c>
      <x:c r="J10" s="11"/>
      <x:c r="K10" s="10" t="str">
        <x:v>Review reply; arrange LA meeting</x:v>
      </x:c>
      <x:c r="L10" s="10" t="str">
        <x:v>https://www.linkedin.com/messaging/thread/2-YzQ2ZDlhZjItM2EwMi00YWQ1LWI4ZGQtMGYyYWIzY2ZmNWNjXzEwMA==/</x:v>
      </x:c>
      <x:c r="M10" s="10" t="str">
        <x:v>conversations/ryan-laurin.md</x:v>
      </x:c>
      <x:c r="N10" s="10" t="str">
        <x:v>Josef Neumann</x:v>
      </x:c>
      <x:c r="O10" s="10" t="str">
        <x:v>Authenticated LinkedIn visible message; no response at capture</x:v>
      </x:c>
    </x:row>
    <x:row r="11" ht="34" customHeight="1">
      <x:c r="A11" s="10" t="n">
        <x:v>4</x:v>
      </x:c>
      <x:c r="B11" s="10" t="str">
        <x:v>CON-13fe0d21fb</x:v>
      </x:c>
      <x:c r="C11" s="11" t="d">
        <x:v>2026-10-03T00:00:00.000Z</x:v>
      </x:c>
      <x:c r="D11" s="10" t="str">
        <x:v>3:22 PM</x:v>
      </x:c>
      <x:c r="E11" s="10" t="str">
        <x:v>Unknown — not exposed by LinkedIn</x:v>
      </x:c>
      <x:c r="F11" s="10" t="str">
        <x:v>LinkedIn</x:v>
      </x:c>
      <x:c r="G11" s="10" t="str">
        <x:v>Outbound</x:v>
      </x:c>
      <x:c r="H11" s="10" t="str">
        <x:v>Sent awaiting reply</x:v>
      </x:c>
      <x:c r="I11" s="10" t="str">
        <x:v>Circularo -&gt; Sovereign Digital Trust Infrastructure for the Agentic AI Era</x:v>
      </x:c>
      <x:c r="J11" s="11"/>
      <x:c r="K11" s="10" t="str">
        <x:v>Review reply; arrange LA meeting</x:v>
      </x:c>
      <x:c r="L11" s="10" t="str">
        <x:v>https://www.linkedin.com/messaging/thread/2-ZmY4NDNjZGMtNjE3Ny00MjgyLTlkZTEtN2UwNTVjNTI1NGJjXzEwMA==/</x:v>
      </x:c>
      <x:c r="M11" s="10" t="str">
        <x:v>conversations/hasan-askari.md</x:v>
      </x:c>
      <x:c r="N11" s="10" t="str">
        <x:v>Josef Neumann</x:v>
      </x:c>
      <x:c r="O11" s="10" t="str">
        <x:v>Authenticated LinkedIn visible message; no response at capture</x:v>
      </x:c>
    </x:row>
    <x:row r="12" ht="34" customHeight="1">
      <x:c r="A12" s="10" t="n">
        <x:v>5</x:v>
      </x:c>
      <x:c r="B12" s="10" t="str">
        <x:v>CON-97c191fcf4</x:v>
      </x:c>
      <x:c r="C12" s="11" t="d">
        <x:v>2026-10-03T00:00:00.000Z</x:v>
      </x:c>
      <x:c r="D12" s="10" t="str">
        <x:v>3:20 PM</x:v>
      </x:c>
      <x:c r="E12" s="10" t="str">
        <x:v>Unknown — not exposed by LinkedIn</x:v>
      </x:c>
      <x:c r="F12" s="10" t="str">
        <x:v>LinkedIn</x:v>
      </x:c>
      <x:c r="G12" s="10" t="str">
        <x:v>Outbound</x:v>
      </x:c>
      <x:c r="H12" s="10" t="str">
        <x:v>Sent awaiting reply</x:v>
      </x:c>
      <x:c r="I12" s="10" t="str">
        <x:v>Circularo -&gt; Digital Trust Infrastructure for the Agentic AI Era</x:v>
      </x:c>
      <x:c r="J12" s="11"/>
      <x:c r="K12" s="10" t="str">
        <x:v>Review reply; arrange LA meeting</x:v>
      </x:c>
      <x:c r="L12" s="10" t="str">
        <x:v>https://www.linkedin.com/messaging/thread/2-ZDI2NTUzNTYtOTZlMS00NjYzLTkyNTMtNWVmOGJiYjI2MzRjXzEwMA==/</x:v>
      </x:c>
      <x:c r="M12" s="10" t="str">
        <x:v>conversations/jed-leidheiser.md</x:v>
      </x:c>
      <x:c r="N12" s="10" t="str">
        <x:v>Josef Neumann</x:v>
      </x:c>
      <x:c r="O12" s="10" t="str">
        <x:v>Authenticated LinkedIn visible message; no response at capture</x:v>
      </x:c>
    </x:row>
    <x:row r="13" ht="34" customHeight="1">
      <x:c r="A13" s="10" t="n">
        <x:v>6</x:v>
      </x:c>
      <x:c r="B13" s="10" t="str">
        <x:v>CON-58878be8b7</x:v>
      </x:c>
      <x:c r="C13" s="11" t="d">
        <x:v>2026-10-03T00:00:00.000Z</x:v>
      </x:c>
      <x:c r="D13" s="10" t="str">
        <x:v>3:18 PM</x:v>
      </x:c>
      <x:c r="E13" s="10" t="str">
        <x:v>Unknown — not exposed by LinkedIn</x:v>
      </x:c>
      <x:c r="F13" s="10" t="str">
        <x:v>LinkedIn</x:v>
      </x:c>
      <x:c r="G13" s="10" t="str">
        <x:v>Outbound</x:v>
      </x:c>
      <x:c r="H13" s="10" t="str">
        <x:v>Sent awaiting reply</x:v>
      </x:c>
      <x:c r="I13" s="10" t="str">
        <x:v>Profitable bootstrapped digital trust platform — Circularo</x:v>
      </x:c>
      <x:c r="J13" s="11"/>
      <x:c r="K13" s="10" t="str">
        <x:v>Review reply; arrange LA meeting</x:v>
      </x:c>
      <x:c r="L13" s="10" t="str">
        <x:v>https://www.linkedin.com/messaging/thread/2-MmQ4MzczOTgtMDM0MC00MzU5LTk1ZDktNWNhMGI5NTNkMDAzXzEwMA==/</x:v>
      </x:c>
      <x:c r="M13" s="10" t="str">
        <x:v>conversations/thomas-oh.md</x:v>
      </x:c>
      <x:c r="N13" s="10" t="str">
        <x:v>Josef Neumann</x:v>
      </x:c>
      <x:c r="O13" s="10" t="str">
        <x:v>Authenticated LinkedIn visible message; no response at capture</x:v>
      </x:c>
    </x:row>
    <x:row r="14" ht="34" customHeight="1">
      <x:c r="A14" s="10" t="n">
        <x:v>7</x:v>
      </x:c>
      <x:c r="B14" s="10" t="str">
        <x:v>CON-c2f2509ec0</x:v>
      </x:c>
      <x:c r="C14" s="11" t="d">
        <x:v>2026-10-03T00:00:00.000Z</x:v>
      </x:c>
      <x:c r="D14" s="10" t="str">
        <x:v>2:52 PM</x:v>
      </x:c>
      <x:c r="E14" s="10" t="str">
        <x:v>Unknown — not exposed by LinkedIn</x:v>
      </x:c>
      <x:c r="F14" s="10" t="str">
        <x:v>LinkedIn</x:v>
      </x:c>
      <x:c r="G14" s="10" t="str">
        <x:v>Outbound</x:v>
      </x:c>
      <x:c r="H14" s="10" t="str">
        <x:v>Sent awaiting reply</x:v>
      </x:c>
      <x:c r="I14" s="10" t="str">
        <x:v>Circularo-&gt; Digital Trust Infrastructure for the Agentic AI Era.</x:v>
      </x:c>
      <x:c r="J14" s="11"/>
      <x:c r="K14" s="10" t="str">
        <x:v>Review reply; arrange LA meeting</x:v>
      </x:c>
      <x:c r="L14" s="10" t="str">
        <x:v>https://www.linkedin.com/messaging/thread/2-ODcxZjQ0MzEtNzU0Zi00YzJjLTk1NDQtMDAzNzYwNDQ4NzBjXzEwMA==/</x:v>
      </x:c>
      <x:c r="M14" s="10" t="str">
        <x:v>conversations/dylan-pearce.md</x:v>
      </x:c>
      <x:c r="N14" s="10" t="str">
        <x:v>Josef Neumann</x:v>
      </x:c>
      <x:c r="O14" s="10" t="str">
        <x:v>Authenticated LinkedIn visible message; no response at capture</x:v>
      </x:c>
    </x:row>
    <x:row r="15" ht="34" customHeight="1">
      <x:c r="A15" s="10" t="n">
        <x:v>8</x:v>
      </x:c>
      <x:c r="B15" s="10" t="str">
        <x:v>CON-9284e55365</x:v>
      </x:c>
      <x:c r="C15" s="11" t="d">
        <x:v>2026-10-03T00:00:00.000Z</x:v>
      </x:c>
      <x:c r="D15" s="10" t="str">
        <x:v>1:00 AM</x:v>
      </x:c>
      <x:c r="E15" s="10" t="str">
        <x:v>Unknown — not exposed by LinkedIn</x:v>
      </x:c>
      <x:c r="F15" s="10" t="str">
        <x:v>LinkedIn</x:v>
      </x:c>
      <x:c r="G15" s="10" t="str">
        <x:v>Outbound</x:v>
      </x:c>
      <x:c r="H15" s="10" t="str">
        <x:v>Sent awaiting reply</x:v>
      </x:c>
      <x:c r="I15" s="10" t="str">
        <x:v>Circularo × Singtel Innov8 — digital trust and strategic investment</x:v>
      </x:c>
      <x:c r="J15" s="11"/>
      <x:c r="K15" s="10" t="str">
        <x:v>Review reply; arrange introductory call</x:v>
      </x:c>
      <x:c r="L15" s="10" t="str">
        <x:v>https://www.linkedin.com/messaging/thread/2-NjI0YWIyYzAtMWQ5Ni00ZDM1LWI1ZWEtMzUxNDNiNjljMzZjXzEwMA==/</x:v>
      </x:c>
      <x:c r="M15" s="10" t="str">
        <x:v>conversations/alex-neo.md</x:v>
      </x:c>
      <x:c r="N15" s="10" t="str">
        <x:v>Josef Neumann</x:v>
      </x:c>
      <x:c r="O15" s="10" t="str">
        <x:v>Authenticated LinkedIn visible message; no response at capture</x:v>
      </x:c>
    </x:row>
    <x:row r="16" ht="34" customHeight="1">
      <x:c r="A16" s="10"/>
      <x:c r="B16" s="10"/>
      <x:c r="C16" s="11"/>
      <x:c r="D16" s="10"/>
      <x:c r="E16" s="10"/>
      <x:c r="F16" s="10"/>
      <x:c r="G16" s="10"/>
      <x:c r="H16" s="10"/>
      <x:c r="I16" s="10"/>
      <x:c r="J16" s="11"/>
      <x:c r="K16" s="10"/>
      <x:c r="L16" s="10"/>
      <x:c r="M16" s="10"/>
      <x:c r="N16" s="10"/>
      <x:c r="O16" s="10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</x:row>
  </x:sheetData>
  <x:dataValidations count="2">
    <x:dataValidation type="list" sqref="H8:H16">
      <x:formula1>"Sent awaiting reply,Replied,Follow-up sent,Meeting proposed,Meeting confirmed,Met,Paused,Declined,Closed"</x:formula1>
    </x:dataValidation>
    <x:dataValidation type="list" sqref="G8:G16">
      <x:formula1>"Outbound,Inbound,Meeting,Internal note"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c9857cd8674e36"/>
  </x:tableParts>
</x:worksheet>
</file>

<file path=xl/worksheets/sheet3.xml><?xml version="1.0" encoding="utf-8"?>
<x:worksheet xmlns:x="http://schemas.openxmlformats.org/spreadsheetml/2006/main">
  <x:sheetPr>
    <x:tabColor rgb="FF173B56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1" hidden="0" customWidth="1"/>
    <x:col min="2" max="2" width="32" hidden="0" customWidth="1"/>
    <x:col min="3" max="3" width="25" hidden="0" customWidth="1"/>
    <x:col min="4" max="4" width="18" hidden="0" customWidth="1"/>
    <x:col min="5" max="5" width="43" hidden="0" customWidth="1"/>
    <x:col min="6" max="6" width="48" hidden="0" customWidth="1"/>
    <x:col min="7" max="7" width="28" hidden="0" customWidth="1"/>
    <x:col min="8" max="8" width="42" hidden="0" customWidth="1"/>
    <x:col min="9" max="9" width="60" hidden="0" customWidth="1"/>
    <x:col min="10" max="10" width="70" hidden="0" customWidth="1"/>
  </x:cols>
  <x:sheetData>
    <x:row r="1" ht="34" customHeight="1">
      <x:c r="A1" s="3" t="str">
        <x:v>Investor organisations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Research coverage, including firms without an identified person. Outreach history is recorded per person.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4" t="str">
        <x:v>Draft · confidential · local register · checked 2026-10-03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32" customHeight="1">
      <x:c r="A7" s="6" t="str">
        <x:v>Organisation ID</x:v>
      </x:c>
      <x:c r="B7" s="6" t="str">
        <x:v>Organisation</x:v>
      </x:c>
      <x:c r="C7" s="6" t="str">
        <x:v>Batches</x:v>
      </x:c>
      <x:c r="D7" s="6" t="str">
        <x:v>Named contacts</x:v>
      </x:c>
      <x:c r="E7" s="6" t="str">
        <x:v>Website</x:v>
      </x:c>
      <x:c r="F7" s="6" t="str">
        <x:v>Company LinkedIn</x:v>
      </x:c>
      <x:c r="G7" s="6" t="str">
        <x:v>Region / location</x:v>
      </x:c>
      <x:c r="H7" s="6" t="str">
        <x:v>Investor type</x:v>
      </x:c>
      <x:c r="I7" s="6" t="str">
        <x:v>Source files</x:v>
      </x:c>
      <x:c r="J7" s="6" t="str">
        <x:v>Qualification caution</x:v>
      </x:c>
    </x:row>
    <x:row r="8" ht="34" customHeight="1">
      <x:c r="A8" s="8" t="str">
        <x:v>ORG-694ed82397</x:v>
      </x:c>
      <x:c r="B8" s="8" t="str">
        <x:v>Accenture / Accenture Ventures</x:v>
      </x:c>
      <x:c r="C8" s="8" t="str">
        <x:v>Batch 01</x:v>
      </x:c>
      <x:c r="D8" s="8" t="n">
        <x:v>0</x:v>
      </x:c>
      <x:c r="E8" s="8" t="str">
        <x:v>https://accenture.com</x:v>
      </x:c>
      <x:c r="F8" s="8" t="str">
        <x:v>https://www.linkedin.com/company/accenture/</x:v>
      </x:c>
      <x:c r="G8" s="8" t="str">
        <x:v>Europe</x:v>
      </x:c>
      <x:c r="H8" s="8" t="str">
        <x:v>Technology services / corporate venture</x:v>
      </x:c>
      <x:c r="I8" s="8" t="str">
        <x:v>outreach-batch-01/qualified-candidates.json</x:v>
      </x:c>
      <x:c r="J8" s="8" t="str">
        <x:v>Research candidate; transaction fit and interest unconfirmed.</x:v>
      </x:c>
    </x:row>
    <x:row r="9" ht="34" customHeight="1">
      <x:c r="A9" s="8" t="str">
        <x:v>ORG-ee9021c84f</x:v>
      </x:c>
      <x:c r="B9" s="8" t="str">
        <x:v>Adobe</x:v>
      </x:c>
      <x:c r="C9" s="8" t="str">
        <x:v>Batch 01; Batch 04</x:v>
      </x:c>
      <x:c r="D9" s="8" t="n">
        <x:v>1</x:v>
      </x:c>
      <x:c r="E9" s="8" t="str">
        <x:v>https://adobe.com</x:v>
      </x:c>
      <x:c r="F9" s="8" t="str">
        <x:v>https://www.linkedin.com/company/adobe/</x:v>
      </x:c>
      <x:c r="G9" s="8" t="str">
        <x:v>United States</x:v>
      </x:c>
      <x:c r="H9" s="8" t="str">
        <x:v>Enterprise software corporate</x:v>
      </x:c>
      <x:c r="I9" s="8" t="str">
        <x:v>outreach-batch-01/qualified-candidates.json; outreach-batch-04/tech-week-events.json</x:v>
      </x:c>
      <x:c r="J9" s="8" t="str">
        <x:v>Tech Week speaker/moderator route; participation is organiser-listed, not personally confirmed.</x:v>
      </x:c>
    </x:row>
    <x:row r="10" ht="34" customHeight="1">
      <x:c r="A10" s="8" t="str">
        <x:v>ORG-60d9c3faed</x:v>
      </x:c>
      <x:c r="B10" s="8" t="str">
        <x:v>ADQ</x:v>
      </x:c>
      <x:c r="C10" s="8" t="str">
        <x:v>Batch 01</x:v>
      </x:c>
      <x:c r="D10" s="8" t="n">
        <x:v>0</x:v>
      </x:c>
      <x:c r="E10" s="8" t="str">
        <x:v>https://adq.ae</x:v>
      </x:c>
      <x:c r="F10" s="8" t="str">
        <x:v>https://www.linkedin.com/company/adqofficial/</x:v>
      </x:c>
      <x:c r="G10" s="8" t="str">
        <x:v>UAE/GCC</x:v>
      </x:c>
      <x:c r="H10" s="8" t="str">
        <x:v>Sovereign holding group</x:v>
      </x:c>
      <x:c r="I10" s="8" t="str">
        <x:v>outreach-batch-01/qualified-candidates.json</x:v>
      </x:c>
      <x:c r="J10" s="8" t="str">
        <x:v>Research candidate; transaction fit and interest unconfirmed.</x:v>
      </x:c>
    </x:row>
    <x:row r="11" ht="34" customHeight="1">
      <x:c r="A11" s="8" t="str">
        <x:v>ORG-b9ebc6df43</x:v>
      </x:c>
      <x:c r="B11" s="8" t="str">
        <x:v>Advania</x:v>
      </x:c>
      <x:c r="C11" s="8" t="str">
        <x:v>Batch 01</x:v>
      </x:c>
      <x:c r="D11" s="8" t="n">
        <x:v>0</x:v>
      </x:c>
      <x:c r="E11" s="8" t="str">
        <x:v>https://advania.com</x:v>
      </x:c>
      <x:c r="F11" s="8" t="str">
        <x:v>https://www.linkedin.com/company/advania/</x:v>
      </x:c>
      <x:c r="G11" s="8" t="str">
        <x:v>Europe</x:v>
      </x:c>
      <x:c r="H11" s="8" t="str">
        <x:v>IT services / technology group</x:v>
      </x:c>
      <x:c r="I11" s="8" t="str">
        <x:v>outreach-batch-01/qualified-candidates.json</x:v>
      </x:c>
      <x:c r="J11" s="8" t="str">
        <x:v>Research candidate; transaction fit and interest unconfirmed.</x:v>
      </x:c>
    </x:row>
    <x:row r="12" ht="34" customHeight="1">
      <x:c r="A12" s="8" t="str">
        <x:v>ORG-c8b5367d34</x:v>
      </x:c>
      <x:c r="B12" s="8" t="str">
        <x:v>Al Ghurair</x:v>
      </x:c>
      <x:c r="C12" s="8" t="str">
        <x:v>Batch 01</x:v>
      </x:c>
      <x:c r="D12" s="8" t="n">
        <x:v>0</x:v>
      </x:c>
      <x:c r="E12" s="8" t="str">
        <x:v>https://al-ghurair.com</x:v>
      </x:c>
      <x:c r="F12" s="8" t="str">
        <x:v>https://www.linkedin.com/company/alghurair/</x:v>
      </x:c>
      <x:c r="G12" s="8" t="str">
        <x:v>UAE/GCC</x:v>
      </x:c>
      <x:c r="H12" s="8" t="str">
        <x:v>Operating holding group</x:v>
      </x:c>
      <x:c r="I12" s="8" t="str">
        <x:v>outreach-batch-01/qualified-candidates.json</x:v>
      </x:c>
      <x:c r="J12" s="8" t="str">
        <x:v>Research candidate; transaction fit and interest unconfirmed.</x:v>
      </x:c>
    </x:row>
    <x:row r="13" ht="34" customHeight="1">
      <x:c r="A13" s="8" t="str">
        <x:v>ORG-09fa87391c</x:v>
      </x:c>
      <x:c r="B13" s="8" t="str">
        <x:v>Al Nowais Investments</x:v>
      </x:c>
      <x:c r="C13" s="8" t="str">
        <x:v>Batch 01; Batch 02</x:v>
      </x:c>
      <x:c r="D13" s="8" t="n">
        <x:v>0</x:v>
      </x:c>
      <x:c r="E13" s="8" t="str">
        <x:v>https://alnowais.com</x:v>
      </x:c>
      <x:c r="F13" s="8" t="str">
        <x:v>https://www.linkedin.com/company/alnowais-investments/</x:v>
      </x:c>
      <x:c r="G13" s="8" t="str">
        <x:v>UAE/GCC</x:v>
      </x:c>
      <x:c r="H13" s="8" t="str">
        <x:v>Principal investment / holding group</x:v>
      </x:c>
      <x:c r="I13" s="8" t="str">
        <x:v>outreach-batch-01/qualified-candidates.json; outreach-batch-02/candidates.json</x:v>
      </x:c>
      <x:c r="J13" s="8" t="str">
        <x:v>Research candidate; transaction fit and interest unconfirmed.</x:v>
      </x:c>
    </x:row>
    <x:row r="14" ht="34" customHeight="1">
      <x:c r="A14" s="8" t="str">
        <x:v>ORG-dac597b435</x:v>
      </x:c>
      <x:c r="B14" s="8" t="str">
        <x:v>Al-Futtaim Group</x:v>
      </x:c>
      <x:c r="C14" s="8" t="str">
        <x:v>Batch 01</x:v>
      </x:c>
      <x:c r="D14" s="8" t="n">
        <x:v>0</x:v>
      </x:c>
      <x:c r="E14" s="8" t="str">
        <x:v>https://alfuttaim.com</x:v>
      </x:c>
      <x:c r="F14" s="8" t="str">
        <x:v>https://www.linkedin.com/company/alfuttaim/</x:v>
      </x:c>
      <x:c r="G14" s="8" t="str">
        <x:v>UAE/GCC</x:v>
      </x:c>
      <x:c r="H14" s="8" t="str">
        <x:v>Operating holding group</x:v>
      </x:c>
      <x:c r="I14" s="8" t="str">
        <x:v>outreach-batch-01/qualified-candidates.json</x:v>
      </x:c>
      <x:c r="J14" s="8" t="str">
        <x:v>Research candidate; transaction fit and interest unconfirmed.</x:v>
      </x:c>
    </x:row>
    <x:row r="15" ht="34" customHeight="1">
      <x:c r="A15" s="8" t="str">
        <x:v>ORG-83a9df5294</x:v>
      </x:c>
      <x:c r="B15" s="8" t="str">
        <x:v>Amazon / AWS</x:v>
      </x:c>
      <x:c r="C15" s="8" t="str">
        <x:v>Batch 01</x:v>
      </x:c>
      <x:c r="D15" s="8" t="n">
        <x:v>0</x:v>
      </x:c>
      <x:c r="E15" s="8" t="str">
        <x:v>https://aws.amazon.com</x:v>
      </x:c>
      <x:c r="F15" s="8" t="str">
        <x:v>https://www.linkedin.com/company/amazon/</x:v>
      </x:c>
      <x:c r="G15" s="8" t="str">
        <x:v>United States</x:v>
      </x:c>
      <x:c r="H15" s="8" t="str">
        <x:v>Cloud / AI corporate</x:v>
      </x:c>
      <x:c r="I15" s="8" t="str">
        <x:v>outreach-batch-01/qualified-candidates.json</x:v>
      </x:c>
      <x:c r="J15" s="8" t="str">
        <x:v>Research candidate; transaction fit and interest unconfirmed.</x:v>
      </x:c>
    </x:row>
    <x:row r="16" ht="34" customHeight="1">
      <x:c r="A16" s="8" t="str">
        <x:v>ORG-4af9552503</x:v>
      </x:c>
      <x:c r="B16" s="8" t="str">
        <x:v>Aramco Ventures</x:v>
      </x:c>
      <x:c r="C16" s="8" t="str">
        <x:v>Batch 01</x:v>
      </x:c>
      <x:c r="D16" s="8" t="n">
        <x:v>0</x:v>
      </x:c>
      <x:c r="E16" s="8" t="str">
        <x:v>https://aramcoventures.com</x:v>
      </x:c>
      <x:c r="F16" s="8" t="str">
        <x:v>https://www.linkedin.com/company/aramcoventures/</x:v>
      </x:c>
      <x:c r="G16" s="8" t="str">
        <x:v>UAE/GCC</x:v>
      </x:c>
      <x:c r="H16" s="8" t="str">
        <x:v>Corporate investment arm</x:v>
      </x:c>
      <x:c r="I16" s="8" t="str">
        <x:v>outreach-batch-01/qualified-candidates.json</x:v>
      </x:c>
      <x:c r="J16" s="8" t="str">
        <x:v>Research candidate; transaction fit and interest unconfirmed.</x:v>
      </x:c>
    </x:row>
    <x:row r="17" ht="34" customHeight="1">
      <x:c r="A17" s="8" t="str">
        <x:v>ORG-54038dad72</x:v>
      </x:c>
      <x:c r="B17" s="8" t="str">
        <x:v>Arrowroot Capital</x:v>
      </x:c>
      <x:c r="C17" s="8" t="str">
        <x:v>Batch 01; Batch 04</x:v>
      </x:c>
      <x:c r="D17" s="8" t="n">
        <x:v>1</x:v>
      </x:c>
      <x:c r="E17" s="8" t="str">
        <x:v>https://www.arrowrootcapital.com/</x:v>
      </x:c>
      <x:c r="F17" s="8" t="str">
        <x:v>https://www.linkedin.com/company/arrowroot-capital</x:v>
      </x:c>
      <x:c r="G17" s="8" t="str">
        <x:v>Marina del Rey</x:v>
      </x:c>
      <x:c r="H17" s="8" t="str">
        <x:v>Software growth equity</x:v>
      </x:c>
      <x:c r="I17" s="8" t="str">
        <x:v>outreach-batch-01/qualified-candidates.json; outreach-batch-04/research.json</x:v>
      </x:c>
      <x:c r="J17" s="8" t="str">
        <x:v>Research candidate; transaction fit and interest unconfirmed.</x:v>
      </x:c>
    </x:row>
    <x:row r="18" ht="34" customHeight="1">
      <x:c r="A18" s="8" t="str">
        <x:v>ORG-fcde6f0ded</x:v>
      </x:c>
      <x:c r="B18" s="8" t="str">
        <x:v>Atos / Eviden</x:v>
      </x:c>
      <x:c r="C18" s="8" t="str">
        <x:v>Batch 01</x:v>
      </x:c>
      <x:c r="D18" s="8" t="n">
        <x:v>0</x:v>
      </x:c>
      <x:c r="E18" s="8" t="str">
        <x:v>https://atos.net</x:v>
      </x:c>
      <x:c r="F18" s="8" t="str">
        <x:v>https://www.linkedin.com/company/eviden/</x:v>
      </x:c>
      <x:c r="G18" s="8" t="str">
        <x:v>Europe</x:v>
      </x:c>
      <x:c r="H18" s="8" t="str">
        <x:v>Enterprise / sovereign technology group</x:v>
      </x:c>
      <x:c r="I18" s="8" t="str">
        <x:v>outreach-batch-01/qualified-candidates.json</x:v>
      </x:c>
      <x:c r="J18" s="8" t="str">
        <x:v>Research candidate; transaction fit and interest unconfirmed.</x:v>
      </x:c>
    </x:row>
    <x:row r="19" ht="34" customHeight="1">
      <x:c r="A19" s="8" t="str">
        <x:v>ORG-9ffbd94deb</x:v>
      </x:c>
      <x:c r="B19" s="8" t="str">
        <x:v>Automation Anywhere</x:v>
      </x:c>
      <x:c r="C19" s="8" t="str">
        <x:v>Batch 01</x:v>
      </x:c>
      <x:c r="D19" s="8" t="n">
        <x:v>0</x:v>
      </x:c>
      <x:c r="E19" s="8" t="str">
        <x:v>https://automationanywhere.com</x:v>
      </x:c>
      <x:c r="F19" s="8" t="str">
        <x:v>https://www.linkedin.com/company/automation-anywhere/</x:v>
      </x:c>
      <x:c r="G19" s="8" t="str">
        <x:v>United States</x:v>
      </x:c>
      <x:c r="H19" s="8" t="str">
        <x:v>Automation / agentic software company</x:v>
      </x:c>
      <x:c r="I19" s="8" t="str">
        <x:v>outreach-batch-01/qualified-candidates.json</x:v>
      </x:c>
      <x:c r="J19" s="8" t="str">
        <x:v>Research candidate; transaction fit and interest unconfirmed.</x:v>
      </x:c>
    </x:row>
    <x:row r="20" ht="34" customHeight="1">
      <x:c r="A20" s="8" t="str">
        <x:v>ORG-d534f45144</x:v>
      </x:c>
      <x:c r="B20" s="8" t="str">
        <x:v>Battery Ventures</x:v>
      </x:c>
      <x:c r="C20" s="8" t="str">
        <x:v>Batch 03</x:v>
      </x:c>
      <x:c r="D20" s="8" t="n">
        <x:v>2</x:v>
      </x:c>
      <x:c r="E20" s="8" t="str">
        <x:v>https://www.battery.com/</x:v>
      </x:c>
      <x:c r="F20" s="8" t="str">
        <x:v>https://www.linkedin.com/company/battery-ventures/</x:v>
      </x:c>
      <x:c r="G20" s="8" t="str"/>
      <x:c r="H20" s="8" t="str"/>
      <x:c r="I20" s="8" t="str">
        <x:v>outreach-batch-03/leads/battery-ventures.md</x:v>
      </x:c>
      <x:c r="J20" s="8" t="str">
        <x:v>Research candidate; transaction fit and interest unconfirmed.</x:v>
      </x:c>
    </x:row>
    <x:row r="21" ht="34" customHeight="1">
      <x:c r="A21" s="8" t="str">
        <x:v>ORG-2d386d3756</x:v>
      </x:c>
      <x:c r="B21" s="8" t="str">
        <x:v>Beyon</x:v>
      </x:c>
      <x:c r="C21" s="8" t="str">
        <x:v>Batch 01</x:v>
      </x:c>
      <x:c r="D21" s="8" t="n">
        <x:v>2</x:v>
      </x:c>
      <x:c r="E21" s="8" t="str">
        <x:v>https://beyon.com</x:v>
      </x:c>
      <x:c r="F21" s="8" t="str">
        <x:v>https://www.linkedin.com/company/beyon-bh/</x:v>
      </x:c>
      <x:c r="G21" s="8" t="str">
        <x:v>UAE/GCC</x:v>
      </x:c>
      <x:c r="H21" s="8" t="str">
        <x:v>Telecom / digital group</x:v>
      </x:c>
      <x:c r="I21" s="8" t="str">
        <x:v>outreach-batch-01/qualified-candidates.json</x:v>
      </x:c>
      <x:c r="J21" s="8" t="str">
        <x:v>Research candidate; transaction fit and interest unconfirmed.</x:v>
      </x:c>
    </x:row>
    <x:row r="22" ht="34" customHeight="1">
      <x:c r="A22" s="8" t="str">
        <x:v>ORG-4a0e9200fb</x:v>
      </x:c>
      <x:c r="B22" s="8" t="str">
        <x:v>Bonfire Ventures</x:v>
      </x:c>
      <x:c r="C22" s="8" t="str">
        <x:v>Batch 04</x:v>
      </x:c>
      <x:c r="D22" s="8" t="n">
        <x:v>2</x:v>
      </x:c>
      <x:c r="E22" s="8" t="str">
        <x:v>https://www.bonfirevc.com/</x:v>
      </x:c>
      <x:c r="F22" s="8" t="str">
        <x:v>https://www.linkedin.com/company/bonfireventures</x:v>
      </x:c>
      <x:c r="G22" s="8" t="str">
        <x:v>Brentwood</x:v>
      </x:c>
      <x:c r="H22" s="8" t="str">
        <x:v>B2B seed venture capital</x:v>
      </x:c>
      <x:c r="I22" s="8" t="str">
        <x:v>outreach-batch-04/research.json</x:v>
      </x:c>
      <x:c r="J22" s="8" t="str">
        <x:v>Research candidate; transaction fit and interest unconfirmed.</x:v>
      </x:c>
    </x:row>
    <x:row r="23" ht="34" customHeight="1">
      <x:c r="A23" s="8" t="str">
        <x:v>ORG-26f8567f25</x:v>
      </x:c>
      <x:c r="B23" s="8" t="str">
        <x:v>Box</x:v>
      </x:c>
      <x:c r="C23" s="8" t="str">
        <x:v>Batch 01</x:v>
      </x:c>
      <x:c r="D23" s="8" t="n">
        <x:v>0</x:v>
      </x:c>
      <x:c r="E23" s="8" t="str">
        <x:v>https://box.com</x:v>
      </x:c>
      <x:c r="F23" s="8" t="str">
        <x:v>https://www.linkedin.com/company/box/</x:v>
      </x:c>
      <x:c r="G23" s="8" t="str">
        <x:v>United States</x:v>
      </x:c>
      <x:c r="H23" s="8" t="str">
        <x:v>Content / AI software company</x:v>
      </x:c>
      <x:c r="I23" s="8" t="str">
        <x:v>outreach-batch-01/qualified-candidates.json</x:v>
      </x:c>
      <x:c r="J23" s="8" t="str">
        <x:v>Research candidate; transaction fit and interest unconfirmed.</x:v>
      </x:c>
    </x:row>
    <x:row r="24" ht="34" customHeight="1">
      <x:c r="A24" s="8" t="str">
        <x:v>ORG-c554fbc3c8</x:v>
      </x:c>
      <x:c r="B24" s="8" t="str">
        <x:v>Bundesdruckerei Group / D-Trust</x:v>
      </x:c>
      <x:c r="C24" s="8" t="str">
        <x:v>Batch 01</x:v>
      </x:c>
      <x:c r="D24" s="8" t="n">
        <x:v>0</x:v>
      </x:c>
      <x:c r="E24" s="8" t="str">
        <x:v>https://bundesdruckerei.de</x:v>
      </x:c>
      <x:c r="F24" s="8" t="str">
        <x:v>https://www.linkedin.com/company/bundesdruckerei/</x:v>
      </x:c>
      <x:c r="G24" s="8" t="str">
        <x:v>Europe</x:v>
      </x:c>
      <x:c r="H24" s="8" t="str">
        <x:v>Sovereign identity / trust group</x:v>
      </x:c>
      <x:c r="I24" s="8" t="str">
        <x:v>outreach-batch-01/qualified-candidates.json</x:v>
      </x:c>
      <x:c r="J24" s="8" t="str">
        <x:v>Research candidate; transaction fit and interest unconfirmed.</x:v>
      </x:c>
    </x:row>
    <x:row r="25" ht="34" customHeight="1">
      <x:c r="A25" s="8" t="str">
        <x:v>ORG-f55a85b2f2</x:v>
      </x:c>
      <x:c r="B25" s="8" t="str">
        <x:v>Capgemini</x:v>
      </x:c>
      <x:c r="C25" s="8" t="str">
        <x:v>Batch 01</x:v>
      </x:c>
      <x:c r="D25" s="8" t="n">
        <x:v>0</x:v>
      </x:c>
      <x:c r="E25" s="8" t="str">
        <x:v>https://capgemini.com</x:v>
      </x:c>
      <x:c r="F25" s="8" t="str">
        <x:v>https://www.linkedin.com/company/capgemini/</x:v>
      </x:c>
      <x:c r="G25" s="8" t="str">
        <x:v>Europe</x:v>
      </x:c>
      <x:c r="H25" s="8" t="str">
        <x:v>Enterprise technology services</x:v>
      </x:c>
      <x:c r="I25" s="8" t="str">
        <x:v>outreach-batch-01/qualified-candidates.json</x:v>
      </x:c>
      <x:c r="J25" s="8" t="str">
        <x:v>Research candidate; transaction fit and interest unconfirmed.</x:v>
      </x:c>
    </x:row>
    <x:row r="26" ht="34" customHeight="1">
      <x:c r="A26" s="8" t="str">
        <x:v>ORG-b52442c86a</x:v>
      </x:c>
      <x:c r="B26" s="8" t="str">
        <x:v>Cisco Investments</x:v>
      </x:c>
      <x:c r="C26" s="8" t="str">
        <x:v>Batch 01</x:v>
      </x:c>
      <x:c r="D26" s="8" t="n">
        <x:v>2</x:v>
      </x:c>
      <x:c r="E26" s="8" t="str">
        <x:v>https://ciscoinvestments.com</x:v>
      </x:c>
      <x:c r="F26" s="8" t="str">
        <x:v>https://www.linkedin.com/company/cisco-investments/</x:v>
      </x:c>
      <x:c r="G26" s="8" t="str">
        <x:v>United States</x:v>
      </x:c>
      <x:c r="H26" s="8" t="str">
        <x:v>Corporate investment arm</x:v>
      </x:c>
      <x:c r="I26" s="8" t="str">
        <x:v>outreach-batch-01/qualified-candidates.json</x:v>
      </x:c>
      <x:c r="J26" s="8" t="str">
        <x:v>Research candidate; transaction fit and interest unconfirmed.</x:v>
      </x:c>
    </x:row>
    <x:row r="27" ht="34" customHeight="1">
      <x:c r="A27" s="8" t="str">
        <x:v>ORG-a0318d5ee1</x:v>
      </x:c>
      <x:c r="B27" s="8" t="str">
        <x:v>Clearlake Capital Group</x:v>
      </x:c>
      <x:c r="C27" s="8" t="str">
        <x:v>Batch 04</x:v>
      </x:c>
      <x:c r="D27" s="8" t="n">
        <x:v>1</x:v>
      </x:c>
      <x:c r="E27" s="8" t="str">
        <x:v>https://clearlake.com/</x:v>
      </x:c>
      <x:c r="F27" s="8" t="str">
        <x:v>https://www.linkedin.com/company/clearlake-capital-group-lp</x:v>
      </x:c>
      <x:c r="G27" s="8" t="str">
        <x:v>Santa Monica</x:v>
      </x:c>
      <x:c r="H27" s="8" t="str">
        <x:v>Private equity and other investment strategies</x:v>
      </x:c>
      <x:c r="I27" s="8" t="str">
        <x:v>outreach-batch-04/research.json</x:v>
      </x:c>
      <x:c r="J27" s="8" t="str">
        <x:v>Research candidate; transaction fit and interest unconfirmed.</x:v>
      </x:c>
    </x:row>
    <x:row r="28" ht="34" customHeight="1">
      <x:c r="A28" s="8" t="str">
        <x:v>ORG-5da06ac268</x:v>
      </x:c>
      <x:c r="B28" s="8" t="str">
        <x:v>Composition Capital</x:v>
      </x:c>
      <x:c r="C28" s="8" t="str">
        <x:v>Batch 04</x:v>
      </x:c>
      <x:c r="D28" s="8" t="n">
        <x:v>2</x:v>
      </x:c>
      <x:c r="E28" s="8" t="str">
        <x:v>https://www.compositioncap.com/home.html</x:v>
      </x:c>
      <x:c r="F28" s="8" t="str">
        <x:v>https://www.linkedin.com/company/composition-capital</x:v>
      </x:c>
      <x:c r="G28" s="8" t="str">
        <x:v>Los Angeles; precise meeting area to confirm</x:v>
      </x:c>
      <x:c r="H28" s="8" t="str">
        <x:v>Technology growth capital and private equity</x:v>
      </x:c>
      <x:c r="I28" s="8" t="str">
        <x:v>outreach-batch-04/research.json</x:v>
      </x:c>
      <x:c r="J28" s="8" t="str">
        <x:v>Research candidate; transaction fit and interest unconfirmed.</x:v>
      </x:c>
    </x:row>
    <x:row r="29" ht="34" customHeight="1">
      <x:c r="A29" s="8" t="str">
        <x:v>ORG-0e77c227d8</x:v>
      </x:c>
      <x:c r="B29" s="8" t="str">
        <x:v>Crescent Capital Partners</x:v>
      </x:c>
      <x:c r="C29" s="8" t="str">
        <x:v>Batch 03</x:v>
      </x:c>
      <x:c r="D29" s="8" t="n">
        <x:v>3</x:v>
      </x:c>
      <x:c r="E29" s="8" t="str">
        <x:v>https://www.crescentcap.com.au/</x:v>
      </x:c>
      <x:c r="F29" s="8" t="str">
        <x:v>https://www.linkedin.com/company/crescent-capital-partners/</x:v>
      </x:c>
      <x:c r="G29" s="8" t="str"/>
      <x:c r="H29" s="8" t="str"/>
      <x:c r="I29" s="8" t="str">
        <x:v>outreach-batch-03/leads/crescent-capital-partners.md</x:v>
      </x:c>
      <x:c r="J29" s="8" t="str">
        <x:v>Research candidate; transaction fit and interest unconfirmed.</x:v>
      </x:c>
    </x:row>
    <x:row r="30" ht="34" customHeight="1">
      <x:c r="A30" s="8" t="str">
        <x:v>ORG-101958dadd</x:v>
      </x:c>
      <x:c r="B30" s="8" t="str">
        <x:v>CrowdStrike</x:v>
      </x:c>
      <x:c r="C30" s="8" t="str">
        <x:v>Batch 01</x:v>
      </x:c>
      <x:c r="D30" s="8" t="n">
        <x:v>0</x:v>
      </x:c>
      <x:c r="E30" s="8" t="str">
        <x:v>https://crowdstrike.com</x:v>
      </x:c>
      <x:c r="F30" s="8" t="str">
        <x:v>https://www.linkedin.com/company/crowdstrike/</x:v>
      </x:c>
      <x:c r="G30" s="8" t="str">
        <x:v>United States</x:v>
      </x:c>
      <x:c r="H30" s="8" t="str">
        <x:v>Cybersecurity corporate / venture</x:v>
      </x:c>
      <x:c r="I30" s="8" t="str">
        <x:v>outreach-batch-01/qualified-candidates.json</x:v>
      </x:c>
      <x:c r="J30" s="8" t="str">
        <x:v>Research candidate; transaction fit and interest unconfirmed.</x:v>
      </x:c>
    </x:row>
    <x:row r="31" ht="34" customHeight="1">
      <x:c r="A31" s="8" t="str">
        <x:v>ORG-170cbb7f9a</x:v>
      </x:c>
      <x:c r="B31" s="8" t="str">
        <x:v>Dassault Systèmes</x:v>
      </x:c>
      <x:c r="C31" s="8" t="str">
        <x:v>Batch 01</x:v>
      </x:c>
      <x:c r="D31" s="8" t="n">
        <x:v>0</x:v>
      </x:c>
      <x:c r="E31" s="8" t="str">
        <x:v>https://3ds.com</x:v>
      </x:c>
      <x:c r="F31" s="8" t="str">
        <x:v>https://www.linkedin.com/company/dassaultsystemes/</x:v>
      </x:c>
      <x:c r="G31" s="8" t="str">
        <x:v>Europe</x:v>
      </x:c>
      <x:c r="H31" s="8" t="str">
        <x:v>Enterprise software corporate</x:v>
      </x:c>
      <x:c r="I31" s="8" t="str">
        <x:v>outreach-batch-01/qualified-candidates.json</x:v>
      </x:c>
      <x:c r="J31" s="8" t="str">
        <x:v>Research candidate; transaction fit and interest unconfirmed.</x:v>
      </x:c>
    </x:row>
    <x:row r="32" ht="34" customHeight="1">
      <x:c r="A32" s="8" t="str">
        <x:v>ORG-35cdac53b5</x:v>
      </x:c>
      <x:c r="B32" s="8" t="str">
        <x:v>Data#3</x:v>
      </x:c>
      <x:c r="C32" s="8" t="str">
        <x:v>Batch 01</x:v>
      </x:c>
      <x:c r="D32" s="8" t="n">
        <x:v>0</x:v>
      </x:c>
      <x:c r="E32" s="8" t="str">
        <x:v>https://data3.com</x:v>
      </x:c>
      <x:c r="F32" s="8" t="str">
        <x:v>https://www.linkedin.com/company/data3/</x:v>
      </x:c>
      <x:c r="G32" s="8" t="str">
        <x:v>ANZ</x:v>
      </x:c>
      <x:c r="H32" s="8" t="str">
        <x:v>Enterprise technology integrator</x:v>
      </x:c>
      <x:c r="I32" s="8" t="str">
        <x:v>outreach-batch-01/qualified-candidates.json</x:v>
      </x:c>
      <x:c r="J32" s="8" t="str">
        <x:v>Research candidate; transaction fit and interest unconfirmed.</x:v>
      </x:c>
    </x:row>
    <x:row r="33" ht="34" customHeight="1">
      <x:c r="A33" s="8" t="str">
        <x:v>ORG-744e48aab7</x:v>
      </x:c>
      <x:c r="B33" s="8" t="str">
        <x:v>Databricks Ventures</x:v>
      </x:c>
      <x:c r="C33" s="8" t="str">
        <x:v>Batch 01</x:v>
      </x:c>
      <x:c r="D33" s="8" t="n">
        <x:v>1</x:v>
      </x:c>
      <x:c r="E33" s="8" t="str">
        <x:v>https://databricks.com</x:v>
      </x:c>
      <x:c r="F33" s="8" t="str">
        <x:v>https://www.linkedin.com/company/databricks/</x:v>
      </x:c>
      <x:c r="G33" s="8" t="str">
        <x:v>United States</x:v>
      </x:c>
      <x:c r="H33" s="8" t="str">
        <x:v>Data / AI corporate venture</x:v>
      </x:c>
      <x:c r="I33" s="8" t="str">
        <x:v>outreach-batch-01/qualified-candidates.json</x:v>
      </x:c>
      <x:c r="J33" s="8" t="str">
        <x:v>Research candidate; transaction fit and interest unconfirmed.</x:v>
      </x:c>
    </x:row>
    <x:row r="34" ht="34" customHeight="1">
      <x:c r="A34" s="8" t="str">
        <x:v>ORG-627ad506d9</x:v>
      </x:c>
      <x:c r="B34" s="8" t="str">
        <x:v>Deutsche Telekom / T.Capital</x:v>
      </x:c>
      <x:c r="C34" s="8" t="str">
        <x:v>Batch 01</x:v>
      </x:c>
      <x:c r="D34" s="8" t="n">
        <x:v>0</x:v>
      </x:c>
      <x:c r="E34" s="8" t="str">
        <x:v>https://telekom.com</x:v>
      </x:c>
      <x:c r="F34" s="8" t="str">
        <x:v>https://www.linkedin.com/company/telekom/</x:v>
      </x:c>
      <x:c r="G34" s="8" t="str">
        <x:v>Europe</x:v>
      </x:c>
      <x:c r="H34" s="8" t="str">
        <x:v>Telecom / strategic investment group</x:v>
      </x:c>
      <x:c r="I34" s="8" t="str">
        <x:v>outreach-batch-01/qualified-candidates.json</x:v>
      </x:c>
      <x:c r="J34" s="8" t="str">
        <x:v>Research candidate; transaction fit and interest unconfirmed.</x:v>
      </x:c>
    </x:row>
    <x:row r="35" ht="34" customHeight="1">
      <x:c r="A35" s="8" t="str">
        <x:v>ORG-77633e4c62</x:v>
      </x:c>
      <x:c r="B35" s="8" t="str">
        <x:v>DigiCert</x:v>
      </x:c>
      <x:c r="C35" s="8" t="str">
        <x:v>Batch 02</x:v>
      </x:c>
      <x:c r="D35" s="8" t="n">
        <x:v>1</x:v>
      </x:c>
      <x:c r="E35" s="8" t="str">
        <x:v>https://www.digicert.com/</x:v>
      </x:c>
      <x:c r="F35" s="8" t="str">
        <x:v>https://www.linkedin.com/company/digicert-inc-/</x:v>
      </x:c>
      <x:c r="G35" s="8" t="str">
        <x:v>United States</x:v>
      </x:c>
      <x:c r="H35" s="8" t="str">
        <x:v>Operating digital-trust company</x:v>
      </x:c>
      <x:c r="I35" s="8" t="str">
        <x:v>outreach-batch-02/candidates.json</x:v>
      </x:c>
      <x:c r="J35" s="8" t="str">
        <x:v>Research candidate; transaction fit and interest unconfirmed.</x:v>
      </x:c>
    </x:row>
    <x:row r="36" ht="34" customHeight="1">
      <x:c r="A36" s="8" t="str">
        <x:v>ORG-57e5d26e58</x:v>
      </x:c>
      <x:c r="B36" s="8" t="str">
        <x:v>Diversis Capital</x:v>
      </x:c>
      <x:c r="C36" s="8" t="str">
        <x:v>Batch 04</x:v>
      </x:c>
      <x:c r="D36" s="8" t="n">
        <x:v>2</x:v>
      </x:c>
      <x:c r="E36" s="8" t="str">
        <x:v>https://www.diversis.com/</x:v>
      </x:c>
      <x:c r="F36" s="8" t="str">
        <x:v>https://www.linkedin.com/company/diversis-capital</x:v>
      </x:c>
      <x:c r="G36" s="8" t="str">
        <x:v>Century City</x:v>
      </x:c>
      <x:c r="H36" s="8" t="str">
        <x:v>Software buyout private equity</x:v>
      </x:c>
      <x:c r="I36" s="8" t="str">
        <x:v>outreach-batch-04/research.json</x:v>
      </x:c>
      <x:c r="J36" s="8" t="str">
        <x:v>Research candidate; transaction fit and interest unconfirmed.</x:v>
      </x:c>
    </x:row>
    <x:row r="37" ht="34" customHeight="1">
      <x:c r="A37" s="8" t="str">
        <x:v>ORG-6e2430424c</x:v>
      </x:c>
      <x:c r="B37" s="8" t="str">
        <x:v>Docusign / Docusign Ventures</x:v>
      </x:c>
      <x:c r="C37" s="8" t="str">
        <x:v>Batch 01</x:v>
      </x:c>
      <x:c r="D37" s="8" t="n">
        <x:v>0</x:v>
      </x:c>
      <x:c r="E37" s="8" t="str">
        <x:v>https://docusign.com</x:v>
      </x:c>
      <x:c r="F37" s="8" t="str">
        <x:v>https://www.linkedin.com/company/docusign/</x:v>
      </x:c>
      <x:c r="G37" s="8" t="str">
        <x:v>United States</x:v>
      </x:c>
      <x:c r="H37" s="8" t="str">
        <x:v>Agreement corporate / venture</x:v>
      </x:c>
      <x:c r="I37" s="8" t="str">
        <x:v>outreach-batch-01/qualified-candidates.json</x:v>
      </x:c>
      <x:c r="J37" s="8" t="str">
        <x:v>Research candidate; transaction fit and interest unconfirmed.</x:v>
      </x:c>
    </x:row>
    <x:row r="38" ht="34" customHeight="1">
      <x:c r="A38" s="8" t="str">
        <x:v>ORG-c2b2bc5038</x:v>
      </x:c>
      <x:c r="B38" s="8" t="str">
        <x:v>Dubai Holding</x:v>
      </x:c>
      <x:c r="C38" s="8" t="str">
        <x:v>Batch 01</x:v>
      </x:c>
      <x:c r="D38" s="8" t="n">
        <x:v>0</x:v>
      </x:c>
      <x:c r="E38" s="8" t="str">
        <x:v>https://dubaiholding.com</x:v>
      </x:c>
      <x:c r="F38" s="8" t="str">
        <x:v>https://www.linkedin.com/company/dubai-holding/</x:v>
      </x:c>
      <x:c r="G38" s="8" t="str">
        <x:v>UAE/GCC</x:v>
      </x:c>
      <x:c r="H38" s="8" t="str">
        <x:v>Holding group</x:v>
      </x:c>
      <x:c r="I38" s="8" t="str">
        <x:v>outreach-batch-01/qualified-candidates.json</x:v>
      </x:c>
      <x:c r="J38" s="8" t="str">
        <x:v>Research candidate; transaction fit and interest unconfirmed.</x:v>
      </x:c>
    </x:row>
    <x:row r="39" ht="34" customHeight="1">
      <x:c r="A39" s="8" t="str">
        <x:v>ORG-a188401954</x:v>
      </x:c>
      <x:c r="B39" s="8" t="str">
        <x:v>e&amp;</x:v>
      </x:c>
      <x:c r="C39" s="8" t="str">
        <x:v>Batch 01; Batch 02</x:v>
      </x:c>
      <x:c r="D39" s="8" t="n">
        <x:v>1</x:v>
      </x:c>
      <x:c r="E39" s="8" t="str">
        <x:v>https://eand.com</x:v>
      </x:c>
      <x:c r="F39" s="8" t="str">
        <x:v>https://www.linkedin.com/company/eandgroup/</x:v>
      </x:c>
      <x:c r="G39" s="8" t="str">
        <x:v>UAE/GCC</x:v>
      </x:c>
      <x:c r="H39" s="8" t="str">
        <x:v>Operating technology / telecom group</x:v>
      </x:c>
      <x:c r="I39" s="8" t="str">
        <x:v>outreach-batch-01/qualified-candidates.json; outreach-batch-02/candidates.json</x:v>
      </x:c>
      <x:c r="J39" s="8" t="str">
        <x:v>Research candidate; transaction fit and interest unconfirmed.</x:v>
      </x:c>
    </x:row>
    <x:row r="40" ht="34" customHeight="1">
      <x:c r="A40" s="8" t="str">
        <x:v>ORG-efc6152ef7</x:v>
      </x:c>
      <x:c r="B40" s="8" t="str">
        <x:v>Eight Roads</x:v>
      </x:c>
      <x:c r="C40" s="8" t="str">
        <x:v>Batch 03</x:v>
      </x:c>
      <x:c r="D40" s="8" t="n">
        <x:v>2</x:v>
      </x:c>
      <x:c r="E40" s="8" t="str">
        <x:v>https://eightroads.com/en/</x:v>
      </x:c>
      <x:c r="F40" s="8" t="str">
        <x:v>https://www.linkedin.com/company/eight-roads/</x:v>
      </x:c>
      <x:c r="G40" s="8" t="str"/>
      <x:c r="H40" s="8" t="str"/>
      <x:c r="I40" s="8" t="str">
        <x:v>outreach-batch-03/leads/eight-roads.md</x:v>
      </x:c>
      <x:c r="J40" s="8" t="str">
        <x:v>Research candidate; transaction fit and interest unconfirmed.</x:v>
      </x:c>
    </x:row>
    <x:row r="41" ht="34" customHeight="1">
      <x:c r="A41" s="8" t="str">
        <x:v>ORG-af9b6fe9bd</x:v>
      </x:c>
      <x:c r="B41" s="8" t="str">
        <x:v>Elm</x:v>
      </x:c>
      <x:c r="C41" s="8" t="str">
        <x:v>Batch 01; Batch 02</x:v>
      </x:c>
      <x:c r="D41" s="8" t="n">
        <x:v>2</x:v>
      </x:c>
      <x:c r="E41" s="8" t="str">
        <x:v>https://elm.sa</x:v>
      </x:c>
      <x:c r="F41" s="8" t="str">
        <x:v>https://www.linkedin.com/company/elm/</x:v>
      </x:c>
      <x:c r="G41" s="8" t="str">
        <x:v>UAE/GCC</x:v>
      </x:c>
      <x:c r="H41" s="8" t="str">
        <x:v>Operating GovTech company</x:v>
      </x:c>
      <x:c r="I41" s="8" t="str">
        <x:v>outreach-batch-01/qualified-candidates.json; outreach-batch-02/candidates.json</x:v>
      </x:c>
      <x:c r="J41" s="8" t="str">
        <x:v>Research candidate; transaction fit and interest unconfirmed.</x:v>
      </x:c>
    </x:row>
    <x:row r="42" ht="34" customHeight="1">
      <x:c r="A42" s="8" t="str">
        <x:v>ORG-9e18c9359a</x:v>
      </x:c>
      <x:c r="B42" s="8" t="str">
        <x:v>Emergence Capital</x:v>
      </x:c>
      <x:c r="C42" s="8" t="str">
        <x:v>Batch 04</x:v>
      </x:c>
      <x:c r="D42" s="8" t="n">
        <x:v>1</x:v>
      </x:c>
      <x:c r="E42" s="8" t="str"/>
      <x:c r="F42" s="8" t="str"/>
      <x:c r="G42" s="8" t="str"/>
      <x:c r="H42" s="8" t="str"/>
      <x:c r="I42" s="8" t="str">
        <x:v>outreach-batch-04/tech-week-events.json</x:v>
      </x:c>
      <x:c r="J42" s="8" t="str">
        <x:v>Tech Week speaker/moderator route; participation is organiser-listed, not personally confirmed.</x:v>
      </x:c>
    </x:row>
    <x:row r="43" ht="34" customHeight="1">
      <x:c r="A43" s="8" t="str">
        <x:v>ORG-f0228cfdb3</x:v>
      </x:c>
      <x:c r="B43" s="8" t="str">
        <x:v>Entrust</x:v>
      </x:c>
      <x:c r="C43" s="8" t="str">
        <x:v>Batch 01; Batch 02</x:v>
      </x:c>
      <x:c r="D43" s="8" t="n">
        <x:v>1</x:v>
      </x:c>
      <x:c r="E43" s="8" t="str">
        <x:v>https://entrust.com</x:v>
      </x:c>
      <x:c r="F43" s="8" t="str">
        <x:v>https://www.linkedin.com/company/entrust/</x:v>
      </x:c>
      <x:c r="G43" s="8" t="str">
        <x:v>United States</x:v>
      </x:c>
      <x:c r="H43" s="8" t="str">
        <x:v>Operating identity / digital-trust company</x:v>
      </x:c>
      <x:c r="I43" s="8" t="str">
        <x:v>outreach-batch-01/qualified-candidates.json; outreach-batch-02/candidates.json</x:v>
      </x:c>
      <x:c r="J43" s="8" t="str">
        <x:v>Research candidate; transaction fit and interest unconfirmed.</x:v>
      </x:c>
    </x:row>
    <x:row r="44" ht="34" customHeight="1">
      <x:c r="A44" s="8" t="str">
        <x:v>ORG-fcb2a8c3e8</x:v>
      </x:c>
      <x:c r="B44" s="8" t="str">
        <x:v>Fajr Capital</x:v>
      </x:c>
      <x:c r="C44" s="8" t="str">
        <x:v>Batch 02</x:v>
      </x:c>
      <x:c r="D44" s="8" t="n">
        <x:v>1</x:v>
      </x:c>
      <x:c r="E44" s="8" t="str">
        <x:v>https://fajrcapital.com/</x:v>
      </x:c>
      <x:c r="F44" s="8" t="str">
        <x:v>https://www.linkedin.com/company/fajr-capital/</x:v>
      </x:c>
      <x:c r="G44" s="8" t="str">
        <x:v>UAE/GCC</x:v>
      </x:c>
      <x:c r="H44" s="8" t="str">
        <x:v>Regional private equity</x:v>
      </x:c>
      <x:c r="I44" s="8" t="str">
        <x:v>outreach-batch-02/candidates.json</x:v>
      </x:c>
      <x:c r="J44" s="8" t="str">
        <x:v>Research candidate; transaction fit and interest unconfirmed.</x:v>
      </x:c>
    </x:row>
    <x:row r="45" ht="34" customHeight="1">
      <x:c r="A45" s="8" t="str">
        <x:v>ORG-b1f1b18944</x:v>
      </x:c>
      <x:c r="B45" s="8" t="str">
        <x:v>Fika Ventures</x:v>
      </x:c>
      <x:c r="C45" s="8" t="str">
        <x:v>Batch 04</x:v>
      </x:c>
      <x:c r="D45" s="8" t="n">
        <x:v>1</x:v>
      </x:c>
      <x:c r="E45" s="8" t="str"/>
      <x:c r="F45" s="8" t="str"/>
      <x:c r="G45" s="8" t="str"/>
      <x:c r="H45" s="8" t="str"/>
      <x:c r="I45" s="8" t="str">
        <x:v>outreach-batch-04/tech-week-events.json</x:v>
      </x:c>
      <x:c r="J45" s="8" t="str">
        <x:v>Tech Week speaker/moderator route; participation is organiser-listed, not personally confirmed.</x:v>
      </x:c>
    </x:row>
    <x:row r="46" ht="34" customHeight="1">
      <x:c r="A46" s="8" t="str">
        <x:v>ORG-c10749e7e9</x:v>
      </x:c>
      <x:c r="B46" s="8" t="str">
        <x:v>Five Elms Capital</x:v>
      </x:c>
      <x:c r="C46" s="8" t="str">
        <x:v>Batch 01; Batch 02</x:v>
      </x:c>
      <x:c r="D46" s="8" t="n">
        <x:v>2</x:v>
      </x:c>
      <x:c r="E46" s="8" t="str">
        <x:v>https://fiveelms.com</x:v>
      </x:c>
      <x:c r="F46" s="8" t="str">
        <x:v>https://www.linkedin.com/company/five-elms-capital/</x:v>
      </x:c>
      <x:c r="G46" s="8" t="str">
        <x:v>United States</x:v>
      </x:c>
      <x:c r="H46" s="8" t="str">
        <x:v>Software growth private equity</x:v>
      </x:c>
      <x:c r="I46" s="8" t="str">
        <x:v>outreach-batch-01/qualified-candidates.json; outreach-batch-02/candidates.json</x:v>
      </x:c>
      <x:c r="J46" s="8" t="str">
        <x:v>Research candidate; transaction fit and interest unconfirmed.</x:v>
      </x:c>
    </x:row>
    <x:row r="47" ht="34" customHeight="1">
      <x:c r="A47" s="8" t="str">
        <x:v>ORG-da2f417984</x:v>
      </x:c>
      <x:c r="B47" s="8" t="str">
        <x:v>Fortinet</x:v>
      </x:c>
      <x:c r="C47" s="8" t="str">
        <x:v>Batch 01</x:v>
      </x:c>
      <x:c r="D47" s="8" t="n">
        <x:v>0</x:v>
      </x:c>
      <x:c r="E47" s="8" t="str">
        <x:v>https://fortinet.com</x:v>
      </x:c>
      <x:c r="F47" s="8" t="str">
        <x:v>https://www.linkedin.com/company/fortinet/</x:v>
      </x:c>
      <x:c r="G47" s="8" t="str">
        <x:v>United States</x:v>
      </x:c>
      <x:c r="H47" s="8" t="str">
        <x:v>Cybersecurity corporate</x:v>
      </x:c>
      <x:c r="I47" s="8" t="str">
        <x:v>outreach-batch-01/qualified-candidates.json</x:v>
      </x:c>
      <x:c r="J47" s="8" t="str">
        <x:v>Research candidate; transaction fit and interest unconfirmed.</x:v>
      </x:c>
    </x:row>
    <x:row r="48" ht="34" customHeight="1">
      <x:c r="A48" s="8" t="str">
        <x:v>ORG-26767375d3</x:v>
      </x:c>
      <x:c r="B48" s="8" t="str">
        <x:v>Francisco Partners</x:v>
      </x:c>
      <x:c r="C48" s="8" t="str">
        <x:v>Batch 01</x:v>
      </x:c>
      <x:c r="D48" s="8" t="n">
        <x:v>0</x:v>
      </x:c>
      <x:c r="E48" s="8" t="str">
        <x:v>https://franciscopartners.com</x:v>
      </x:c>
      <x:c r="F48" s="8" t="str">
        <x:v>https://www.linkedin.com/company/francisco-partners/</x:v>
      </x:c>
      <x:c r="G48" s="8" t="str">
        <x:v>Global PE / growth</x:v>
      </x:c>
      <x:c r="H48" s="8" t="str">
        <x:v>Technology private equity</x:v>
      </x:c>
      <x:c r="I48" s="8" t="str">
        <x:v>outreach-batch-01/qualified-candidates.json</x:v>
      </x:c>
      <x:c r="J48" s="8" t="str">
        <x:v>Research candidate; transaction fit and interest unconfirmed.</x:v>
      </x:c>
    </x:row>
    <x:row r="49" ht="34" customHeight="1">
      <x:c r="A49" s="8" t="str">
        <x:v>ORG-e585549e67</x:v>
      </x:c>
      <x:c r="B49" s="8" t="str">
        <x:v>FTV Capital / Ascend</x:v>
      </x:c>
      <x:c r="C49" s="8" t="str">
        <x:v>Batch 02</x:v>
      </x:c>
      <x:c r="D49" s="8" t="n">
        <x:v>1</x:v>
      </x:c>
      <x:c r="E49" s="8" t="str">
        <x:v>https://ftvcapital.com/</x:v>
      </x:c>
      <x:c r="F49" s="8" t="str">
        <x:v>https://www.linkedin.com/company/ftv-capital/</x:v>
      </x:c>
      <x:c r="G49" s="8" t="str">
        <x:v>United States</x:v>
      </x:c>
      <x:c r="H49" s="8" t="str">
        <x:v>Sector-focused growth equity</x:v>
      </x:c>
      <x:c r="I49" s="8" t="str">
        <x:v>outreach-batch-02/candidates.json</x:v>
      </x:c>
      <x:c r="J49" s="8" t="str">
        <x:v>Research candidate; transaction fit and interest unconfirmed.</x:v>
      </x:c>
    </x:row>
    <x:row r="50" ht="34" customHeight="1">
      <x:c r="A50" s="8" t="str">
        <x:v>ORG-4742b2b656</x:v>
      </x:c>
      <x:c r="B50" s="8" t="str">
        <x:v>Fujitsu</x:v>
      </x:c>
      <x:c r="C50" s="8" t="str">
        <x:v>Batch 01</x:v>
      </x:c>
      <x:c r="D50" s="8" t="n">
        <x:v>0</x:v>
      </x:c>
      <x:c r="E50" s="8" t="str">
        <x:v>https://fujitsu.com</x:v>
      </x:c>
      <x:c r="F50" s="8" t="str">
        <x:v>https://www.linkedin.com/company/fujitsu/</x:v>
      </x:c>
      <x:c r="G50" s="8" t="str">
        <x:v>Asia</x:v>
      </x:c>
      <x:c r="H50" s="8" t="str">
        <x:v>Enterprise technology corporate</x:v>
      </x:c>
      <x:c r="I50" s="8" t="str">
        <x:v>outreach-batch-01/qualified-candidates.json</x:v>
      </x:c>
      <x:c r="J50" s="8" t="str">
        <x:v>Research candidate; transaction fit and interest unconfirmed.</x:v>
      </x:c>
    </x:row>
    <x:row r="51" ht="34" customHeight="1">
      <x:c r="A51" s="8" t="str">
        <x:v>ORG-6291c857c2</x:v>
      </x:c>
      <x:c r="B51" s="8" t="str">
        <x:v>G42</x:v>
      </x:c>
      <x:c r="C51" s="8" t="str">
        <x:v>Batch 01; Batch 02</x:v>
      </x:c>
      <x:c r="D51" s="8" t="n">
        <x:v>2</x:v>
      </x:c>
      <x:c r="E51" s="8" t="str">
        <x:v>https://g42.ai</x:v>
      </x:c>
      <x:c r="F51" s="8" t="str">
        <x:v>https://www.linkedin.com/company/g42ai/</x:v>
      </x:c>
      <x:c r="G51" s="8" t="str">
        <x:v>UAE/GCC</x:v>
      </x:c>
      <x:c r="H51" s="8" t="str">
        <x:v>Operating AI / sovereign technology group</x:v>
      </x:c>
      <x:c r="I51" s="8" t="str">
        <x:v>outreach-batch-01/qualified-candidates.json; outreach-batch-02/candidates.json</x:v>
      </x:c>
      <x:c r="J51" s="8" t="str">
        <x:v>Research candidate; transaction fit and interest unconfirmed.</x:v>
      </x:c>
    </x:row>
    <x:row r="52" ht="34" customHeight="1">
      <x:c r="A52" s="8" t="str">
        <x:v>ORG-acea7e9771</x:v>
      </x:c>
      <x:c r="B52" s="8" t="str">
        <x:v>General Atlantic</x:v>
      </x:c>
      <x:c r="C52" s="8" t="str">
        <x:v>Batch 01</x:v>
      </x:c>
      <x:c r="D52" s="8" t="n">
        <x:v>0</x:v>
      </x:c>
      <x:c r="E52" s="8" t="str">
        <x:v>https://generalatlantic.com</x:v>
      </x:c>
      <x:c r="F52" s="8" t="str">
        <x:v>https://www.linkedin.com/company/general-atlantic/</x:v>
      </x:c>
      <x:c r="G52" s="8" t="str">
        <x:v>Global PE / growth</x:v>
      </x:c>
      <x:c r="H52" s="8" t="str">
        <x:v>Growth equity</x:v>
      </x:c>
      <x:c r="I52" s="8" t="str">
        <x:v>outreach-batch-01/qualified-candidates.json</x:v>
      </x:c>
      <x:c r="J52" s="8" t="str">
        <x:v>Research candidate; transaction fit and interest unconfirmed.</x:v>
      </x:c>
    </x:row>
    <x:row r="53" ht="34" customHeight="1">
      <x:c r="A53" s="8" t="str">
        <x:v>ORG-9f0f8e5f8f</x:v>
      </x:c>
      <x:c r="B53" s="8" t="str">
        <x:v>Giesecke+Devrient</x:v>
      </x:c>
      <x:c r="C53" s="8" t="str">
        <x:v>Batch 01; Batch 02</x:v>
      </x:c>
      <x:c r="D53" s="8" t="n">
        <x:v>2</x:v>
      </x:c>
      <x:c r="E53" s="8" t="str">
        <x:v>https://gi-de.com</x:v>
      </x:c>
      <x:c r="F53" s="8" t="str">
        <x:v>https://www.linkedin.com/company/giesecke-devrient/</x:v>
      </x:c>
      <x:c r="G53" s="8" t="str">
        <x:v>Europe</x:v>
      </x:c>
      <x:c r="H53" s="8" t="str">
        <x:v>Operating security / identity parent group</x:v>
      </x:c>
      <x:c r="I53" s="8" t="str">
        <x:v>outreach-batch-01/qualified-candidates.json; outreach-batch-02/candidates.json</x:v>
      </x:c>
      <x:c r="J53" s="8" t="str">
        <x:v>Research candidate; transaction fit and interest unconfirmed.</x:v>
      </x:c>
    </x:row>
    <x:row r="54" ht="34" customHeight="1">
      <x:c r="A54" s="8" t="str">
        <x:v>ORG-a383afd3b5</x:v>
      </x:c>
      <x:c r="B54" s="8" t="str">
        <x:v>Greycroft</x:v>
      </x:c>
      <x:c r="C54" s="8" t="str">
        <x:v>Batch 03; Batch 04</x:v>
      </x:c>
      <x:c r="D54" s="8" t="n">
        <x:v>2</x:v>
      </x:c>
      <x:c r="E54" s="8" t="str">
        <x:v>https://www.greycroft.com/</x:v>
      </x:c>
      <x:c r="F54" s="8" t="str">
        <x:v>https://www.linkedin.com/company/greycroft-partners</x:v>
      </x:c>
      <x:c r="G54" s="8" t="str">
        <x:v>Los Angeles Arts District</x:v>
      </x:c>
      <x:c r="H54" s="8" t="str">
        <x:v>Seed-to-growth venture capital</x:v>
      </x:c>
      <x:c r="I54" s="8" t="str">
        <x:v>outreach-batch-03/leads/greycroft-dylan-pearce.md; outreach-batch-04/research.json; outreach-batch-04/tech-week-events.json</x:v>
      </x:c>
      <x:c r="J54" s="8" t="str">
        <x:v>Tech Week speaker/moderator route; participation is organiser-listed, not personally confirmed.</x:v>
      </x:c>
    </x:row>
    <x:row r="55" ht="34" customHeight="1">
      <x:c r="A55" s="8" t="str">
        <x:v>ORG-74ee591d9b</x:v>
      </x:c>
      <x:c r="B55" s="8" t="str">
        <x:v>Gulf Capital</x:v>
      </x:c>
      <x:c r="C55" s="8" t="str">
        <x:v>Batch 01; Batch 02</x:v>
      </x:c>
      <x:c r="D55" s="8" t="n">
        <x:v>1</x:v>
      </x:c>
      <x:c r="E55" s="8" t="str">
        <x:v>https://gulfcapital.com</x:v>
      </x:c>
      <x:c r="F55" s="8" t="str">
        <x:v>https://www.linkedin.com/company/gulf-capital/</x:v>
      </x:c>
      <x:c r="G55" s="8" t="str">
        <x:v>UAE/GCC</x:v>
      </x:c>
      <x:c r="H55" s="8" t="str">
        <x:v>Growth / buyout private equity</x:v>
      </x:c>
      <x:c r="I55" s="8" t="str">
        <x:v>outreach-batch-01/qualified-candidates.json; outreach-batch-02/candidates.json</x:v>
      </x:c>
      <x:c r="J55" s="8" t="str">
        <x:v>Research candidate; transaction fit and interest unconfirmed.</x:v>
      </x:c>
    </x:row>
    <x:row r="56" ht="34" customHeight="1">
      <x:c r="A56" s="8" t="str">
        <x:v>ORG-70176124ab</x:v>
      </x:c>
      <x:c r="B56" s="8" t="str">
        <x:v>Hg</x:v>
      </x:c>
      <x:c r="C56" s="8" t="str">
        <x:v>Batch 01</x:v>
      </x:c>
      <x:c r="D56" s="8" t="n">
        <x:v>0</x:v>
      </x:c>
      <x:c r="E56" s="8" t="str">
        <x:v>https://hgcapital.com</x:v>
      </x:c>
      <x:c r="F56" s="8" t="str">
        <x:v>https://www.linkedin.com/company/hgcapital/</x:v>
      </x:c>
      <x:c r="G56" s="8" t="str">
        <x:v>Global PE / growth</x:v>
      </x:c>
      <x:c r="H56" s="8" t="str">
        <x:v>Technology private equity</x:v>
      </x:c>
      <x:c r="I56" s="8" t="str">
        <x:v>outreach-batch-01/qualified-candidates.json</x:v>
      </x:c>
      <x:c r="J56" s="8" t="str">
        <x:v>Research candidate; transaction fit and interest unconfirmed.</x:v>
      </x:c>
    </x:row>
    <x:row r="57" ht="34" customHeight="1">
      <x:c r="A57" s="8" t="str">
        <x:v>ORG-ca6e0dc328</x:v>
      </x:c>
      <x:c r="B57" s="8" t="str">
        <x:v>Hitachi</x:v>
      </x:c>
      <x:c r="C57" s="8" t="str">
        <x:v>Batch 01</x:v>
      </x:c>
      <x:c r="D57" s="8" t="n">
        <x:v>0</x:v>
      </x:c>
      <x:c r="E57" s="8" t="str">
        <x:v>https://hitachi.com</x:v>
      </x:c>
      <x:c r="F57" s="8" t="str">
        <x:v>https://www.linkedin.com/company/hitachi/</x:v>
      </x:c>
      <x:c r="G57" s="8" t="str">
        <x:v>Asia</x:v>
      </x:c>
      <x:c r="H57" s="8" t="str">
        <x:v>Technology / operating group</x:v>
      </x:c>
      <x:c r="I57" s="8" t="str">
        <x:v>outreach-batch-01/qualified-candidates.json</x:v>
      </x:c>
      <x:c r="J57" s="8" t="str">
        <x:v>Research candidate; transaction fit and interest unconfirmed.</x:v>
      </x:c>
    </x:row>
    <x:row r="58" ht="34" customHeight="1">
      <x:c r="A58" s="8" t="str">
        <x:v>ORG-e59725d665</x:v>
      </x:c>
      <x:c r="B58" s="8" t="str">
        <x:v>Hyland</x:v>
      </x:c>
      <x:c r="C58" s="8" t="str">
        <x:v>Batch 01; Batch 02</x:v>
      </x:c>
      <x:c r="D58" s="8" t="n">
        <x:v>0</x:v>
      </x:c>
      <x:c r="E58" s="8" t="str">
        <x:v>https://hyland.com</x:v>
      </x:c>
      <x:c r="F58" s="8" t="str">
        <x:v>https://www.linkedin.com/company/hyland-ai/</x:v>
      </x:c>
      <x:c r="G58" s="8" t="str">
        <x:v>United States</x:v>
      </x:c>
      <x:c r="H58" s="8" t="str">
        <x:v>Operating content / workflow company</x:v>
      </x:c>
      <x:c r="I58" s="8" t="str">
        <x:v>outreach-batch-01/qualified-candidates.json; outreach-batch-02/candidates.json</x:v>
      </x:c>
      <x:c r="J58" s="8" t="str">
        <x:v>Research candidate; transaction fit and interest unconfirmed.</x:v>
      </x:c>
    </x:row>
    <x:row r="59" ht="34" customHeight="1">
      <x:c r="A59" s="8" t="str">
        <x:v>ORG-916a98f0fa</x:v>
      </x:c>
      <x:c r="B59" s="8" t="str">
        <x:v>IBM</x:v>
      </x:c>
      <x:c r="C59" s="8" t="str">
        <x:v>Batch 01</x:v>
      </x:c>
      <x:c r="D59" s="8" t="n">
        <x:v>0</x:v>
      </x:c>
      <x:c r="E59" s="8" t="str">
        <x:v>https://ibm.com</x:v>
      </x:c>
      <x:c r="F59" s="8" t="str">
        <x:v>https://www.linkedin.com/company/ibm/</x:v>
      </x:c>
      <x:c r="G59" s="8" t="str">
        <x:v>United States</x:v>
      </x:c>
      <x:c r="H59" s="8" t="str">
        <x:v>Enterprise AI / technology corporate</x:v>
      </x:c>
      <x:c r="I59" s="8" t="str">
        <x:v>outreach-batch-01/qualified-candidates.json</x:v>
      </x:c>
      <x:c r="J59" s="8" t="str">
        <x:v>Research candidate; transaction fit and interest unconfirmed.</x:v>
      </x:c>
    </x:row>
    <x:row r="60" ht="34" customHeight="1">
      <x:c r="A60" s="8" t="str">
        <x:v>ORG-8193ae418b</x:v>
      </x:c>
      <x:c r="B60" s="8" t="str">
        <x:v>IDEMIA</x:v>
      </x:c>
      <x:c r="C60" s="8" t="str">
        <x:v>Batch 01</x:v>
      </x:c>
      <x:c r="D60" s="8" t="n">
        <x:v>0</x:v>
      </x:c>
      <x:c r="E60" s="8" t="str">
        <x:v>https://idemia.com</x:v>
      </x:c>
      <x:c r="F60" s="8" t="str">
        <x:v>https://www.linkedin.com/company/idemiagroup/</x:v>
      </x:c>
      <x:c r="G60" s="8" t="str">
        <x:v>Europe</x:v>
      </x:c>
      <x:c r="H60" s="8" t="str">
        <x:v>Identity / security group</x:v>
      </x:c>
      <x:c r="I60" s="8" t="str">
        <x:v>outreach-batch-01/qualified-candidates.json</x:v>
      </x:c>
      <x:c r="J60" s="8" t="str">
        <x:v>Research candidate; transaction fit and interest unconfirmed.</x:v>
      </x:c>
    </x:row>
    <x:row r="61" ht="34" customHeight="1">
      <x:c r="A61" s="8" t="str">
        <x:v>ORG-820909653a</x:v>
      </x:c>
      <x:c r="B61" s="8" t="str">
        <x:v>IDnow</x:v>
      </x:c>
      <x:c r="C61" s="8" t="str">
        <x:v>Batch 01</x:v>
      </x:c>
      <x:c r="D61" s="8" t="n">
        <x:v>0</x:v>
      </x:c>
      <x:c r="E61" s="8" t="str">
        <x:v>https://idnow.io</x:v>
      </x:c>
      <x:c r="F61" s="8" t="str">
        <x:v>https://www.linkedin.com/company/idnow/</x:v>
      </x:c>
      <x:c r="G61" s="8" t="str">
        <x:v>Europe</x:v>
      </x:c>
      <x:c r="H61" s="8" t="str">
        <x:v>Identity verification company</x:v>
      </x:c>
      <x:c r="I61" s="8" t="str">
        <x:v>outreach-batch-01/qualified-candidates.json</x:v>
      </x:c>
      <x:c r="J61" s="8" t="str">
        <x:v>Research candidate; transaction fit and interest unconfirmed.</x:v>
      </x:c>
    </x:row>
    <x:row r="62" ht="34" customHeight="1">
      <x:c r="A62" s="8" t="str">
        <x:v>ORG-f289bf813e</x:v>
      </x:c>
      <x:c r="B62" s="8" t="str">
        <x:v>Inflexion — Enterprise / Partnership Capital</x:v>
      </x:c>
      <x:c r="C62" s="8" t="str">
        <x:v>Batch 02</x:v>
      </x:c>
      <x:c r="D62" s="8" t="n">
        <x:v>0</x:v>
      </x:c>
      <x:c r="E62" s="8" t="str">
        <x:v>https://www.inflexion.com/</x:v>
      </x:c>
      <x:c r="F62" s="8" t="str">
        <x:v>https://www.linkedin.com/company/inflexion-private-equity/</x:v>
      </x:c>
      <x:c r="G62" s="8" t="str">
        <x:v>Europe</x:v>
      </x:c>
      <x:c r="H62" s="8" t="str">
        <x:v>Growth / buyout private equity</x:v>
      </x:c>
      <x:c r="I62" s="8" t="str">
        <x:v>outreach-batch-02/candidates.json</x:v>
      </x:c>
      <x:c r="J62" s="8" t="str">
        <x:v>Research candidate; transaction fit and interest unconfirmed.</x:v>
      </x:c>
    </x:row>
    <x:row r="63" ht="34" customHeight="1">
      <x:c r="A63" s="8" t="str">
        <x:v>ORG-35dec64c96</x:v>
      </x:c>
      <x:c r="B63" s="8" t="str">
        <x:v>Innovation Endeavors</x:v>
      </x:c>
      <x:c r="C63" s="8" t="str">
        <x:v>Batch 03</x:v>
      </x:c>
      <x:c r="D63" s="8" t="n">
        <x:v>2</x:v>
      </x:c>
      <x:c r="E63" s="8" t="str">
        <x:v>https://www.innovationendeavors.com/</x:v>
      </x:c>
      <x:c r="F63" s="8" t="str">
        <x:v>https://www.linkedin.com/company/innovation-endeavors</x:v>
      </x:c>
      <x:c r="G63" s="8" t="str"/>
      <x:c r="H63" s="8" t="str"/>
      <x:c r="I63" s="8" t="str">
        <x:v>outreach-batch-03/leads/innovation-endeavors.md</x:v>
      </x:c>
      <x:c r="J63" s="8" t="str">
        <x:v>Research candidate; transaction fit and interest unconfirmed.</x:v>
      </x:c>
    </x:row>
    <x:row r="64" ht="34" customHeight="1">
      <x:c r="A64" s="8" t="str">
        <x:v>ORG-d173466e0c</x:v>
      </x:c>
      <x:c r="B64" s="8" t="str">
        <x:v>Insight Partners</x:v>
      </x:c>
      <x:c r="C64" s="8" t="str">
        <x:v>Batch 01</x:v>
      </x:c>
      <x:c r="D64" s="8" t="n">
        <x:v>0</x:v>
      </x:c>
      <x:c r="E64" s="8" t="str">
        <x:v>https://insightpartners.com</x:v>
      </x:c>
      <x:c r="F64" s="8" t="str">
        <x:v>https://www.linkedin.com/company/insight--partners/</x:v>
      </x:c>
      <x:c r="G64" s="8" t="str">
        <x:v>Global PE / growth</x:v>
      </x:c>
      <x:c r="H64" s="8" t="str">
        <x:v>Software investor</x:v>
      </x:c>
      <x:c r="I64" s="8" t="str">
        <x:v>outreach-batch-01/qualified-candidates.json</x:v>
      </x:c>
      <x:c r="J64" s="8" t="str">
        <x:v>Research candidate; transaction fit and interest unconfirmed.</x:v>
      </x:c>
    </x:row>
    <x:row r="65" ht="34" customHeight="1">
      <x:c r="A65" s="8" t="str">
        <x:v>ORG-93c9616025</x:v>
      </x:c>
      <x:c r="B65" s="8" t="str">
        <x:v>International Holding Company</x:v>
      </x:c>
      <x:c r="C65" s="8" t="str">
        <x:v>Batch 01</x:v>
      </x:c>
      <x:c r="D65" s="8" t="n">
        <x:v>0</x:v>
      </x:c>
      <x:c r="E65" s="8" t="str">
        <x:v>https://ihcuae.com</x:v>
      </x:c>
      <x:c r="F65" s="8" t="str">
        <x:v>https://www.linkedin.com/company/ihc-uae/</x:v>
      </x:c>
      <x:c r="G65" s="8" t="str">
        <x:v>UAE/GCC</x:v>
      </x:c>
      <x:c r="H65" s="8" t="str">
        <x:v>Holding group</x:v>
      </x:c>
      <x:c r="I65" s="8" t="str">
        <x:v>outreach-batch-01/qualified-candidates.json</x:v>
      </x:c>
      <x:c r="J65" s="8" t="str">
        <x:v>Research candidate; transaction fit and interest unconfirmed.</x:v>
      </x:c>
    </x:row>
    <x:row r="66" ht="34" customHeight="1">
      <x:c r="A66" s="8" t="str">
        <x:v>ORG-4482dec431</x:v>
      </x:c>
      <x:c r="B66" s="8" t="str">
        <x:v>Investcorp</x:v>
      </x:c>
      <x:c r="C66" s="8" t="str">
        <x:v>Batch 01; Batch 02</x:v>
      </x:c>
      <x:c r="D66" s="8" t="n">
        <x:v>0</x:v>
      </x:c>
      <x:c r="E66" s="8" t="str">
        <x:v>https://investcorp.com</x:v>
      </x:c>
      <x:c r="F66" s="8" t="str">
        <x:v>https://www.linkedin.com/company/investcorp/</x:v>
      </x:c>
      <x:c r="G66" s="8" t="str">
        <x:v>UAE/GCC</x:v>
      </x:c>
      <x:c r="H66" s="8" t="str">
        <x:v>Technology private equity — group / ITP route</x:v>
      </x:c>
      <x:c r="I66" s="8" t="str">
        <x:v>outreach-batch-01/qualified-candidates.json; outreach-batch-02/candidates.json</x:v>
      </x:c>
      <x:c r="J66" s="8" t="str">
        <x:v>Research candidate; transaction fit and interest unconfirmed.</x:v>
      </x:c>
    </x:row>
    <x:row r="67" ht="34" customHeight="1">
      <x:c r="A67" s="8" t="str">
        <x:v>ORG-a551e21119</x:v>
      </x:c>
      <x:c r="B67" s="8" t="str">
        <x:v>Investment Corporation of Dubai</x:v>
      </x:c>
      <x:c r="C67" s="8" t="str">
        <x:v>Batch 01</x:v>
      </x:c>
      <x:c r="D67" s="8" t="n">
        <x:v>0</x:v>
      </x:c>
      <x:c r="E67" s="8" t="str">
        <x:v>https://icd.gov.ae</x:v>
      </x:c>
      <x:c r="F67" s="8" t="str">
        <x:v>https://www.linkedin.com/company/icd-gov-ae/</x:v>
      </x:c>
      <x:c r="G67" s="8" t="str">
        <x:v>UAE/GCC</x:v>
      </x:c>
      <x:c r="H67" s="8" t="str">
        <x:v>Sovereign holding group</x:v>
      </x:c>
      <x:c r="I67" s="8" t="str">
        <x:v>outreach-batch-01/qualified-candidates.json</x:v>
      </x:c>
      <x:c r="J67" s="8" t="str">
        <x:v>Research candidate; transaction fit and interest unconfirmed.</x:v>
      </x:c>
    </x:row>
    <x:row r="68" ht="34" customHeight="1">
      <x:c r="A68" s="8" t="str">
        <x:v>ORG-ec61bcb4e4</x:v>
      </x:c>
      <x:c r="B68" s="8" t="str">
        <x:v>IONOS</x:v>
      </x:c>
      <x:c r="C68" s="8" t="str">
        <x:v>Batch 01</x:v>
      </x:c>
      <x:c r="D68" s="8" t="n">
        <x:v>0</x:v>
      </x:c>
      <x:c r="E68" s="8" t="str">
        <x:v>https://ionos.com</x:v>
      </x:c>
      <x:c r="F68" s="8" t="str">
        <x:v>https://www.linkedin.com/company/ionos/</x:v>
      </x:c>
      <x:c r="G68" s="8" t="str">
        <x:v>Europe</x:v>
      </x:c>
      <x:c r="H68" s="8" t="str">
        <x:v>Cloud / hosting company</x:v>
      </x:c>
      <x:c r="I68" s="8" t="str">
        <x:v>outreach-batch-01/qualified-candidates.json</x:v>
      </x:c>
      <x:c r="J68" s="8" t="str">
        <x:v>Research candidate; transaction fit and interest unconfirmed.</x:v>
      </x:c>
    </x:row>
    <x:row r="69" ht="34" customHeight="1">
      <x:c r="A69" s="8" t="str">
        <x:v>ORG-caf4b1819b</x:v>
      </x:c>
      <x:c r="B69" s="8" t="str">
        <x:v>K1 Investment Management</x:v>
      </x:c>
      <x:c r="C69" s="8" t="str">
        <x:v>Batch 04</x:v>
      </x:c>
      <x:c r="D69" s="8" t="n">
        <x:v>2</x:v>
      </x:c>
      <x:c r="E69" s="8" t="str">
        <x:v>https://k1.com/</x:v>
      </x:c>
      <x:c r="F69" s="8" t="str">
        <x:v>https://www.linkedin.com/company/k1</x:v>
      </x:c>
      <x:c r="G69" s="8" t="str">
        <x:v>Manhattan Beach</x:v>
      </x:c>
      <x:c r="H69" s="8" t="str">
        <x:v>Software private equity</x:v>
      </x:c>
      <x:c r="I69" s="8" t="str">
        <x:v>outreach-batch-04/research.json</x:v>
      </x:c>
      <x:c r="J69" s="8" t="str">
        <x:v>Research candidate; transaction fit and interest unconfirmed.</x:v>
      </x:c>
    </x:row>
    <x:row r="70" ht="34" customHeight="1">
      <x:c r="A70" s="8" t="str">
        <x:v>ORG-ff55c5d1a9</x:v>
      </x:c>
      <x:c r="B70" s="8" t="str">
        <x:v>KDDI / KDDI Open Innovation Fund</x:v>
      </x:c>
      <x:c r="C70" s="8" t="str">
        <x:v>Batch 01</x:v>
      </x:c>
      <x:c r="D70" s="8" t="n">
        <x:v>0</x:v>
      </x:c>
      <x:c r="E70" s="8" t="str">
        <x:v>https://kddi.com</x:v>
      </x:c>
      <x:c r="F70" s="8" t="str">
        <x:v>https://www.linkedin.com/company/kddi-corporation/</x:v>
      </x:c>
      <x:c r="G70" s="8" t="str">
        <x:v>Asia</x:v>
      </x:c>
      <x:c r="H70" s="8" t="str">
        <x:v>Telecom / corporate venture</x:v>
      </x:c>
      <x:c r="I70" s="8" t="str">
        <x:v>outreach-batch-01/qualified-candidates.json</x:v>
      </x:c>
      <x:c r="J70" s="8" t="str">
        <x:v>Research candidate; transaction fit and interest unconfirmed.</x:v>
      </x:c>
    </x:row>
    <x:row r="71" ht="34" customHeight="1">
      <x:c r="A71" s="8" t="str">
        <x:v>ORG-c8314721c9</x:v>
      </x:c>
      <x:c r="B71" s="8" t="str">
        <x:v>Keensight Capital</x:v>
      </x:c>
      <x:c r="C71" s="8" t="str">
        <x:v>Batch 02</x:v>
      </x:c>
      <x:c r="D71" s="8" t="n">
        <x:v>1</x:v>
      </x:c>
      <x:c r="E71" s="8" t="str">
        <x:v>https://keensight.com/</x:v>
      </x:c>
      <x:c r="F71" s="8" t="str">
        <x:v>https://www.linkedin.com/company/keensight-capital/</x:v>
      </x:c>
      <x:c r="G71" s="8" t="str">
        <x:v>Europe</x:v>
      </x:c>
      <x:c r="H71" s="8" t="str">
        <x:v>Technology growth buyout</x:v>
      </x:c>
      <x:c r="I71" s="8" t="str">
        <x:v>outreach-batch-02/candidates.json</x:v>
      </x:c>
      <x:c r="J71" s="8" t="str">
        <x:v>Research candidate; transaction fit and interest unconfirmed.</x:v>
      </x:c>
    </x:row>
    <x:row r="72" ht="34" customHeight="1">
      <x:c r="A72" s="8" t="str">
        <x:v>ORG-e57bc478e2</x:v>
      </x:c>
      <x:c r="B72" s="8" t="str">
        <x:v>Kleiner Perkins</x:v>
      </x:c>
      <x:c r="C72" s="8" t="str">
        <x:v>Batch 03</x:v>
      </x:c>
      <x:c r="D72" s="8" t="n">
        <x:v>2</x:v>
      </x:c>
      <x:c r="E72" s="8" t="str">
        <x:v>https://www.kleinerperkins.com/</x:v>
      </x:c>
      <x:c r="F72" s="8" t="str">
        <x:v>https://www.linkedin.com/company/kleinerperkins/</x:v>
      </x:c>
      <x:c r="G72" s="8" t="str"/>
      <x:c r="H72" s="8" t="str"/>
      <x:c r="I72" s="8" t="str">
        <x:v>outreach-batch-03/leads/kleiner-perkins.md</x:v>
      </x:c>
      <x:c r="J72" s="8" t="str">
        <x:v>Research candidate; transaction fit and interest unconfirmed.</x:v>
      </x:c>
    </x:row>
    <x:row r="73" ht="34" customHeight="1">
      <x:c r="A73" s="8" t="str">
        <x:v>ORG-3fbb2a1a2a</x:v>
      </x:c>
      <x:c r="B73" s="8" t="str">
        <x:v>Level Equity</x:v>
      </x:c>
      <x:c r="C73" s="8" t="str">
        <x:v>Batch 01; Batch 02</x:v>
      </x:c>
      <x:c r="D73" s="8" t="n">
        <x:v>2</x:v>
      </x:c>
      <x:c r="E73" s="8" t="str">
        <x:v>https://levelequity.com</x:v>
      </x:c>
      <x:c r="F73" s="8" t="str">
        <x:v>https://www.linkedin.com/company/level-equity/</x:v>
      </x:c>
      <x:c r="G73" s="8" t="str">
        <x:v>United States</x:v>
      </x:c>
      <x:c r="H73" s="8" t="str">
        <x:v>Software growth equity / recapitalisation</x:v>
      </x:c>
      <x:c r="I73" s="8" t="str">
        <x:v>outreach-batch-01/qualified-candidates.json; outreach-batch-02/candidates.json</x:v>
      </x:c>
      <x:c r="J73" s="8" t="str">
        <x:v>Research candidate; transaction fit and interest unconfirmed.</x:v>
      </x:c>
    </x:row>
    <x:row r="74" ht="34" customHeight="1">
      <x:c r="A74" s="8" t="str">
        <x:v>ORG-ed757106cb</x:v>
      </x:c>
      <x:c r="B74" s="8" t="str">
        <x:v>Light Warrior</x:v>
      </x:c>
      <x:c r="C74" s="8" t="str">
        <x:v>Batch 03</x:v>
      </x:c>
      <x:c r="D74" s="8" t="n">
        <x:v>2</x:v>
      </x:c>
      <x:c r="E74" s="8" t="str">
        <x:v>https://lightwarrior.com/</x:v>
      </x:c>
      <x:c r="F74" s="8" t="str">
        <x:v>https://au.linkedin.com/company/light-warrior-group</x:v>
      </x:c>
      <x:c r="G74" s="8" t="str"/>
      <x:c r="H74" s="8" t="str"/>
      <x:c r="I74" s="8" t="str">
        <x:v>outreach-batch-03/leads/light-warrior.md</x:v>
      </x:c>
      <x:c r="J74" s="8" t="str">
        <x:v>Research candidate; transaction fit and interest unconfirmed.</x:v>
      </x:c>
    </x:row>
    <x:row r="75" ht="34" customHeight="1">
      <x:c r="A75" s="8" t="str">
        <x:v>ORG-705ac43cb5</x:v>
      </x:c>
      <x:c r="B75" s="8" t="str">
        <x:v>Lightspeed Venture Partners</x:v>
      </x:c>
      <x:c r="C75" s="8" t="str">
        <x:v>Batch 03</x:v>
      </x:c>
      <x:c r="D75" s="8" t="n">
        <x:v>3</x:v>
      </x:c>
      <x:c r="E75" s="8" t="str">
        <x:v>https://lsvp.com/</x:v>
      </x:c>
      <x:c r="F75" s="8" t="str">
        <x:v>https://www.linkedin.com/company/lightspeed-venture-partners</x:v>
      </x:c>
      <x:c r="G75" s="8" t="str"/>
      <x:c r="H75" s="8" t="str"/>
      <x:c r="I75" s="8" t="str">
        <x:v>outreach-batch-03/leads/lightspeed-venture-partners.md</x:v>
      </x:c>
      <x:c r="J75" s="8" t="str">
        <x:v>Research candidate; transaction fit and interest unconfirmed.</x:v>
      </x:c>
    </x:row>
    <x:row r="76" ht="34" customHeight="1">
      <x:c r="A76" s="8" t="str">
        <x:v>ORG-b0349b9aec</x:v>
      </x:c>
      <x:c r="B76" s="8" t="str">
        <x:v>Macquarie Capital</x:v>
      </x:c>
      <x:c r="C76" s="8" t="str">
        <x:v>Batch 01</x:v>
      </x:c>
      <x:c r="D76" s="8" t="n">
        <x:v>0</x:v>
      </x:c>
      <x:c r="E76" s="8" t="str">
        <x:v>https://macquarie.com</x:v>
      </x:c>
      <x:c r="F76" s="8" t="str">
        <x:v>https://www.linkedin.com/company/macquariegroup/</x:v>
      </x:c>
      <x:c r="G76" s="8" t="str">
        <x:v>ANZ</x:v>
      </x:c>
      <x:c r="H76" s="8" t="str">
        <x:v>Strategic investment / advisory</x:v>
      </x:c>
      <x:c r="I76" s="8" t="str">
        <x:v>outreach-batch-01/qualified-candidates.json</x:v>
      </x:c>
      <x:c r="J76" s="8" t="str">
        <x:v>Research candidate; transaction fit and interest unconfirmed.</x:v>
      </x:c>
    </x:row>
    <x:row r="77" ht="34" customHeight="1">
      <x:c r="A77" s="8" t="str">
        <x:v>ORG-6483fd0983</x:v>
      </x:c>
      <x:c r="B77" s="8" t="str">
        <x:v>Main Capital Partners</x:v>
      </x:c>
      <x:c r="C77" s="8" t="str">
        <x:v>Batch 02</x:v>
      </x:c>
      <x:c r="D77" s="8" t="n">
        <x:v>1</x:v>
      </x:c>
      <x:c r="E77" s="8" t="str">
        <x:v>https://main.nl/</x:v>
      </x:c>
      <x:c r="F77" s="8" t="str">
        <x:v>https://www.linkedin.com/company/main-capital-partners/</x:v>
      </x:c>
      <x:c r="G77" s="8" t="str">
        <x:v>Europe</x:v>
      </x:c>
      <x:c r="H77" s="8" t="str">
        <x:v>Enterprise software private equity</x:v>
      </x:c>
      <x:c r="I77" s="8" t="str">
        <x:v>outreach-batch-02/candidates.json</x:v>
      </x:c>
      <x:c r="J77" s="8" t="str">
        <x:v>Research candidate; transaction fit and interest unconfirmed.</x:v>
      </x:c>
    </x:row>
    <x:row r="78" ht="34" customHeight="1">
      <x:c r="A78" s="8" t="str">
        <x:v>ORG-609ae97389</x:v>
      </x:c>
      <x:c r="B78" s="8" t="str">
        <x:v>Majid Al Futtaim</x:v>
      </x:c>
      <x:c r="C78" s="8" t="str">
        <x:v>Batch 01</x:v>
      </x:c>
      <x:c r="D78" s="8" t="n">
        <x:v>0</x:v>
      </x:c>
      <x:c r="E78" s="8" t="str">
        <x:v>https://majidalfuttaim.com</x:v>
      </x:c>
      <x:c r="F78" s="8" t="str">
        <x:v>https://www.linkedin.com/company/majid-al-futtaim/</x:v>
      </x:c>
      <x:c r="G78" s="8" t="str">
        <x:v>UAE/GCC</x:v>
      </x:c>
      <x:c r="H78" s="8" t="str">
        <x:v>Operating holding group</x:v>
      </x:c>
      <x:c r="I78" s="8" t="str">
        <x:v>outreach-batch-01/qualified-candidates.json</x:v>
      </x:c>
      <x:c r="J78" s="8" t="str">
        <x:v>Research candidate; transaction fit and interest unconfirmed.</x:v>
      </x:c>
    </x:row>
    <x:row r="79" ht="34" customHeight="1">
      <x:c r="A79" s="8" t="str">
        <x:v>ORG-5945a8f3f2</x:v>
      </x:c>
      <x:c r="B79" s="8" t="str">
        <x:v>March Capital</x:v>
      </x:c>
      <x:c r="C79" s="8" t="str">
        <x:v>Batch 04</x:v>
      </x:c>
      <x:c r="D79" s="8" t="n">
        <x:v>3</x:v>
      </x:c>
      <x:c r="E79" s="8" t="str">
        <x:v>https://marchcp.com/</x:v>
      </x:c>
      <x:c r="F79" s="8" t="str">
        <x:v>https://www.linkedin.com/company/march-capital</x:v>
      </x:c>
      <x:c r="G79" s="8" t="str">
        <x:v>Santa Monica</x:v>
      </x:c>
      <x:c r="H79" s="8" t="str">
        <x:v>Venture growth</x:v>
      </x:c>
      <x:c r="I79" s="8" t="str">
        <x:v>outreach-batch-04/research.json; outreach-batch-04/tech-week-events.json</x:v>
      </x:c>
      <x:c r="J79" s="8" t="str">
        <x:v>Tech Week speaker/moderator route; participation is organiser-listed, not personally confirmed.</x:v>
      </x:c>
    </x:row>
    <x:row r="80" ht="34" customHeight="1">
      <x:c r="A80" s="8" t="str">
        <x:v>ORG-745122be0e</x:v>
      </x:c>
      <x:c r="B80" s="8" t="str">
        <x:v>Marlin Equity Partners</x:v>
      </x:c>
      <x:c r="C80" s="8" t="str">
        <x:v>Batch 04</x:v>
      </x:c>
      <x:c r="D80" s="8" t="n">
        <x:v>2</x:v>
      </x:c>
      <x:c r="E80" s="8" t="str">
        <x:v>https://www.marlinequity.com/</x:v>
      </x:c>
      <x:c r="F80" s="8" t="str">
        <x:v>https://www.linkedin.com/company/marlin-equity-partners</x:v>
      </x:c>
      <x:c r="G80" s="8" t="str">
        <x:v>Hermosa Beach</x:v>
      </x:c>
      <x:c r="H80" s="8" t="str">
        <x:v>Software and technology private equity</x:v>
      </x:c>
      <x:c r="I80" s="8" t="str">
        <x:v>outreach-batch-04/research.json</x:v>
      </x:c>
      <x:c r="J80" s="8" t="str">
        <x:v>Research candidate; transaction fit and interest unconfirmed.</x:v>
      </x:c>
    </x:row>
    <x:row r="81" ht="34" customHeight="1">
      <x:c r="A81" s="8" t="str">
        <x:v>ORG-fe23563ae3</x:v>
      </x:c>
      <x:c r="B81" s="8" t="str">
        <x:v>MGX</x:v>
      </x:c>
      <x:c r="C81" s="8" t="str">
        <x:v>Batch 01</x:v>
      </x:c>
      <x:c r="D81" s="8" t="n">
        <x:v>0</x:v>
      </x:c>
      <x:c r="E81" s="8" t="str">
        <x:v>https://mgx.ae</x:v>
      </x:c>
      <x:c r="F81" s="8" t="str">
        <x:v>https://www.linkedin.com/company/mgxai/</x:v>
      </x:c>
      <x:c r="G81" s="8" t="str">
        <x:v>UAE/GCC</x:v>
      </x:c>
      <x:c r="H81" s="8" t="str">
        <x:v>AI investment platform</x:v>
      </x:c>
      <x:c r="I81" s="8" t="str">
        <x:v>outreach-batch-01/qualified-candidates.json</x:v>
      </x:c>
      <x:c r="J81" s="8" t="str">
        <x:v>Research candidate; transaction fit and interest unconfirmed.</x:v>
      </x:c>
    </x:row>
    <x:row r="82" ht="34" customHeight="1">
      <x:c r="A82" s="8" t="str">
        <x:v>ORG-f1566bd3b2</x:v>
      </x:c>
      <x:c r="B82" s="8" t="str">
        <x:v>Microsoft / M12</x:v>
      </x:c>
      <x:c r="C82" s="8" t="str">
        <x:v>Batch 01</x:v>
      </x:c>
      <x:c r="D82" s="8" t="n">
        <x:v>0</x:v>
      </x:c>
      <x:c r="E82" s="8" t="str">
        <x:v>https://m12.vc</x:v>
      </x:c>
      <x:c r="F82" s="8" t="str">
        <x:v>https://www.linkedin.com/company/microsoft/</x:v>
      </x:c>
      <x:c r="G82" s="8" t="str">
        <x:v>United States</x:v>
      </x:c>
      <x:c r="H82" s="8" t="str">
        <x:v>Strategic corporate / venture</x:v>
      </x:c>
      <x:c r="I82" s="8" t="str">
        <x:v>outreach-batch-01/qualified-candidates.json</x:v>
      </x:c>
      <x:c r="J82" s="8" t="str">
        <x:v>Research candidate; transaction fit and interest unconfirmed.</x:v>
      </x:c>
    </x:row>
    <x:row r="83" ht="34" customHeight="1">
      <x:c r="A83" s="8" t="str">
        <x:v>ORG-e192cd5626</x:v>
      </x:c>
      <x:c r="B83" s="8" t="str">
        <x:v>Mubadala</x:v>
      </x:c>
      <x:c r="C83" s="8" t="str">
        <x:v>Batch 01</x:v>
      </x:c>
      <x:c r="D83" s="8" t="n">
        <x:v>0</x:v>
      </x:c>
      <x:c r="E83" s="8" t="str">
        <x:v>https://mubadala.com</x:v>
      </x:c>
      <x:c r="F83" s="8" t="str">
        <x:v>https://www.linkedin.com/company/mubadala/</x:v>
      </x:c>
      <x:c r="G83" s="8" t="str">
        <x:v>UAE/GCC</x:v>
      </x:c>
      <x:c r="H83" s="8" t="str">
        <x:v>Sovereign investor</x:v>
      </x:c>
      <x:c r="I83" s="8" t="str">
        <x:v>outreach-batch-01/qualified-candidates.json</x:v>
      </x:c>
      <x:c r="J83" s="8" t="str">
        <x:v>Research candidate; transaction fit and interest unconfirmed.</x:v>
      </x:c>
    </x:row>
    <x:row r="84" ht="34" customHeight="1">
      <x:c r="A84" s="8" t="str">
        <x:v>ORG-a709b8417c</x:v>
      </x:c>
      <x:c r="B84" s="8" t="str">
        <x:v>Namirial</x:v>
      </x:c>
      <x:c r="C84" s="8" t="str">
        <x:v>Batch 01; Batch 02</x:v>
      </x:c>
      <x:c r="D84" s="8" t="n">
        <x:v>1</x:v>
      </x:c>
      <x:c r="E84" s="8" t="str">
        <x:v>https://namirial.com</x:v>
      </x:c>
      <x:c r="F84" s="8" t="str">
        <x:v>https://www.linkedin.com/company/namirial/</x:v>
      </x:c>
      <x:c r="G84" s="8" t="str">
        <x:v>Europe</x:v>
      </x:c>
      <x:c r="H84" s="8" t="str">
        <x:v>Operating digital-trust / transaction group</x:v>
      </x:c>
      <x:c r="I84" s="8" t="str">
        <x:v>outreach-batch-01/qualified-candidates.json; outreach-batch-02/candidates.json</x:v>
      </x:c>
      <x:c r="J84" s="8" t="str">
        <x:v>Research candidate; transaction fit and interest unconfirmed.</x:v>
      </x:c>
    </x:row>
    <x:row r="85" ht="34" customHeight="1">
      <x:c r="A85" s="8" t="str">
        <x:v>ORG-9d9b90817f</x:v>
      </x:c>
      <x:c r="B85" s="8" t="str">
        <x:v>NEC</x:v>
      </x:c>
      <x:c r="C85" s="8" t="str">
        <x:v>Batch 01</x:v>
      </x:c>
      <x:c r="D85" s="8" t="n">
        <x:v>0</x:v>
      </x:c>
      <x:c r="E85" s="8" t="str">
        <x:v>https://nec.com</x:v>
      </x:c>
      <x:c r="F85" s="8" t="str">
        <x:v>https://www.linkedin.com/company/nec/</x:v>
      </x:c>
      <x:c r="G85" s="8" t="str">
        <x:v>Asia</x:v>
      </x:c>
      <x:c r="H85" s="8" t="str">
        <x:v>Identity / technology corporate</x:v>
      </x:c>
      <x:c r="I85" s="8" t="str">
        <x:v>outreach-batch-01/qualified-candidates.json</x:v>
      </x:c>
      <x:c r="J85" s="8" t="str">
        <x:v>Research candidate; transaction fit and interest unconfirmed.</x:v>
      </x:c>
    </x:row>
    <x:row r="86" ht="34" customHeight="1">
      <x:c r="A86" s="8" t="str">
        <x:v>ORG-de4402be96</x:v>
      </x:c>
      <x:c r="B86" s="8" t="str">
        <x:v>Norwest</x:v>
      </x:c>
      <x:c r="C86" s="8" t="str">
        <x:v>Batch 03</x:v>
      </x:c>
      <x:c r="D86" s="8" t="n">
        <x:v>3</x:v>
      </x:c>
      <x:c r="E86" s="8" t="str">
        <x:v>https://www.norwest.com/</x:v>
      </x:c>
      <x:c r="F86" s="8" t="str">
        <x:v>https://www.linkedin.com/company/norwest-venture-partners/</x:v>
      </x:c>
      <x:c r="G86" s="8" t="str"/>
      <x:c r="H86" s="8" t="str"/>
      <x:c r="I86" s="8" t="str">
        <x:v>outreach-batch-03/leads/norwest.md</x:v>
      </x:c>
      <x:c r="J86" s="8" t="str">
        <x:v>Research candidate; transaction fit and interest unconfirmed.</x:v>
      </x:c>
    </x:row>
    <x:row r="87" ht="34" customHeight="1">
      <x:c r="A87" s="8" t="str">
        <x:v>ORG-68bad0bf4a</x:v>
      </x:c>
      <x:c r="B87" s="8" t="str">
        <x:v>NTT DATA</x:v>
      </x:c>
      <x:c r="C87" s="8" t="str">
        <x:v>Batch 01</x:v>
      </x:c>
      <x:c r="D87" s="8" t="n">
        <x:v>0</x:v>
      </x:c>
      <x:c r="E87" s="8" t="str">
        <x:v>https://nttdata.com</x:v>
      </x:c>
      <x:c r="F87" s="8" t="str">
        <x:v>https://www.linkedin.com/company/nttdata/</x:v>
      </x:c>
      <x:c r="G87" s="8" t="str">
        <x:v>Asia</x:v>
      </x:c>
      <x:c r="H87" s="8" t="str">
        <x:v>Enterprise / government technology</x:v>
      </x:c>
      <x:c r="I87" s="8" t="str">
        <x:v>outreach-batch-01/qualified-candidates.json</x:v>
      </x:c>
      <x:c r="J87" s="8" t="str">
        <x:v>Research candidate; transaction fit and interest unconfirmed.</x:v>
      </x:c>
    </x:row>
    <x:row r="88" ht="34" customHeight="1">
      <x:c r="A88" s="8" t="str">
        <x:v>ORG-dc7c4e51fb</x:v>
      </x:c>
      <x:c r="B88" s="8" t="str">
        <x:v>NVIDIA / NVentures</x:v>
      </x:c>
      <x:c r="C88" s="8" t="str">
        <x:v>Batch 01</x:v>
      </x:c>
      <x:c r="D88" s="8" t="n">
        <x:v>0</x:v>
      </x:c>
      <x:c r="E88" s="8" t="str">
        <x:v>https://www.nvidia.com/en-us/startups/nventures/</x:v>
      </x:c>
      <x:c r="F88" s="8" t="str">
        <x:v>https://www.linkedin.com/company/nvidia/</x:v>
      </x:c>
      <x:c r="G88" s="8" t="str">
        <x:v>United States</x:v>
      </x:c>
      <x:c r="H88" s="8" t="str">
        <x:v>AI infrastructure corporate / venture</x:v>
      </x:c>
      <x:c r="I88" s="8" t="str">
        <x:v>outreach-batch-01/qualified-candidates.json</x:v>
      </x:c>
      <x:c r="J88" s="8" t="str">
        <x:v>Research candidate; transaction fit and interest unconfirmed.</x:v>
      </x:c>
    </x:row>
    <x:row r="89" ht="34" customHeight="1">
      <x:c r="A89" s="8" t="str">
        <x:v>ORG-0081487dce</x:v>
      </x:c>
      <x:c r="B89" s="8" t="str">
        <x:v>Okta Ventures</x:v>
      </x:c>
      <x:c r="C89" s="8" t="str">
        <x:v>Batch 01</x:v>
      </x:c>
      <x:c r="D89" s="8" t="n">
        <x:v>1</x:v>
      </x:c>
      <x:c r="E89" s="8" t="str">
        <x:v>https://okta.com</x:v>
      </x:c>
      <x:c r="F89" s="8" t="str">
        <x:v>https://www.linkedin.com/company/okta-inc-/</x:v>
      </x:c>
      <x:c r="G89" s="8" t="str">
        <x:v>United States</x:v>
      </x:c>
      <x:c r="H89" s="8" t="str">
        <x:v>Identity corporate / venture</x:v>
      </x:c>
      <x:c r="I89" s="8" t="str">
        <x:v>outreach-batch-01/qualified-candidates.json</x:v>
      </x:c>
      <x:c r="J89" s="8" t="str">
        <x:v>Research candidate; transaction fit and interest unconfirmed.</x:v>
      </x:c>
    </x:row>
    <x:row r="90" ht="34" customHeight="1">
      <x:c r="A90" s="8" t="str">
        <x:v>ORG-dfd4ff348a</x:v>
      </x:c>
      <x:c r="B90" s="8" t="str">
        <x:v>Omantel</x:v>
      </x:c>
      <x:c r="C90" s="8" t="str">
        <x:v>Batch 01</x:v>
      </x:c>
      <x:c r="D90" s="8" t="n">
        <x:v>0</x:v>
      </x:c>
      <x:c r="E90" s="8" t="str">
        <x:v>https://omantel.om</x:v>
      </x:c>
      <x:c r="F90" s="8" t="str">
        <x:v>https://www.linkedin.com/company/omantel/</x:v>
      </x:c>
      <x:c r="G90" s="8" t="str">
        <x:v>UAE/GCC</x:v>
      </x:c>
      <x:c r="H90" s="8" t="str">
        <x:v>Telecom group</x:v>
      </x:c>
      <x:c r="I90" s="8" t="str">
        <x:v>outreach-batch-01/qualified-candidates.json</x:v>
      </x:c>
      <x:c r="J90" s="8" t="str">
        <x:v>Research candidate; transaction fit and interest unconfirmed.</x:v>
      </x:c>
    </x:row>
    <x:row r="91" ht="34" customHeight="1">
      <x:c r="A91" s="8" t="str">
        <x:v>ORG-ab91dd9282</x:v>
      </x:c>
      <x:c r="B91" s="8" t="str">
        <x:v>OneSpan</x:v>
      </x:c>
      <x:c r="C91" s="8" t="str">
        <x:v>Batch 01; Batch 02</x:v>
      </x:c>
      <x:c r="D91" s="8" t="n">
        <x:v>1</x:v>
      </x:c>
      <x:c r="E91" s="8" t="str">
        <x:v>https://onespan.com</x:v>
      </x:c>
      <x:c r="F91" s="8" t="str">
        <x:v>https://www.linkedin.com/company/onespan/</x:v>
      </x:c>
      <x:c r="G91" s="8" t="str">
        <x:v>United States</x:v>
      </x:c>
      <x:c r="H91" s="8" t="str">
        <x:v>Operating digital agreement / cybersecurity company</x:v>
      </x:c>
      <x:c r="I91" s="8" t="str">
        <x:v>outreach-batch-01/qualified-candidates.json; outreach-batch-02/candidates.json</x:v>
      </x:c>
      <x:c r="J91" s="8" t="str">
        <x:v>Research candidate; transaction fit and interest unconfirmed.</x:v>
      </x:c>
    </x:row>
    <x:row r="92" ht="34" customHeight="1">
      <x:c r="A92" s="8" t="str">
        <x:v>ORG-0ba6cd006d</x:v>
      </x:c>
      <x:c r="B92" s="8" t="str">
        <x:v>Ooredoo</x:v>
      </x:c>
      <x:c r="C92" s="8" t="str">
        <x:v>Batch 01</x:v>
      </x:c>
      <x:c r="D92" s="8" t="n">
        <x:v>0</x:v>
      </x:c>
      <x:c r="E92" s="8" t="str">
        <x:v>https://ooredoo.com</x:v>
      </x:c>
      <x:c r="F92" s="8" t="str">
        <x:v>https://www.linkedin.com/company/ooredoo-group/</x:v>
      </x:c>
      <x:c r="G92" s="8" t="str">
        <x:v>UAE/GCC</x:v>
      </x:c>
      <x:c r="H92" s="8" t="str">
        <x:v>Telecom group</x:v>
      </x:c>
      <x:c r="I92" s="8" t="str">
        <x:v>outreach-batch-01/qualified-candidates.json</x:v>
      </x:c>
      <x:c r="J92" s="8" t="str">
        <x:v>Research candidate; transaction fit and interest unconfirmed.</x:v>
      </x:c>
    </x:row>
    <x:row r="93" ht="34" customHeight="1">
      <x:c r="A93" s="8" t="str">
        <x:v>ORG-9202af6ce9</x:v>
      </x:c>
      <x:c r="B93" s="8" t="str">
        <x:v>Oracle</x:v>
      </x:c>
      <x:c r="C93" s="8" t="str">
        <x:v>Batch 01</x:v>
      </x:c>
      <x:c r="D93" s="8" t="n">
        <x:v>0</x:v>
      </x:c>
      <x:c r="E93" s="8" t="str">
        <x:v>https://oracle.com</x:v>
      </x:c>
      <x:c r="F93" s="8" t="str">
        <x:v>https://www.linkedin.com/company/oracle/</x:v>
      </x:c>
      <x:c r="G93" s="8" t="str">
        <x:v>United States</x:v>
      </x:c>
      <x:c r="H93" s="8" t="str">
        <x:v>Enterprise software / cloud corporate</x:v>
      </x:c>
      <x:c r="I93" s="8" t="str">
        <x:v>outreach-batch-01/qualified-candidates.json</x:v>
      </x:c>
      <x:c r="J93" s="8" t="str">
        <x:v>Research candidate; transaction fit and interest unconfirmed.</x:v>
      </x:c>
    </x:row>
    <x:row r="94" ht="34" customHeight="1">
      <x:c r="A94" s="8" t="str">
        <x:v>ORG-6755d8e1c0</x:v>
      </x:c>
      <x:c r="B94" s="8" t="str">
        <x:v>Orange / Orange Ventures</x:v>
      </x:c>
      <x:c r="C94" s="8" t="str">
        <x:v>Batch 01</x:v>
      </x:c>
      <x:c r="D94" s="8" t="n">
        <x:v>1</x:v>
      </x:c>
      <x:c r="E94" s="8" t="str">
        <x:v>https://orange.com</x:v>
      </x:c>
      <x:c r="F94" s="8" t="str">
        <x:v>https://www.linkedin.com/company/orange/</x:v>
      </x:c>
      <x:c r="G94" s="8" t="str">
        <x:v>Europe</x:v>
      </x:c>
      <x:c r="H94" s="8" t="str">
        <x:v>Telecom / corporate venture</x:v>
      </x:c>
      <x:c r="I94" s="8" t="str">
        <x:v>outreach-batch-01/qualified-candidates.json</x:v>
      </x:c>
      <x:c r="J94" s="8" t="str">
        <x:v>Research candidate; transaction fit and interest unconfirmed.</x:v>
      </x:c>
    </x:row>
    <x:row r="95" ht="34" customHeight="1">
      <x:c r="A95" s="8" t="str">
        <x:v>ORG-68a5bbea95</x:v>
      </x:c>
      <x:c r="B95" s="8" t="str">
        <x:v>OVHcloud</x:v>
      </x:c>
      <x:c r="C95" s="8" t="str">
        <x:v>Batch 01</x:v>
      </x:c>
      <x:c r="D95" s="8" t="n">
        <x:v>0</x:v>
      </x:c>
      <x:c r="E95" s="8" t="str">
        <x:v>https://ovhcloud.com</x:v>
      </x:c>
      <x:c r="F95" s="8" t="str">
        <x:v>https://www.linkedin.com/company/ovhgroup/</x:v>
      </x:c>
      <x:c r="G95" s="8" t="str">
        <x:v>Europe</x:v>
      </x:c>
      <x:c r="H95" s="8" t="str">
        <x:v>Sovereign cloud company</x:v>
      </x:c>
      <x:c r="I95" s="8" t="str">
        <x:v>outreach-batch-01/qualified-candidates.json</x:v>
      </x:c>
      <x:c r="J95" s="8" t="str">
        <x:v>Research candidate; transaction fit and interest unconfirmed.</x:v>
      </x:c>
    </x:row>
    <x:row r="96" ht="34" customHeight="1">
      <x:c r="A96" s="8" t="str">
        <x:v>ORG-c21b962e71</x:v>
      </x:c>
      <x:c r="B96" s="8" t="str">
        <x:v>Palantir</x:v>
      </x:c>
      <x:c r="C96" s="8" t="str">
        <x:v>Batch 01</x:v>
      </x:c>
      <x:c r="D96" s="8" t="n">
        <x:v>0</x:v>
      </x:c>
      <x:c r="E96" s="8" t="str">
        <x:v>https://palantir.com</x:v>
      </x:c>
      <x:c r="F96" s="8" t="str">
        <x:v>https://www.linkedin.com/company/palantir-technologies/</x:v>
      </x:c>
      <x:c r="G96" s="8" t="str">
        <x:v>United States</x:v>
      </x:c>
      <x:c r="H96" s="8" t="str">
        <x:v>Enterprise AI software corporate</x:v>
      </x:c>
      <x:c r="I96" s="8" t="str">
        <x:v>outreach-batch-01/qualified-candidates.json</x:v>
      </x:c>
      <x:c r="J96" s="8" t="str">
        <x:v>Research candidate; transaction fit and interest unconfirmed.</x:v>
      </x:c>
    </x:row>
    <x:row r="97" ht="34" customHeight="1">
      <x:c r="A97" s="8" t="str">
        <x:v>ORG-099d992076</x:v>
      </x:c>
      <x:c r="B97" s="8" t="str">
        <x:v>Palo Alto Networks</x:v>
      </x:c>
      <x:c r="C97" s="8" t="str">
        <x:v>Batch 01</x:v>
      </x:c>
      <x:c r="D97" s="8" t="n">
        <x:v>0</x:v>
      </x:c>
      <x:c r="E97" s="8" t="str">
        <x:v>https://paloaltonetworks.com</x:v>
      </x:c>
      <x:c r="F97" s="8" t="str">
        <x:v>https://www.linkedin.com/company/palo-alto-networks/</x:v>
      </x:c>
      <x:c r="G97" s="8" t="str">
        <x:v>United States</x:v>
      </x:c>
      <x:c r="H97" s="8" t="str">
        <x:v>Cybersecurity corporate</x:v>
      </x:c>
      <x:c r="I97" s="8" t="str">
        <x:v>outreach-batch-01/qualified-candidates.json</x:v>
      </x:c>
      <x:c r="J97" s="8" t="str">
        <x:v>Research candidate; transaction fit and interest unconfirmed.</x:v>
      </x:c>
    </x:row>
    <x:row r="98" ht="34" customHeight="1">
      <x:c r="A98" s="8" t="str">
        <x:v>ORG-1cf493e736</x:v>
      </x:c>
      <x:c r="B98" s="8" t="str">
        <x:v>Ping Identity</x:v>
      </x:c>
      <x:c r="C98" s="8" t="str">
        <x:v>Batch 01</x:v>
      </x:c>
      <x:c r="D98" s="8" t="n">
        <x:v>0</x:v>
      </x:c>
      <x:c r="E98" s="8" t="str">
        <x:v>https://pingidentity.com</x:v>
      </x:c>
      <x:c r="F98" s="8" t="str">
        <x:v>https://www.linkedin.com/company/ping-identity/</x:v>
      </x:c>
      <x:c r="G98" s="8" t="str">
        <x:v>United States</x:v>
      </x:c>
      <x:c r="H98" s="8" t="str">
        <x:v>Identity operating company</x:v>
      </x:c>
      <x:c r="I98" s="8" t="str">
        <x:v>outreach-batch-01/qualified-candidates.json</x:v>
      </x:c>
      <x:c r="J98" s="8" t="str">
        <x:v>Research candidate; transaction fit and interest unconfirmed.</x:v>
      </x:c>
    </x:row>
    <x:row r="99" ht="34" customHeight="1">
      <x:c r="A99" s="8" t="str">
        <x:v>ORG-7e3b20c0c8</x:v>
      </x:c>
      <x:c r="B99" s="8" t="str">
        <x:v>Point72</x:v>
      </x:c>
      <x:c r="C99" s="8" t="str">
        <x:v>Batch 03</x:v>
      </x:c>
      <x:c r="D99" s="8" t="n">
        <x:v>1</x:v>
      </x:c>
      <x:c r="E99" s="8" t="str"/>
      <x:c r="F99" s="8" t="str">
        <x:v>https://www.linkedin.com/company/point72-ventures/</x:v>
      </x:c>
      <x:c r="G99" s="8" t="str"/>
      <x:c r="H99" s="8" t="str"/>
      <x:c r="I99" s="8" t="str">
        <x:v>outreach-batch-03/leads/point72.md</x:v>
      </x:c>
      <x:c r="J99" s="8" t="str">
        <x:v>Research candidate; transaction fit and interest unconfirmed.</x:v>
      </x:c>
    </x:row>
    <x:row r="100" ht="34" customHeight="1">
      <x:c r="A100" s="8" t="str">
        <x:v>ORG-f29a5b70e8</x:v>
      </x:c>
      <x:c r="B100" s="8" t="str">
        <x:v>Potentia Capital</x:v>
      </x:c>
      <x:c r="C100" s="8" t="str">
        <x:v>Batch 01</x:v>
      </x:c>
      <x:c r="D100" s="8" t="n">
        <x:v>0</x:v>
      </x:c>
      <x:c r="E100" s="8" t="str">
        <x:v>https://potentiacap.com</x:v>
      </x:c>
      <x:c r="F100" s="8" t="str">
        <x:v>https://www.linkedin.com/company/potentia-capital/</x:v>
      </x:c>
      <x:c r="G100" s="8" t="str">
        <x:v>ANZ</x:v>
      </x:c>
      <x:c r="H100" s="8" t="str">
        <x:v>Technology private equity</x:v>
      </x:c>
      <x:c r="I100" s="8" t="str">
        <x:v>outreach-batch-01/qualified-candidates.json</x:v>
      </x:c>
      <x:c r="J100" s="8" t="str">
        <x:v>Research candidate; transaction fit and interest unconfirmed.</x:v>
      </x:c>
    </x:row>
    <x:row r="101" ht="34" customHeight="1">
      <x:c r="A101" s="8" t="str">
        <x:v>ORG-92a8411d88</x:v>
      </x:c>
      <x:c r="B101" s="8" t="str">
        <x:v>PSG Equity</x:v>
      </x:c>
      <x:c r="C101" s="8" t="str">
        <x:v>Batch 01</x:v>
      </x:c>
      <x:c r="D101" s="8" t="n">
        <x:v>0</x:v>
      </x:c>
      <x:c r="E101" s="8" t="str">
        <x:v>https://psgequity.com</x:v>
      </x:c>
      <x:c r="F101" s="8" t="str">
        <x:v>https://www.linkedin.com/company/psgequity/</x:v>
      </x:c>
      <x:c r="G101" s="8" t="str">
        <x:v>Global PE / growth</x:v>
      </x:c>
      <x:c r="H101" s="8" t="str">
        <x:v>Software growth equity</x:v>
      </x:c>
      <x:c r="I101" s="8" t="str">
        <x:v>outreach-batch-01/qualified-candidates.json</x:v>
      </x:c>
      <x:c r="J101" s="8" t="str">
        <x:v>Research candidate; transaction fit and interest unconfirmed.</x:v>
      </x:c>
    </x:row>
    <x:row r="102" ht="34" customHeight="1">
      <x:c r="A102" s="8" t="str">
        <x:v>ORG-5861664ccc</x:v>
      </x:c>
      <x:c r="B102" s="8" t="str">
        <x:v>Ribbit Capital</x:v>
      </x:c>
      <x:c r="C102" s="8" t="str">
        <x:v>Batch 03</x:v>
      </x:c>
      <x:c r="D102" s="8" t="n">
        <x:v>3</x:v>
      </x:c>
      <x:c r="E102" s="8" t="str">
        <x:v>https://www.ribbitcap.com/</x:v>
      </x:c>
      <x:c r="F102" s="8" t="str">
        <x:v>https://www.linkedin.com/company/ribbit-capital/</x:v>
      </x:c>
      <x:c r="G102" s="8" t="str"/>
      <x:c r="H102" s="8" t="str"/>
      <x:c r="I102" s="8" t="str">
        <x:v>outreach-batch-03/leads/ribbit-capital.md</x:v>
      </x:c>
      <x:c r="J102" s="8" t="str">
        <x:v>Research candidate; transaction fit and interest unconfirmed.</x:v>
      </x:c>
    </x:row>
    <x:row r="103" ht="34" customHeight="1">
      <x:c r="A103" s="8" t="str">
        <x:v>ORG-aae2a2996f</x:v>
      </x:c>
      <x:c r="B103" s="8" t="str">
        <x:v>SailPoint</x:v>
      </x:c>
      <x:c r="C103" s="8" t="str">
        <x:v>Batch 01</x:v>
      </x:c>
      <x:c r="D103" s="8" t="n">
        <x:v>0</x:v>
      </x:c>
      <x:c r="E103" s="8" t="str">
        <x:v>https://sailpoint.com</x:v>
      </x:c>
      <x:c r="F103" s="8" t="str">
        <x:v>https://www.linkedin.com/company/sailpoint-technologies/</x:v>
      </x:c>
      <x:c r="G103" s="8" t="str">
        <x:v>United States</x:v>
      </x:c>
      <x:c r="H103" s="8" t="str">
        <x:v>Identity-security company</x:v>
      </x:c>
      <x:c r="I103" s="8" t="str">
        <x:v>outreach-batch-01/qualified-candidates.json</x:v>
      </x:c>
      <x:c r="J103" s="8" t="str">
        <x:v>Research candidate; transaction fit and interest unconfirmed.</x:v>
      </x:c>
    </x:row>
    <x:row r="104" ht="34" customHeight="1">
      <x:c r="A104" s="8" t="str">
        <x:v>ORG-8e18936867</x:v>
      </x:c>
      <x:c r="B104" s="8" t="str">
        <x:v>Salesforce Ventures</x:v>
      </x:c>
      <x:c r="C104" s="8" t="str">
        <x:v>Batch 01</x:v>
      </x:c>
      <x:c r="D104" s="8" t="n">
        <x:v>0</x:v>
      </x:c>
      <x:c r="E104" s="8" t="str">
        <x:v>https://salesforceventures.com</x:v>
      </x:c>
      <x:c r="F104" s="8" t="str">
        <x:v>https://www.linkedin.com/company/salesforce-ventures/</x:v>
      </x:c>
      <x:c r="G104" s="8" t="str">
        <x:v>United States</x:v>
      </x:c>
      <x:c r="H104" s="8" t="str">
        <x:v>Corporate venture</x:v>
      </x:c>
      <x:c r="I104" s="8" t="str">
        <x:v>outreach-batch-01/qualified-candidates.json</x:v>
      </x:c>
      <x:c r="J104" s="8" t="str">
        <x:v>Research candidate; transaction fit and interest unconfirmed.</x:v>
      </x:c>
    </x:row>
    <x:row r="105" ht="34" customHeight="1">
      <x:c r="A105" s="8" t="str">
        <x:v>ORG-7a9c94a8c2</x:v>
      </x:c>
      <x:c r="B105" s="8" t="str">
        <x:v>SAP</x:v>
      </x:c>
      <x:c r="C105" s="8" t="str">
        <x:v>Batch 01</x:v>
      </x:c>
      <x:c r="D105" s="8" t="n">
        <x:v>0</x:v>
      </x:c>
      <x:c r="E105" s="8" t="str">
        <x:v>https://sap.com</x:v>
      </x:c>
      <x:c r="F105" s="8" t="str">
        <x:v>https://www.linkedin.com/company/sap/</x:v>
      </x:c>
      <x:c r="G105" s="8" t="str">
        <x:v>Europe</x:v>
      </x:c>
      <x:c r="H105" s="8" t="str">
        <x:v>Enterprise software corporate</x:v>
      </x:c>
      <x:c r="I105" s="8" t="str">
        <x:v>outreach-batch-01/qualified-candidates.json</x:v>
      </x:c>
      <x:c r="J105" s="8" t="str">
        <x:v>Research candidate; transaction fit and interest unconfirmed.</x:v>
      </x:c>
    </x:row>
    <x:row r="106" ht="34" customHeight="1">
      <x:c r="A106" s="8" t="str">
        <x:v>ORG-cb813d7d18</x:v>
      </x:c>
      <x:c r="B106" s="8" t="str">
        <x:v>ServiceNow / ServiceNow Ventures</x:v>
      </x:c>
      <x:c r="C106" s="8" t="str">
        <x:v>Batch 01</x:v>
      </x:c>
      <x:c r="D106" s="8" t="n">
        <x:v>1</x:v>
      </x:c>
      <x:c r="E106" s="8" t="str">
        <x:v>https://servicenow.com</x:v>
      </x:c>
      <x:c r="F106" s="8" t="str">
        <x:v>https://www.linkedin.com/company/servicenow/</x:v>
      </x:c>
      <x:c r="G106" s="8" t="str">
        <x:v>United States</x:v>
      </x:c>
      <x:c r="H106" s="8" t="str">
        <x:v>Workflow corporate / venture</x:v>
      </x:c>
      <x:c r="I106" s="8" t="str">
        <x:v>outreach-batch-01/qualified-candidates.json</x:v>
      </x:c>
      <x:c r="J106" s="8" t="str">
        <x:v>Research candidate; transaction fit and interest unconfirmed.</x:v>
      </x:c>
    </x:row>
    <x:row r="107" ht="34" customHeight="1">
      <x:c r="A107" s="8" t="str">
        <x:v>ORG-dad1e356a9</x:v>
      </x:c>
      <x:c r="B107" s="8" t="str">
        <x:v>Shorooq</x:v>
      </x:c>
      <x:c r="C107" s="8" t="str">
        <x:v>Batch 01</x:v>
      </x:c>
      <x:c r="D107" s="8" t="n">
        <x:v>0</x:v>
      </x:c>
      <x:c r="E107" s="8" t="str">
        <x:v>https://shorooq.com</x:v>
      </x:c>
      <x:c r="F107" s="8" t="str">
        <x:v>https://www.linkedin.com/company/shorooqpartners/</x:v>
      </x:c>
      <x:c r="G107" s="8" t="str">
        <x:v>UAE/GCC</x:v>
      </x:c>
      <x:c r="H107" s="8" t="str">
        <x:v>Technology investment firm</x:v>
      </x:c>
      <x:c r="I107" s="8" t="str">
        <x:v>outreach-batch-01/qualified-candidates.json</x:v>
      </x:c>
      <x:c r="J107" s="8" t="str">
        <x:v>Research candidate; transaction fit and interest unconfirmed.</x:v>
      </x:c>
    </x:row>
    <x:row r="108" ht="34" customHeight="1">
      <x:c r="A108" s="8" t="str">
        <x:v>ORG-1d3eac5a4d</x:v>
      </x:c>
      <x:c r="B108" s="8" t="str">
        <x:v>Signicat</x:v>
      </x:c>
      <x:c r="C108" s="8" t="str">
        <x:v>Batch 01; Batch 02</x:v>
      </x:c>
      <x:c r="D108" s="8" t="n">
        <x:v>2</x:v>
      </x:c>
      <x:c r="E108" s="8" t="str">
        <x:v>https://signicat.com</x:v>
      </x:c>
      <x:c r="F108" s="8" t="str">
        <x:v>https://www.linkedin.com/company/signicat/</x:v>
      </x:c>
      <x:c r="G108" s="8" t="str">
        <x:v>Europe</x:v>
      </x:c>
      <x:c r="H108" s="8" t="str">
        <x:v>Operating digital identity / trust group</x:v>
      </x:c>
      <x:c r="I108" s="8" t="str">
        <x:v>outreach-batch-01/qualified-candidates.json; outreach-batch-02/candidates.json</x:v>
      </x:c>
      <x:c r="J108" s="8" t="str">
        <x:v>Research candidate; transaction fit and interest unconfirmed.</x:v>
      </x:c>
    </x:row>
    <x:row r="109" ht="34" customHeight="1">
      <x:c r="A109" s="8" t="str">
        <x:v>ORG-4430f20813</x:v>
      </x:c>
      <x:c r="B109" s="8" t="str">
        <x:v>Singtel / Singtel Innov8</x:v>
      </x:c>
      <x:c r="C109" s="8" t="str">
        <x:v>Batch 01</x:v>
      </x:c>
      <x:c r="D109" s="8" t="n">
        <x:v>0</x:v>
      </x:c>
      <x:c r="E109" s="8" t="str">
        <x:v>https://singtel.com</x:v>
      </x:c>
      <x:c r="F109" s="8" t="str">
        <x:v>https://www.linkedin.com/company/singtel/</x:v>
      </x:c>
      <x:c r="G109" s="8" t="str">
        <x:v>Asia</x:v>
      </x:c>
      <x:c r="H109" s="8" t="str">
        <x:v>Telecom / corporate venture</x:v>
      </x:c>
      <x:c r="I109" s="8" t="str">
        <x:v>outreach-batch-01/qualified-candidates.json</x:v>
      </x:c>
      <x:c r="J109" s="8" t="str">
        <x:v>Research candidate; transaction fit and interest unconfirmed.</x:v>
      </x:c>
    </x:row>
    <x:row r="110" ht="34" customHeight="1">
      <x:c r="A110" s="8" t="str">
        <x:v>ORG-8a9e237194</x:v>
      </x:c>
      <x:c r="B110" s="8" t="str">
        <x:v>Singtel Innov8</x:v>
      </x:c>
      <x:c r="C110" s="8" t="str">
        <x:v>Batch 03</x:v>
      </x:c>
      <x:c r="D110" s="8" t="n">
        <x:v>2</x:v>
      </x:c>
      <x:c r="E110" s="8" t="str">
        <x:v>https://innov8.singtel.com/</x:v>
      </x:c>
      <x:c r="F110" s="8" t="str">
        <x:v>https://www.linkedin.com/company/singtel-innov8/</x:v>
      </x:c>
      <x:c r="G110" s="8" t="str"/>
      <x:c r="H110" s="8" t="str"/>
      <x:c r="I110" s="8" t="str">
        <x:v>outreach-batch-03/leads/singtel-innov8.md</x:v>
      </x:c>
      <x:c r="J110" s="8" t="str">
        <x:v>Research candidate; transaction fit and interest unconfirmed.</x:v>
      </x:c>
    </x:row>
    <x:row r="111" ht="34" customHeight="1">
      <x:c r="A111" s="8" t="str">
        <x:v>ORG-fbae041b02</x:v>
      </x:c>
      <x:c r="B111" s="8" t="str">
        <x:v>SITE</x:v>
      </x:c>
      <x:c r="C111" s="8" t="str">
        <x:v>Batch 01</x:v>
      </x:c>
      <x:c r="D111" s="8" t="n">
        <x:v>1</x:v>
      </x:c>
      <x:c r="E111" s="8" t="str">
        <x:v>https://site.sa</x:v>
      </x:c>
      <x:c r="F111" s="8" t="str">
        <x:v>https://www.linkedin.com/company/sitesaudi/</x:v>
      </x:c>
      <x:c r="G111" s="8" t="str">
        <x:v>UAE/GCC</x:v>
      </x:c>
      <x:c r="H111" s="8" t="str">
        <x:v>Sovereign cybersecurity company</x:v>
      </x:c>
      <x:c r="I111" s="8" t="str">
        <x:v>outreach-batch-01/qualified-candidates.json</x:v>
      </x:c>
      <x:c r="J111" s="8" t="str">
        <x:v>Research candidate; transaction fit and interest unconfirmed.</x:v>
      </x:c>
    </x:row>
    <x:row r="112" ht="34" customHeight="1">
      <x:c r="A112" s="8" t="str">
        <x:v>ORG-766019553a</x:v>
      </x:c>
      <x:c r="B112" s="8" t="str">
        <x:v>Sopra Steria</x:v>
      </x:c>
      <x:c r="C112" s="8" t="str">
        <x:v>Batch 01</x:v>
      </x:c>
      <x:c r="D112" s="8" t="n">
        <x:v>0</x:v>
      </x:c>
      <x:c r="E112" s="8" t="str">
        <x:v>https://soprasteria.com</x:v>
      </x:c>
      <x:c r="F112" s="8" t="str">
        <x:v>https://www.linkedin.com/company/soprasteria/</x:v>
      </x:c>
      <x:c r="G112" s="8" t="str">
        <x:v>Europe</x:v>
      </x:c>
      <x:c r="H112" s="8" t="str">
        <x:v>Enterprise / GovTech services</x:v>
      </x:c>
      <x:c r="I112" s="8" t="str">
        <x:v>outreach-batch-01/qualified-candidates.json</x:v>
      </x:c>
      <x:c r="J112" s="8" t="str">
        <x:v>Research candidate; transaction fit and interest unconfirmed.</x:v>
      </x:c>
    </x:row>
    <x:row r="113" ht="34" customHeight="1">
      <x:c r="A113" s="8" t="str">
        <x:v>ORG-3e054e36b1</x:v>
      </x:c>
      <x:c r="B113" s="8" t="str">
        <x:v>Spectrum Equity</x:v>
      </x:c>
      <x:c r="C113" s="8" t="str">
        <x:v>Batch 02</x:v>
      </x:c>
      <x:c r="D113" s="8" t="n">
        <x:v>1</x:v>
      </x:c>
      <x:c r="E113" s="8" t="str">
        <x:v>https://www.spectrumequity.com/</x:v>
      </x:c>
      <x:c r="F113" s="8" t="str">
        <x:v>https://www.linkedin.com/company/spectrum-equity/</x:v>
      </x:c>
      <x:c r="G113" s="8" t="str">
        <x:v>United States</x:v>
      </x:c>
      <x:c r="H113" s="8" t="str">
        <x:v>Software / data growth equity</x:v>
      </x:c>
      <x:c r="I113" s="8" t="str">
        <x:v>outreach-batch-02/candidates.json</x:v>
      </x:c>
      <x:c r="J113" s="8" t="str">
        <x:v>Research candidate; transaction fit and interest unconfirmed.</x:v>
      </x:c>
    </x:row>
    <x:row r="114" ht="34" customHeight="1">
      <x:c r="A114" s="8" t="str">
        <x:v>ORG-5e667d9040</x:v>
      </x:c>
      <x:c r="B114" s="8" t="str">
        <x:v>ST Engineering</x:v>
      </x:c>
      <x:c r="C114" s="8" t="str">
        <x:v>Batch 01</x:v>
      </x:c>
      <x:c r="D114" s="8" t="n">
        <x:v>0</x:v>
      </x:c>
      <x:c r="E114" s="8" t="str">
        <x:v>https://stengg.com</x:v>
      </x:c>
      <x:c r="F114" s="8" t="str">
        <x:v>https://www.linkedin.com/company/st-engineering/</x:v>
      </x:c>
      <x:c r="G114" s="8" t="str">
        <x:v>Asia</x:v>
      </x:c>
      <x:c r="H114" s="8" t="str">
        <x:v>Technology / GovTech group</x:v>
      </x:c>
      <x:c r="I114" s="8" t="str">
        <x:v>outreach-batch-01/qualified-candidates.json</x:v>
      </x:c>
      <x:c r="J114" s="8" t="str">
        <x:v>Research candidate; transaction fit and interest unconfirmed.</x:v>
      </x:c>
    </x:row>
    <x:row r="115" ht="34" customHeight="1">
      <x:c r="A115" s="8" t="str">
        <x:v>ORG-877a355b0d</x:v>
      </x:c>
      <x:c r="B115" s="8" t="str">
        <x:v>stc Group</x:v>
      </x:c>
      <x:c r="C115" s="8" t="str">
        <x:v>Batch 01; Batch 02</x:v>
      </x:c>
      <x:c r="D115" s="8" t="n">
        <x:v>2</x:v>
      </x:c>
      <x:c r="E115" s="8" t="str">
        <x:v>https://stc.com.sa</x:v>
      </x:c>
      <x:c r="F115" s="8" t="str">
        <x:v>https://www.linkedin.com/company/stc/</x:v>
      </x:c>
      <x:c r="G115" s="8" t="str">
        <x:v>UAE/GCC</x:v>
      </x:c>
      <x:c r="H115" s="8" t="str">
        <x:v>Operating technology / telecom group</x:v>
      </x:c>
      <x:c r="I115" s="8" t="str">
        <x:v>outreach-batch-01/qualified-candidates.json; outreach-batch-02/candidates.json</x:v>
      </x:c>
      <x:c r="J115" s="8" t="str">
        <x:v>Research candidate; transaction fit and interest unconfirmed.</x:v>
      </x:c>
    </x:row>
    <x:row r="116" ht="34" customHeight="1">
      <x:c r="A116" s="8" t="str">
        <x:v>ORG-6a2ca1ec61</x:v>
      </x:c>
      <x:c r="B116" s="8" t="str">
        <x:v>Summit Partners</x:v>
      </x:c>
      <x:c r="C116" s="8" t="str">
        <x:v>Batch 01</x:v>
      </x:c>
      <x:c r="D116" s="8" t="n">
        <x:v>0</x:v>
      </x:c>
      <x:c r="E116" s="8" t="str">
        <x:v>https://summitpartners.com</x:v>
      </x:c>
      <x:c r="F116" s="8" t="str">
        <x:v>https://www.linkedin.com/company/summit-partners_2/</x:v>
      </x:c>
      <x:c r="G116" s="8" t="str">
        <x:v>Global PE / growth</x:v>
      </x:c>
      <x:c r="H116" s="8" t="str">
        <x:v>Growth equity</x:v>
      </x:c>
      <x:c r="I116" s="8" t="str">
        <x:v>outreach-batch-01/qualified-candidates.json</x:v>
      </x:c>
      <x:c r="J116" s="8" t="str">
        <x:v>Research candidate; transaction fit and interest unconfirmed.</x:v>
      </x:c>
    </x:row>
    <x:row r="117" ht="34" customHeight="1">
      <x:c r="A117" s="8" t="str">
        <x:v>ORG-dbee56b864</x:v>
      </x:c>
      <x:c r="B117" s="8" t="str">
        <x:v>Swiss Post / SwissSign</x:v>
      </x:c>
      <x:c r="C117" s="8" t="str">
        <x:v>Batch 01</x:v>
      </x:c>
      <x:c r="D117" s="8" t="n">
        <x:v>0</x:v>
      </x:c>
      <x:c r="E117" s="8" t="str">
        <x:v>https://swisssign.com</x:v>
      </x:c>
      <x:c r="F117" s="8" t="str">
        <x:v>https://www.linkedin.com/company/swiss-post/</x:v>
      </x:c>
      <x:c r="G117" s="8" t="str">
        <x:v>Europe</x:v>
      </x:c>
      <x:c r="H117" s="8" t="str">
        <x:v>Identity / trust operating group</x:v>
      </x:c>
      <x:c r="I117" s="8" t="str">
        <x:v>outreach-batch-01/qualified-candidates.json</x:v>
      </x:c>
      <x:c r="J117" s="8" t="str">
        <x:v>Research candidate; transaction fit and interest unconfirmed.</x:v>
      </x:c>
    </x:row>
    <x:row r="118" ht="34" customHeight="1">
      <x:c r="A118" s="8" t="str">
        <x:v>ORG-701622b799</x:v>
      </x:c>
      <x:c r="B118" s="8" t="str">
        <x:v>Swisscom</x:v>
      </x:c>
      <x:c r="C118" s="8" t="str">
        <x:v>Batch 01</x:v>
      </x:c>
      <x:c r="D118" s="8" t="n">
        <x:v>0</x:v>
      </x:c>
      <x:c r="E118" s="8" t="str">
        <x:v>https://swisscom.ch</x:v>
      </x:c>
      <x:c r="F118" s="8" t="str">
        <x:v>https://www.linkedin.com/company/swisscom/</x:v>
      </x:c>
      <x:c r="G118" s="8" t="str">
        <x:v>Europe</x:v>
      </x:c>
      <x:c r="H118" s="8" t="str">
        <x:v>Telecom / digital-trust group</x:v>
      </x:c>
      <x:c r="I118" s="8" t="str">
        <x:v>outreach-batch-01/qualified-candidates.json</x:v>
      </x:c>
      <x:c r="J118" s="8" t="str">
        <x:v>Research candidate; transaction fit and interest unconfirmed.</x:v>
      </x:c>
    </x:row>
    <x:row r="119" ht="34" customHeight="1">
      <x:c r="A119" s="8" t="str">
        <x:v>ORG-2af65ae00b</x:v>
      </x:c>
      <x:c r="B119" s="8" t="str">
        <x:v>TA Associates</x:v>
      </x:c>
      <x:c r="C119" s="8" t="str">
        <x:v>Batch 01</x:v>
      </x:c>
      <x:c r="D119" s="8" t="n">
        <x:v>0</x:v>
      </x:c>
      <x:c r="E119" s="8" t="str">
        <x:v>https://ta.com</x:v>
      </x:c>
      <x:c r="F119" s="8" t="str">
        <x:v>https://www.linkedin.com/company/ta-associates/</x:v>
      </x:c>
      <x:c r="G119" s="8" t="str">
        <x:v>Global PE / growth</x:v>
      </x:c>
      <x:c r="H119" s="8" t="str">
        <x:v>Growth private equity</x:v>
      </x:c>
      <x:c r="I119" s="8" t="str">
        <x:v>outreach-batch-01/qualified-candidates.json</x:v>
      </x:c>
      <x:c r="J119" s="8" t="str">
        <x:v>Research candidate; transaction fit and interest unconfirmed.</x:v>
      </x:c>
    </x:row>
    <x:row r="120" ht="34" customHeight="1">
      <x:c r="A120" s="8" t="str">
        <x:v>ORG-5b5245affe</x:v>
      </x:c>
      <x:c r="B120" s="8" t="str">
        <x:v>Tata Communications</x:v>
      </x:c>
      <x:c r="C120" s="8" t="str">
        <x:v>Batch 01</x:v>
      </x:c>
      <x:c r="D120" s="8" t="n">
        <x:v>0</x:v>
      </x:c>
      <x:c r="E120" s="8" t="str">
        <x:v>https://tatacommunications.com</x:v>
      </x:c>
      <x:c r="F120" s="8" t="str">
        <x:v>https://www.linkedin.com/company/tata-communication/</x:v>
      </x:c>
      <x:c r="G120" s="8" t="str">
        <x:v>Asia</x:v>
      </x:c>
      <x:c r="H120" s="8" t="str">
        <x:v>Digital infrastructure / telecom</x:v>
      </x:c>
      <x:c r="I120" s="8" t="str">
        <x:v>outreach-batch-01/qualified-candidates.json</x:v>
      </x:c>
      <x:c r="J120" s="8" t="str">
        <x:v>Research candidate; transaction fit and interest unconfirmed.</x:v>
      </x:c>
    </x:row>
    <x:row r="121" ht="34" customHeight="1">
      <x:c r="A121" s="8" t="str">
        <x:v>ORG-990bb270a8</x:v>
      </x:c>
      <x:c r="B121" s="8" t="str">
        <x:v>TeamViewer</x:v>
      </x:c>
      <x:c r="C121" s="8" t="str">
        <x:v>Batch 01</x:v>
      </x:c>
      <x:c r="D121" s="8" t="n">
        <x:v>0</x:v>
      </x:c>
      <x:c r="E121" s="8" t="str">
        <x:v>https://teamviewer.com</x:v>
      </x:c>
      <x:c r="F121" s="8" t="str">
        <x:v>https://www.linkedin.com/company/teamviewer/</x:v>
      </x:c>
      <x:c r="G121" s="8" t="str">
        <x:v>Europe</x:v>
      </x:c>
      <x:c r="H121" s="8" t="str">
        <x:v>Enterprise connectivity / automation</x:v>
      </x:c>
      <x:c r="I121" s="8" t="str">
        <x:v>outreach-batch-01/qualified-candidates.json</x:v>
      </x:c>
      <x:c r="J121" s="8" t="str">
        <x:v>Research candidate; transaction fit and interest unconfirmed.</x:v>
      </x:c>
    </x:row>
    <x:row r="122" ht="34" customHeight="1">
      <x:c r="A122" s="8" t="str">
        <x:v>ORG-d72ead2e3d</x:v>
      </x:c>
      <x:c r="B122" s="8" t="str">
        <x:v>Tech Mahindra</x:v>
      </x:c>
      <x:c r="C122" s="8" t="str">
        <x:v>Batch 01</x:v>
      </x:c>
      <x:c r="D122" s="8" t="n">
        <x:v>0</x:v>
      </x:c>
      <x:c r="E122" s="8" t="str">
        <x:v>https://techmahindra.com</x:v>
      </x:c>
      <x:c r="F122" s="8" t="str">
        <x:v>https://www.linkedin.com/company/tech-mahindra/</x:v>
      </x:c>
      <x:c r="G122" s="8" t="str">
        <x:v>Asia</x:v>
      </x:c>
      <x:c r="H122" s="8" t="str">
        <x:v>Enterprise / telecom integrator</x:v>
      </x:c>
      <x:c r="I122" s="8" t="str">
        <x:v>outreach-batch-01/qualified-candidates.json</x:v>
      </x:c>
      <x:c r="J122" s="8" t="str">
        <x:v>Research candidate; transaction fit and interest unconfirmed.</x:v>
      </x:c>
    </x:row>
    <x:row r="123" ht="34" customHeight="1">
      <x:c r="A123" s="8" t="str">
        <x:v>ORG-0bd88a3ca8</x:v>
      </x:c>
      <x:c r="B123" s="8" t="str">
        <x:v>Technology Control Company</x:v>
      </x:c>
      <x:c r="C123" s="8" t="str">
        <x:v>Batch 01</x:v>
      </x:c>
      <x:c r="D123" s="8" t="n">
        <x:v>0</x:v>
      </x:c>
      <x:c r="E123" s="8" t="str">
        <x:v>https://www.tcc-ict.com</x:v>
      </x:c>
      <x:c r="F123" s="8" t="str">
        <x:v>https://www.linkedin.com/company/technology-control-co-/</x:v>
      </x:c>
      <x:c r="G123" s="8" t="str">
        <x:v>UAE/GCC</x:v>
      </x:c>
      <x:c r="H123" s="8" t="str">
        <x:v>Technology / cybersecurity company</x:v>
      </x:c>
      <x:c r="I123" s="8" t="str">
        <x:v>outreach-batch-01/qualified-candidates.json</x:v>
      </x:c>
      <x:c r="J123" s="8" t="str">
        <x:v>Research candidate; transaction fit and interest unconfirmed.</x:v>
      </x:c>
    </x:row>
    <x:row r="124" ht="34" customHeight="1">
      <x:c r="A124" s="8" t="str">
        <x:v>ORG-0fa7534d13</x:v>
      </x:c>
      <x:c r="B124" s="8" t="str">
        <x:v>TechnologyOne</x:v>
      </x:c>
      <x:c r="C124" s="8" t="str">
        <x:v>Batch 01</x:v>
      </x:c>
      <x:c r="D124" s="8" t="n">
        <x:v>0</x:v>
      </x:c>
      <x:c r="E124" s="8" t="str">
        <x:v>https://www.technology1.com/</x:v>
      </x:c>
      <x:c r="F124" s="8" t="str">
        <x:v>https://www.linkedin.com/company/technology-one/</x:v>
      </x:c>
      <x:c r="G124" s="8" t="str">
        <x:v>ANZ</x:v>
      </x:c>
      <x:c r="H124" s="8" t="str">
        <x:v>Enterprise / GovTech software</x:v>
      </x:c>
      <x:c r="I124" s="8" t="str">
        <x:v>outreach-batch-01/qualified-candidates.json</x:v>
      </x:c>
      <x:c r="J124" s="8" t="str">
        <x:v>Research candidate; transaction fit and interest unconfirmed.</x:v>
      </x:c>
    </x:row>
    <x:row r="125" ht="34" customHeight="1">
      <x:c r="A125" s="8" t="str">
        <x:v>ORG-8004c7b1e8</x:v>
      </x:c>
      <x:c r="B125" s="8" t="str">
        <x:v>Telefónica / Telefónica Ventures</x:v>
      </x:c>
      <x:c r="C125" s="8" t="str">
        <x:v>Batch 01</x:v>
      </x:c>
      <x:c r="D125" s="8" t="n">
        <x:v>0</x:v>
      </x:c>
      <x:c r="E125" s="8" t="str">
        <x:v>https://telefonica.com</x:v>
      </x:c>
      <x:c r="F125" s="8" t="str">
        <x:v>https://www.linkedin.com/company/telefonica/</x:v>
      </x:c>
      <x:c r="G125" s="8" t="str">
        <x:v>Europe</x:v>
      </x:c>
      <x:c r="H125" s="8" t="str">
        <x:v>Telecom / investment group</x:v>
      </x:c>
      <x:c r="I125" s="8" t="str">
        <x:v>outreach-batch-01/qualified-candidates.json</x:v>
      </x:c>
      <x:c r="J125" s="8" t="str">
        <x:v>Research candidate; transaction fit and interest unconfirmed.</x:v>
      </x:c>
    </x:row>
    <x:row r="126" ht="34" customHeight="1">
      <x:c r="A126" s="8" t="str">
        <x:v>ORG-4fbddb45c8</x:v>
      </x:c>
      <x:c r="B126" s="8" t="str">
        <x:v>Temasek</x:v>
      </x:c>
      <x:c r="C126" s="8" t="str">
        <x:v>Batch 01</x:v>
      </x:c>
      <x:c r="D126" s="8" t="n">
        <x:v>0</x:v>
      </x:c>
      <x:c r="E126" s="8" t="str">
        <x:v>https://temasek.com.sg</x:v>
      </x:c>
      <x:c r="F126" s="8" t="str">
        <x:v>https://www.linkedin.com/company/temasek-holdings/</x:v>
      </x:c>
      <x:c r="G126" s="8" t="str">
        <x:v>Asia</x:v>
      </x:c>
      <x:c r="H126" s="8" t="str">
        <x:v>Investment holding company</x:v>
      </x:c>
      <x:c r="I126" s="8" t="str">
        <x:v>outreach-batch-01/qualified-candidates.json</x:v>
      </x:c>
      <x:c r="J126" s="8" t="str">
        <x:v>Research candidate; transaction fit and interest unconfirmed.</x:v>
      </x:c>
    </x:row>
    <x:row r="127" ht="34" customHeight="1">
      <x:c r="A127" s="8" t="str">
        <x:v>ORG-3dba2d2e96</x:v>
      </x:c>
      <x:c r="B127" s="8" t="str">
        <x:v>Thales</x:v>
      </x:c>
      <x:c r="C127" s="8" t="str">
        <x:v>Batch 01; Batch 02</x:v>
      </x:c>
      <x:c r="D127" s="8" t="n">
        <x:v>2</x:v>
      </x:c>
      <x:c r="E127" s="8" t="str">
        <x:v>https://thalesgroup.com</x:v>
      </x:c>
      <x:c r="F127" s="8" t="str">
        <x:v>https://www.linkedin.com/company/thales/</x:v>
      </x:c>
      <x:c r="G127" s="8" t="str">
        <x:v>Europe</x:v>
      </x:c>
      <x:c r="H127" s="8" t="str">
        <x:v>Operating cybersecurity / identity group</x:v>
      </x:c>
      <x:c r="I127" s="8" t="str">
        <x:v>outreach-batch-01/qualified-candidates.json; outreach-batch-02/candidates.json</x:v>
      </x:c>
      <x:c r="J127" s="8" t="str">
        <x:v>Research candidate; transaction fit and interest unconfirmed.</x:v>
      </x:c>
    </x:row>
    <x:row r="128" ht="34" customHeight="1">
      <x:c r="A128" s="8" t="str">
        <x:v>ORG-30b7bf1593</x:v>
      </x:c>
      <x:c r="B128" s="8" t="str">
        <x:v>Tinexta / Tinexta Trust</x:v>
      </x:c>
      <x:c r="C128" s="8" t="str">
        <x:v>Batch 01</x:v>
      </x:c>
      <x:c r="D128" s="8" t="n">
        <x:v>1</x:v>
      </x:c>
      <x:c r="E128" s="8" t="str">
        <x:v>https://tinexta.com</x:v>
      </x:c>
      <x:c r="F128" s="8" t="str">
        <x:v>https://www.linkedin.com/company/tinexta/</x:v>
      </x:c>
      <x:c r="G128" s="8" t="str">
        <x:v>Europe</x:v>
      </x:c>
      <x:c r="H128" s="8" t="str">
        <x:v>Digital-trust / cybersecurity group</x:v>
      </x:c>
      <x:c r="I128" s="8" t="str">
        <x:v>outreach-batch-01/qualified-candidates.json</x:v>
      </x:c>
      <x:c r="J128" s="8" t="str">
        <x:v>Research candidate; transaction fit and interest unconfirmed.</x:v>
      </x:c>
    </x:row>
    <x:row r="129" ht="34" customHeight="1">
      <x:c r="A129" s="8" t="str">
        <x:v>ORG-f19600b9e1</x:v>
      </x:c>
      <x:c r="B129" s="8" t="str">
        <x:v>UiPath</x:v>
      </x:c>
      <x:c r="C129" s="8" t="str">
        <x:v>Batch 01</x:v>
      </x:c>
      <x:c r="D129" s="8" t="n">
        <x:v>1</x:v>
      </x:c>
      <x:c r="E129" s="8" t="str">
        <x:v>https://uipath.com</x:v>
      </x:c>
      <x:c r="F129" s="8" t="str">
        <x:v>https://www.linkedin.com/company/uipath/</x:v>
      </x:c>
      <x:c r="G129" s="8" t="str">
        <x:v>United States</x:v>
      </x:c>
      <x:c r="H129" s="8" t="str">
        <x:v>Automation / agentic software company</x:v>
      </x:c>
      <x:c r="I129" s="8" t="str">
        <x:v>outreach-batch-01/qualified-candidates.json</x:v>
      </x:c>
      <x:c r="J129" s="8" t="str">
        <x:v>Research candidate; transaction fit and interest unconfirmed.</x:v>
      </x:c>
    </x:row>
    <x:row r="130" ht="34" customHeight="1">
      <x:c r="A130" s="8" t="str">
        <x:v>ORG-0f320b32b2</x:v>
      </x:c>
      <x:c r="B130" s="8" t="str">
        <x:v>Upfront Ventures</x:v>
      </x:c>
      <x:c r="C130" s="8" t="str">
        <x:v>Batch 04</x:v>
      </x:c>
      <x:c r="D130" s="8" t="n">
        <x:v>1</x:v>
      </x:c>
      <x:c r="E130" s="8" t="str">
        <x:v>https://upfront.com/</x:v>
      </x:c>
      <x:c r="F130" s="8" t="str">
        <x:v>https://www.linkedin.com/company/upfront-ventures</x:v>
      </x:c>
      <x:c r="G130" s="8" t="str">
        <x:v>Los Angeles metro; meeting area to confirm</x:v>
      </x:c>
      <x:c r="H130" s="8" t="str">
        <x:v>Venture capital</x:v>
      </x:c>
      <x:c r="I130" s="8" t="str">
        <x:v>outreach-batch-04/research.json</x:v>
      </x:c>
      <x:c r="J130" s="8" t="str">
        <x:v>Research candidate; transaction fit and interest unconfirmed.</x:v>
      </x:c>
    </x:row>
    <x:row r="131" ht="34" customHeight="1">
      <x:c r="A131" s="8" t="str">
        <x:v>ORG-ab3b2c3d66</x:v>
      </x:c>
      <x:c r="B131" s="8" t="str">
        <x:v>Visma</x:v>
      </x:c>
      <x:c r="C131" s="8" t="str">
        <x:v>Batch 01</x:v>
      </x:c>
      <x:c r="D131" s="8" t="n">
        <x:v>0</x:v>
      </x:c>
      <x:c r="E131" s="8" t="str">
        <x:v>https://visma.com</x:v>
      </x:c>
      <x:c r="F131" s="8" t="str">
        <x:v>https://www.linkedin.com/company/visma/</x:v>
      </x:c>
      <x:c r="G131" s="8" t="str">
        <x:v>Europe</x:v>
      </x:c>
      <x:c r="H131" s="8" t="str">
        <x:v>Enterprise software group</x:v>
      </x:c>
      <x:c r="I131" s="8" t="str">
        <x:v>outreach-batch-01/qualified-candidates.json</x:v>
      </x:c>
      <x:c r="J131" s="8" t="str">
        <x:v>Research candidate; transaction fit and interest unconfirmed.</x:v>
      </x:c>
    </x:row>
    <x:row r="132" ht="34" customHeight="1">
      <x:c r="A132" s="8" t="str">
        <x:v>ORG-2c5d3d0bb5</x:v>
      </x:c>
      <x:c r="B132" s="8" t="str">
        <x:v>Volpi Capital</x:v>
      </x:c>
      <x:c r="C132" s="8" t="str">
        <x:v>Batch 02</x:v>
      </x:c>
      <x:c r="D132" s="8" t="n">
        <x:v>1</x:v>
      </x:c>
      <x:c r="E132" s="8" t="str">
        <x:v>https://www.volpicapital.com/</x:v>
      </x:c>
      <x:c r="F132" s="8" t="str">
        <x:v>https://www.linkedin.com/company/volpi-capital/</x:v>
      </x:c>
      <x:c r="G132" s="8" t="str">
        <x:v>Europe</x:v>
      </x:c>
      <x:c r="H132" s="8" t="str">
        <x:v>B2B software / technology private equity</x:v>
      </x:c>
      <x:c r="I132" s="8" t="str">
        <x:v>outreach-batch-02/candidates.json</x:v>
      </x:c>
      <x:c r="J132" s="8" t="str">
        <x:v>Research candidate; transaction fit and interest unconfirmed.</x:v>
      </x:c>
    </x:row>
    <x:row r="133" ht="34" customHeight="1">
      <x:c r="A133" s="8" t="str">
        <x:v>ORG-fb2382f2b2</x:v>
      </x:c>
      <x:c r="B133" s="8" t="str">
        <x:v>Waha Capital</x:v>
      </x:c>
      <x:c r="C133" s="8" t="str">
        <x:v>Batch 01</x:v>
      </x:c>
      <x:c r="D133" s="8" t="n">
        <x:v>0</x:v>
      </x:c>
      <x:c r="E133" s="8" t="str">
        <x:v>https://wahacapital.com</x:v>
      </x:c>
      <x:c r="F133" s="8" t="str">
        <x:v>https://www.linkedin.com/company/waha-capital/</x:v>
      </x:c>
      <x:c r="G133" s="8" t="str">
        <x:v>UAE/GCC</x:v>
      </x:c>
      <x:c r="H133" s="8" t="str">
        <x:v>Investment company</x:v>
      </x:c>
      <x:c r="I133" s="8" t="str">
        <x:v>outreach-batch-01/qualified-candidates.json</x:v>
      </x:c>
      <x:c r="J133" s="8" t="str">
        <x:v>Research candidate; transaction fit and interest unconfirmed.</x:v>
      </x:c>
    </x:row>
    <x:row r="134" ht="34" customHeight="1">
      <x:c r="A134" s="8" t="str">
        <x:v>ORG-3284909304</x:v>
      </x:c>
      <x:c r="B134" s="8" t="str">
        <x:v>WiseTech Global</x:v>
      </x:c>
      <x:c r="C134" s="8" t="str">
        <x:v>Batch 01</x:v>
      </x:c>
      <x:c r="D134" s="8" t="n">
        <x:v>0</x:v>
      </x:c>
      <x:c r="E134" s="8" t="str">
        <x:v>https://wisetechglobal.com</x:v>
      </x:c>
      <x:c r="F134" s="8" t="str">
        <x:v>https://www.linkedin.com/company/wisetech-global/</x:v>
      </x:c>
      <x:c r="G134" s="8" t="str">
        <x:v>ANZ</x:v>
      </x:c>
      <x:c r="H134" s="8" t="str">
        <x:v>Logistics enterprise software</x:v>
      </x:c>
      <x:c r="I134" s="8" t="str">
        <x:v>outreach-batch-01/qualified-candidates.json</x:v>
      </x:c>
      <x:c r="J134" s="8" t="str">
        <x:v>Research candidate; transaction fit and interest unconfirmed.</x:v>
      </x:c>
    </x:row>
    <x:row r="135" ht="34" customHeight="1">
      <x:c r="A135" s="8" t="str">
        <x:v>ORG-7a1128e475</x:v>
      </x:c>
      <x:c r="B135" s="8" t="str">
        <x:v>WithSecure</x:v>
      </x:c>
      <x:c r="C135" s="8" t="str">
        <x:v>Batch 01</x:v>
      </x:c>
      <x:c r="D135" s="8" t="n">
        <x:v>0</x:v>
      </x:c>
      <x:c r="E135" s="8" t="str">
        <x:v>https://withsecure.com</x:v>
      </x:c>
      <x:c r="F135" s="8" t="str">
        <x:v>https://www.linkedin.com/company/withsecure/</x:v>
      </x:c>
      <x:c r="G135" s="8" t="str">
        <x:v>Europe</x:v>
      </x:c>
      <x:c r="H135" s="8" t="str">
        <x:v>Cybersecurity company</x:v>
      </x:c>
      <x:c r="I135" s="8" t="str">
        <x:v>outreach-batch-01/qualified-candidates.json</x:v>
      </x:c>
      <x:c r="J135" s="8" t="str">
        <x:v>Research candidate; transaction fit and interest unconfirmed.</x:v>
      </x:c>
    </x:row>
    <x:row r="136" ht="34" customHeight="1">
      <x:c r="A136" s="8" t="str">
        <x:v>ORG-df7ee19bb4</x:v>
      </x:c>
      <x:c r="B136" s="8" t="str">
        <x:v>Workday Ventures</x:v>
      </x:c>
      <x:c r="C136" s="8" t="str">
        <x:v>Batch 01</x:v>
      </x:c>
      <x:c r="D136" s="8" t="n">
        <x:v>0</x:v>
      </x:c>
      <x:c r="E136" s="8" t="str">
        <x:v>https://ventures.workday.com</x:v>
      </x:c>
      <x:c r="F136" s="8" t="str">
        <x:v>https://www.linkedin.com/company/workdayventures/</x:v>
      </x:c>
      <x:c r="G136" s="8" t="str">
        <x:v>United States</x:v>
      </x:c>
      <x:c r="H136" s="8" t="str">
        <x:v>Corporate venture</x:v>
      </x:c>
      <x:c r="I136" s="8" t="str">
        <x:v>outreach-batch-01/qualified-candidates.json</x:v>
      </x:c>
      <x:c r="J136" s="8" t="str">
        <x:v>Research candidate; transaction fit and interest unconfirmed.</x:v>
      </x:c>
    </x:row>
    <x:row r="137" ht="34" customHeight="1">
      <x:c r="A137" s="8" t="str">
        <x:v>ORG-3cb2df6b3b</x:v>
      </x:c>
      <x:c r="B137" s="8" t="str">
        <x:v>Zain Group</x:v>
      </x:c>
      <x:c r="C137" s="8" t="str">
        <x:v>Batch 01</x:v>
      </x:c>
      <x:c r="D137" s="8" t="n">
        <x:v>0</x:v>
      </x:c>
      <x:c r="E137" s="8" t="str">
        <x:v>https://zain.com</x:v>
      </x:c>
      <x:c r="F137" s="8" t="str">
        <x:v>https://www.linkedin.com/company/zain/</x:v>
      </x:c>
      <x:c r="G137" s="8" t="str">
        <x:v>UAE/GCC</x:v>
      </x:c>
      <x:c r="H137" s="8" t="str">
        <x:v>Telecom / technology group</x:v>
      </x:c>
      <x:c r="I137" s="8" t="str">
        <x:v>outreach-batch-01/qualified-candidates.json</x:v>
      </x:c>
      <x:c r="J137" s="8" t="str">
        <x:v>Research candidate; transaction fit and interest unconfirmed.</x:v>
      </x:c>
    </x:row>
  </x:sheetData>
  <x:pageMargins left="0.7" right="0.7" top="0.75" bottom="0.75" header="0.3" footer="0.3"/>
  <x:tableParts count="1">
    <x:tablePart xmlns:r="http://schemas.openxmlformats.org/officeDocument/2006/relationships" r:id="R3e6971bde32f4656"/>
  </x:tableParts>
</x:worksheet>
</file>