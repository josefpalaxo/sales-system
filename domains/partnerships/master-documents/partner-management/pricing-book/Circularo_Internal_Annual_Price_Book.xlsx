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orkbook Guide" sheetId="1" state="visible" r:id="rId1"/>
    <sheet name="Price Book" sheetId="2" state="visible" r:id="rId2"/>
    <sheet name="Definitions" sheetId="3" state="visible" r:id="rId3"/>
    <sheet name="Formulas" sheetId="4" state="visible" r:id="rId4"/>
    <sheet name="Partner Tiers" sheetId="5" state="visible" r:id="rId5"/>
    <sheet name="Special Pricing Matrix" sheetId="6" state="visible" r:id="rId6"/>
    <sheet name="MSRP Catalog" sheetId="7" state="visible" r:id="rId7"/>
    <sheet name="Partner Buy Price Matrix" sheetId="8" state="visible" r:id="rId8"/>
    <sheet name="Discount Approval Matrix" sheetId="9" state="visible" r:id="rId9"/>
    <sheet name="Price Book History" sheetId="10" state="visible" r:id="rId10"/>
    <sheet name="Price Realization" sheetId="11" state="visible" r:id="rId11"/>
  </sheets>
  <definedNames>
    <definedName name="_xlnm._FilterDatabase" localSheetId="0" hidden="1">'Workbook Guide'!$A$10:$D$20</definedName>
    <definedName name="_xlnm.Print_Area" localSheetId="0">'Workbook Guide'!$A$1:$D$20</definedName>
    <definedName name="_xlnm._FilterDatabase" localSheetId="1" hidden="1">'Price Book'!$A$4:$AG$114</definedName>
    <definedName name="_xlnm.Print_Area" localSheetId="1">'Price Book'!$A$1:$AG$114</definedName>
    <definedName name="_xlnm._FilterDatabase" localSheetId="2" hidden="1">'Definitions'!$A$4:$D$30</definedName>
    <definedName name="_xlnm.Print_Area" localSheetId="2">'Definitions'!$A$1:$D$30</definedName>
    <definedName name="_xlnm._FilterDatabase" localSheetId="3" hidden="1">'Formulas'!$A$4:$C$12</definedName>
    <definedName name="_xlnm.Print_Area" localSheetId="3">'Formulas'!$A$1:$C$12</definedName>
    <definedName name="_xlnm._FilterDatabase" localSheetId="4" hidden="1">'Partner Tiers'!$A$4:$P$7</definedName>
    <definedName name="_xlnm.Print_Area" localSheetId="4">'Partner Tiers'!$A$1:$P$7</definedName>
    <definedName name="_xlnm._FilterDatabase" localSheetId="5" hidden="1">'Special Pricing Matrix'!$A$4:$F$10</definedName>
    <definedName name="_xlnm.Print_Area" localSheetId="5">'Special Pricing Matrix'!$A$1:$F$10</definedName>
    <definedName name="_xlnm._FilterDatabase" localSheetId="6" hidden="1">'MSRP Catalog'!$A$4:$N$114</definedName>
    <definedName name="_xlnm.Print_Area" localSheetId="6">'MSRP Catalog'!$A$1:$N$114</definedName>
    <definedName name="_xlnm._FilterDatabase" localSheetId="7" hidden="1">'Partner Buy Price Matrix'!$A$4:$V$114</definedName>
    <definedName name="_xlnm.Print_Area" localSheetId="7">'Partner Buy Price Matrix'!$A$1:$V$114</definedName>
    <definedName name="_xlnm._FilterDatabase" localSheetId="8" hidden="1">'Discount Approval Matrix'!$A$4:$H$9</definedName>
    <definedName name="_xlnm.Print_Area" localSheetId="8">'Discount Approval Matrix'!$A$1:$H$9</definedName>
    <definedName name="_xlnm._FilterDatabase" localSheetId="9" hidden="1">'Price Book History'!$A$4:$I$6</definedName>
    <definedName name="_xlnm.Print_Area" localSheetId="9">'Price Book History'!$A$1:$I$6</definedName>
    <definedName name="_xlnm._FilterDatabase" localSheetId="10" hidden="1">'Price Realization'!$A$11:$O$121</definedName>
    <definedName name="_xlnm.Print_Area" localSheetId="10">'Price Realization'!$A$1:$O$121</definedName>
  </definedNames>
  <calcPr calcId="124519" calcMode="auto" fullCalcOnLoad="1" forceFullCalc="1"/>
</workbook>
</file>

<file path=xl/styles.xml><?xml version="1.0" encoding="utf-8"?>
<styleSheet xmlns="http://schemas.openxmlformats.org/spreadsheetml/2006/main">
  <numFmts count="4">
    <numFmt numFmtId="164" formatCode="$#,##0.00;[Red]($#,##0.00);-"/>
    <numFmt numFmtId="165" formatCode="0.0%;[Red](0.0%);-"/>
    <numFmt numFmtId="166" formatCode="#,##0;[Red](#,##0);-"/>
    <numFmt numFmtId="167" formatCode="yyyy-mm-dd"/>
  </numFmts>
  <fonts count="12">
    <font>
      <name val="Calibri"/>
      <family val="2"/>
      <color theme="1"/>
      <sz val="11"/>
      <scheme val="minor"/>
    </font>
    <font>
      <name val="Spartan"/>
      <b val="1"/>
      <color rgb="00FFFFFF"/>
      <sz val="18"/>
    </font>
    <font>
      <name val="Mulish"/>
      <i val="1"/>
      <color rgb="003D3D3D"/>
      <sz val="10"/>
    </font>
    <font>
      <name val="Mulish"/>
      <b val="1"/>
      <color rgb="00FFFFFF"/>
    </font>
    <font>
      <name val="Mulish"/>
      <color rgb="003D3D3D"/>
    </font>
    <font>
      <name val="Mulish"/>
      <b val="1"/>
      <color rgb="00FFFFFF"/>
      <sz val="10"/>
    </font>
    <font>
      <name val="Calibri"/>
      <family val="2"/>
      <color theme="10"/>
      <sz val="12"/>
      <scheme val="minor"/>
    </font>
    <font>
      <name val="Mulish"/>
      <b val="1"/>
      <color rgb="007000FF"/>
      <sz val="10"/>
      <u val="single"/>
    </font>
    <font>
      <name val="Mulish"/>
      <color rgb="003D3D3D"/>
      <sz val="10"/>
    </font>
    <font>
      <name val="Mulish"/>
      <family val="2"/>
      <color rgb="003D3D3D"/>
      <sz val="10"/>
      <scheme val="minor"/>
    </font>
    <font>
      <name val="Mulish"/>
      <color rgb="007000FF"/>
      <sz val="10"/>
    </font>
    <font>
      <name val="Mulish"/>
      <b val="1"/>
      <color rgb="003D3D3D"/>
    </font>
  </fonts>
  <fills count="6">
    <fill>
      <patternFill/>
    </fill>
    <fill>
      <patternFill patternType="gray125"/>
    </fill>
    <fill>
      <patternFill patternType="solid">
        <fgColor rgb="001D0090"/>
      </patternFill>
    </fill>
    <fill>
      <patternFill patternType="solid">
        <fgColor rgb="00F5F0FF"/>
      </patternFill>
    </fill>
    <fill>
      <patternFill patternType="solid">
        <fgColor rgb="00FFF2CC"/>
      </patternFill>
    </fill>
    <fill>
      <patternFill patternType="solid">
        <fgColor rgb="00E9DFFF"/>
      </patternFill>
    </fill>
  </fills>
  <borders count="3">
    <border>
      <left/>
      <right/>
      <top/>
      <bottom/>
      <diagonal/>
    </border>
    <border>
      <bottom style="medium">
        <color rgb="001D0090"/>
      </bottom>
    </border>
    <border>
      <bottom style="thin">
        <color rgb="00D9D2EA"/>
      </bottom>
    </border>
  </borders>
  <cellStyleXfs count="2">
    <xf numFmtId="0" fontId="0" fillId="0" borderId="0"/>
    <xf numFmtId="0" fontId="6" fillId="0" borderId="0"/>
  </cellStyleXfs>
  <cellXfs count="23">
    <xf numFmtId="0" fontId="0" fillId="0" borderId="0" pivotButton="0" quotePrefix="0" xfId="0"/>
    <xf numFmtId="0" fontId="1" fillId="2" borderId="0" applyAlignment="1" pivotButton="0" quotePrefix="0" xfId="0">
      <alignment horizontal="left" vertical="center"/>
    </xf>
    <xf numFmtId="0" fontId="2" fillId="3" borderId="0" applyAlignment="1" pivotButton="0" quotePrefix="0" xfId="0">
      <alignment wrapText="1"/>
    </xf>
    <xf numFmtId="0" fontId="5" fillId="2" borderId="2" applyAlignment="1" pivotButton="0" quotePrefix="0" xfId="0">
      <alignment vertical="top" wrapText="1"/>
    </xf>
    <xf numFmtId="0" fontId="8" fillId="3" borderId="2" applyAlignment="1" pivotButton="0" quotePrefix="0" xfId="0">
      <alignment vertical="top" wrapText="1"/>
    </xf>
    <xf numFmtId="0" fontId="9" fillId="0" borderId="2" applyAlignment="1" pivotButton="0" quotePrefix="0" xfId="0">
      <alignment vertical="top" wrapText="1"/>
    </xf>
    <xf numFmtId="0" fontId="5" fillId="2" borderId="1" applyAlignment="1" pivotButton="0" quotePrefix="0" xfId="0">
      <alignment horizontal="center" vertical="center" wrapText="1"/>
    </xf>
    <xf numFmtId="0" fontId="7" fillId="0" borderId="2" applyAlignment="1" pivotButton="0" quotePrefix="0" xfId="1">
      <alignment vertical="top" wrapText="1"/>
    </xf>
    <xf numFmtId="0" fontId="10" fillId="0" borderId="2" applyAlignment="1" pivotButton="0" quotePrefix="0" xfId="0">
      <alignment vertical="top" wrapText="1"/>
    </xf>
    <xf numFmtId="166" fontId="10" fillId="0" borderId="2" applyAlignment="1" pivotButton="0" quotePrefix="0" xfId="0">
      <alignment vertical="top" wrapText="1"/>
    </xf>
    <xf numFmtId="164" fontId="10" fillId="0" borderId="2" applyAlignment="1" pivotButton="0" quotePrefix="0" xfId="0">
      <alignment vertical="top" wrapText="1"/>
    </xf>
    <xf numFmtId="165" fontId="10" fillId="0" borderId="2" applyAlignment="1" pivotButton="0" quotePrefix="0" xfId="0">
      <alignment vertical="top" wrapText="1"/>
    </xf>
    <xf numFmtId="164" fontId="8" fillId="0" borderId="2" applyAlignment="1" pivotButton="0" quotePrefix="0" xfId="0">
      <alignment vertical="top" wrapText="1"/>
    </xf>
    <xf numFmtId="164" fontId="10" fillId="4" borderId="2" applyAlignment="1" pivotButton="0" quotePrefix="0" xfId="0">
      <alignment vertical="top" wrapText="1"/>
    </xf>
    <xf numFmtId="165" fontId="8" fillId="0" borderId="2" applyAlignment="1" pivotButton="0" quotePrefix="0" xfId="0">
      <alignment vertical="top" wrapText="1"/>
    </xf>
    <xf numFmtId="0" fontId="8" fillId="0" borderId="2" applyAlignment="1" pivotButton="0" quotePrefix="0" xfId="0">
      <alignment vertical="top" wrapText="1"/>
    </xf>
    <xf numFmtId="167" fontId="10" fillId="0" borderId="2" applyAlignment="1" pivotButton="0" quotePrefix="0" xfId="0">
      <alignment vertical="top" wrapText="1"/>
    </xf>
    <xf numFmtId="0" fontId="10" fillId="4" borderId="2" applyAlignment="1" pivotButton="0" quotePrefix="0" xfId="0">
      <alignment vertical="top" wrapText="1"/>
    </xf>
    <xf numFmtId="167" fontId="10" fillId="4" borderId="2" applyAlignment="1" pivotButton="0" quotePrefix="0" xfId="0">
      <alignment vertical="top" wrapText="1"/>
    </xf>
    <xf numFmtId="166" fontId="10" fillId="4" borderId="2" applyAlignment="1" pivotButton="0" quotePrefix="0" xfId="0">
      <alignment vertical="top" wrapText="1"/>
    </xf>
    <xf numFmtId="0" fontId="3" fillId="2" borderId="0" pivotButton="0" quotePrefix="0" xfId="0"/>
    <xf numFmtId="164" fontId="11" fillId="5" borderId="0" pivotButton="0" quotePrefix="0" xfId="0"/>
    <xf numFmtId="165" fontId="11" fillId="5" borderId="0" pivotButton="0" quotePrefix="0" xfId="0"/>
  </cellXfs>
  <cellStyles count="2">
    <cellStyle name="Normal" xfId="0" builtinId="0" hidden="0"/>
    <cellStyle name="Hyperlink" xfId="1" builtinId="8" hidden="0"/>
  </cellStyles>
  <dxfs count="3">
    <dxf>
      <fill>
        <patternFill patternType="solid">
          <fgColor rgb="00E2F0D9"/>
        </patternFill>
      </fill>
    </dxf>
    <dxf>
      <fill>
        <patternFill patternType="solid">
          <fgColor rgb="00FFF2CC"/>
        </patternFill>
      </fill>
    </dxf>
    <dxf>
      <fill>
        <patternFill patternType="solid">
          <f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ables/table1.xml><?xml version="1.0" encoding="utf-8"?>
<table xmlns="http://schemas.openxmlformats.org/spreadsheetml/2006/main" id="1" name="WorkbookGuideTable" displayName="WorkbookGuideTable" ref="A10:D20" headerRowCount="1">
  <autoFilter ref="A10:D20"/>
  <tableColumns count="4">
    <tableColumn id="1" name="Sheet"/>
    <tableColumn id="2" name="Purpose"/>
    <tableColumn id="3" name="Use this when"/>
    <tableColumn id="4" name="Open"/>
  </tableColumns>
  <tableStyleInfo name="TableStyleMedium2" showFirstColumn="0" showLastColumn="0" showRowStripes="1" showColumnStripes="0"/>
</table>
</file>

<file path=xl/tables/table2.xml><?xml version="1.0" encoding="utf-8"?>
<table xmlns="http://schemas.openxmlformats.org/spreadsheetml/2006/main" id="2" name="PriceBookTable" displayName="PriceBookTable" ref="A4:AG114" headerRowCount="1">
  <autoFilter ref="A4:AG114"/>
  <tableColumns count="33">
    <tableColumn id="1" name="Price Book Version"/>
    <tableColumn id="2" name="SKU"/>
    <tableColumn id="3" name="Product"/>
    <tableColumn id="4" name="Plan"/>
    <tableColumn id="5" name="Product Family"/>
    <tableColumn id="6" name="Unit"/>
    <tableColumn id="7" name="Price Basis"/>
    <tableColumn id="8" name="Pack Quantity"/>
    <tableColumn id="9" name="MSRP"/>
    <tableColumn id="10" name="Target Customer Discount"/>
    <tableColumn id="11" name="Target Customer Sell Price"/>
    <tableColumn id="12" name="Standard Partner Buy Price"/>
    <tableColumn id="13" name="Commercial Floor Price"/>
    <tableColumn id="14" name="Customer Sell Price Approval Threshold"/>
    <tableColumn id="15" name="Max Customer Discount"/>
    <tableColumn id="16" name="Target Realized Partner Margin"/>
    <tableColumn id="17" name="Standard Circularo Price Realization"/>
    <tableColumn id="18" name="Floor Circularo Price Realization"/>
    <tableColumn id="19" name="Standard Approval"/>
    <tableColumn id="20" name="Floor Approval"/>
    <tableColumn id="21" name="Below Floor"/>
    <tableColumn id="22" name="Above Discount Authority"/>
    <tableColumn id="23" name="Above Partner Margin Ceiling"/>
    <tableColumn id="24" name="Low Price Realization"/>
    <tableColumn id="25" name="Independent Partner Quote"/>
    <tableColumn id="26" name="Ultimate Independent Quote"/>
    <tableColumn id="27" name="Special Pricing Applied"/>
    <tableColumn id="28" name="Deal Registration ID"/>
    <tableColumn id="29" name="Special Pricing Without Deal Registration"/>
    <tableColumn id="30" name="Effective To"/>
    <tableColumn id="31" name="Expired Price Book Version"/>
    <tableColumn id="32" name="Status"/>
    <tableColumn id="33" name="Notes"/>
  </tableColumns>
  <tableStyleInfo name="TableStyleMedium2" showFirstColumn="0" showLastColumn="0" showRowStripes="1" showColumnStripes="0"/>
</table>
</file>

<file path=xl/tables/table3.xml><?xml version="1.0" encoding="utf-8"?>
<table xmlns="http://schemas.openxmlformats.org/spreadsheetml/2006/main" id="3" name="DefinitionsTable" displayName="DefinitionsTable" ref="A4:D30" headerRowCount="1">
  <autoFilter ref="A4:D30"/>
  <tableColumns count="4">
    <tableColumn id="1" name="Field"/>
    <tableColumn id="2" name="Definition"/>
    <tableColumn id="3" name="Example"/>
    <tableColumn id="4" name="Owner"/>
  </tableColumns>
  <tableStyleInfo name="TableStyleMedium2" showFirstColumn="0" showLastColumn="0" showRowStripes="1" showColumnStripes="0"/>
</table>
</file>

<file path=xl/tables/table4.xml><?xml version="1.0" encoding="utf-8"?>
<table xmlns="http://schemas.openxmlformats.org/spreadsheetml/2006/main" id="4" name="FormulaReferenceTable" displayName="FormulaReferenceTable" ref="A4:C12" headerRowCount="1">
  <autoFilter ref="A4:C12"/>
  <tableColumns count="3">
    <tableColumn id="1" name="Formula Name"/>
    <tableColumn id="2" name="Formula"/>
    <tableColumn id="3" name="Description"/>
  </tableColumns>
  <tableStyleInfo name="TableStyleMedium2" showFirstColumn="0" showLastColumn="0" showRowStripes="1" showColumnStripes="0"/>
</table>
</file>

<file path=xl/tables/table5.xml><?xml version="1.0" encoding="utf-8"?>
<table xmlns="http://schemas.openxmlformats.org/spreadsheetml/2006/main" id="5" name="PartnerTiersTable" displayName="PartnerTiersTable" ref="A4:P7" headerRowCount="1">
  <autoFilter ref="A4:P7"/>
  <tableColumns count="16">
    <tableColumn id="1" name="Partner Tier"/>
    <tableColumn id="2" name="Target Role"/>
    <tableColumn id="3" name="Standard Realized Margin Ceiling"/>
    <tableColumn id="4" name="Start Margin Ceiling"/>
    <tableColumn id="5" name="Pro Margin Ceiling"/>
    <tableColumn id="6" name="Business Margin Ceiling"/>
    <tableColumn id="7" name="Enterprise Margin Ceiling"/>
    <tableColumn id="8" name="Can Quote Start"/>
    <tableColumn id="9" name="Can Quote Pro"/>
    <tableColumn id="10" name="Can Quote Business"/>
    <tableColumn id="11" name="Can Quote Enterprise"/>
    <tableColumn id="12" name="Can Quote Ultimate"/>
    <tableColumn id="13" name="Max User-Based Quote"/>
    <tableColumn id="14" name="Max Transaction-Based Quote"/>
    <tableColumn id="15" name="Requires Deal Registration"/>
    <tableColumn id="16" name="Notes"/>
  </tableColumns>
  <tableStyleInfo name="TableStyleMedium2" showFirstColumn="0" showLastColumn="0" showRowStripes="1" showColumnStripes="0"/>
</table>
</file>

<file path=xl/tables/table6.xml><?xml version="1.0" encoding="utf-8"?>
<table xmlns="http://schemas.openxmlformats.org/spreadsheetml/2006/main" id="6" name="SpecialPricingTable" displayName="SpecialPricingTable" ref="A4:F10" headerRowCount="1">
  <autoFilter ref="A4:F10"/>
  <tableColumns count="6">
    <tableColumn id="1" name="Customer Discount Band"/>
    <tableColumn id="2" name="Treatment"/>
    <tableColumn id="3" name="Required Approval"/>
    <tableColumn id="4" name="Deal Registration Required"/>
    <tableColumn id="5" name="Special Pricing Required"/>
    <tableColumn id="6" name="Notes"/>
  </tableColumns>
  <tableStyleInfo name="TableStyleMedium2" showFirstColumn="0" showLastColumn="0" showRowStripes="1" showColumnStripes="0"/>
</table>
</file>

<file path=xl/tables/table7.xml><?xml version="1.0" encoding="utf-8"?>
<table xmlns="http://schemas.openxmlformats.org/spreadsheetml/2006/main" id="7" name="MSRPCatalogTable" displayName="MSRPCatalogTable" ref="A4:N114" headerRowCount="1">
  <autoFilter ref="A4:N114"/>
  <tableColumns count="14">
    <tableColumn id="1" name="Price Book Version"/>
    <tableColumn id="2" name="SKU"/>
    <tableColumn id="3" name="Product"/>
    <tableColumn id="4" name="Plan"/>
    <tableColumn id="5" name="Product Family"/>
    <tableColumn id="6" name="Unit"/>
    <tableColumn id="7" name="Price Basis"/>
    <tableColumn id="8" name="Pack Quantity"/>
    <tableColumn id="9" name="MSRP"/>
    <tableColumn id="10" name="Currency"/>
    <tableColumn id="11" name="Status"/>
    <tableColumn id="12" name="Effective From"/>
    <tableColumn id="13" name="Effective To"/>
    <tableColumn id="14" name="Notes"/>
  </tableColumns>
  <tableStyleInfo name="TableStyleMedium2" showFirstColumn="0" showLastColumn="0" showRowStripes="1" showColumnStripes="0"/>
</table>
</file>

<file path=xl/tables/table8.xml><?xml version="1.0" encoding="utf-8"?>
<table xmlns="http://schemas.openxmlformats.org/spreadsheetml/2006/main" id="8" name="PartnerBuyMatrixTable" displayName="PartnerBuyMatrixTable" ref="A4:V114" headerRowCount="1">
  <autoFilter ref="A4:V114"/>
  <tableColumns count="22">
    <tableColumn id="1" name="Price Book Version"/>
    <tableColumn id="2" name="SKU"/>
    <tableColumn id="3" name="Product"/>
    <tableColumn id="4" name="Plan"/>
    <tableColumn id="5" name="Price Basis"/>
    <tableColumn id="6" name="MSRP"/>
    <tableColumn id="7" name="Target Customer Discount"/>
    <tableColumn id="8" name="Target Customer Sell Price"/>
    <tableColumn id="9" name="Authorized Buy Price"/>
    <tableColumn id="10" name="Advanced Buy Price"/>
    <tableColumn id="11" name="Strategic Buy Price"/>
    <tableColumn id="12" name="Authorized Margin"/>
    <tableColumn id="13" name="Advanced Margin"/>
    <tableColumn id="14" name="Strategic Margin"/>
    <tableColumn id="15" name="Commercial Floor Price"/>
    <tableColumn id="16" name="Customer Sell Price Approval Threshold"/>
    <tableColumn id="17" name="Max Customer Discount"/>
    <tableColumn id="18" name="Authorized Circularo Price Realization"/>
    <tableColumn id="19" name="Advanced Circularo Price Realization"/>
    <tableColumn id="20" name="Strategic Circularo Price Realization"/>
    <tableColumn id="21" name="Floor Circularo Price Realization"/>
    <tableColumn id="22" name="Notes"/>
  </tableColumns>
  <tableStyleInfo name="TableStyleMedium2" showFirstColumn="0" showLastColumn="0" showRowStripes="1" showColumnStripes="0"/>
</table>
</file>

<file path=xl/tables/table9.xml><?xml version="1.0" encoding="utf-8"?>
<table xmlns="http://schemas.openxmlformats.org/spreadsheetml/2006/main" id="9" name="DiscountApprovalTable" displayName="DiscountApprovalTable" ref="A4:H9" headerRowCount="1">
  <autoFilter ref="A4:H9"/>
  <tableColumns count="8">
    <tableColumn id="1" name="Discount Range"/>
    <tableColumn id="2" name="Approval Required"/>
    <tableColumn id="3" name="Applies To"/>
    <tableColumn id="4" name="Partner Discretion"/>
    <tableColumn id="5" name="Deal Registration Required"/>
    <tableColumn id="6" name="Special Pricing Required"/>
    <tableColumn id="7" name="CSO Approval Required"/>
    <tableColumn id="8" name="Notes"/>
  </tableColumns>
  <tableStyleInfo name="TableStyleMedium2" showFirstColumn="0" showLastColumn="0" showRowStripes="1" showColumnStripes="0"/>
</table>
</file>

<file path=xl/tables/table10.xml><?xml version="1.0" encoding="utf-8"?>
<table xmlns="http://schemas.openxmlformats.org/spreadsheetml/2006/main" id="10" name="PriceBookHistoryTable" displayName="PriceBookHistoryTable" ref="A4:I6" headerRowCount="1">
  <autoFilter ref="A4:I6"/>
  <tableColumns count="9">
    <tableColumn id="1" name="Version"/>
    <tableColumn id="2" name="Status"/>
    <tableColumn id="3" name="Effective From"/>
    <tableColumn id="4" name="Effective To"/>
    <tableColumn id="5" name="Created By"/>
    <tableColumn id="6" name="Approved By"/>
    <tableColumn id="7" name="Approval Date"/>
    <tableColumn id="8" name="Summary of Changes"/>
    <tableColumn id="9" name="Notes"/>
  </tableColumns>
  <tableStyleInfo name="TableStyleMedium2" showFirstColumn="0" showLastColumn="0" showRowStripes="1" showColumnStripes="0"/>
</table>
</file>

<file path=xl/tables/table11.xml><?xml version="1.0" encoding="utf-8"?>
<table xmlns="http://schemas.openxmlformats.org/spreadsheetml/2006/main" id="11" name="PriceRealizationTable" displayName="PriceRealizationTable" ref="A11:O121" headerRowCount="1">
  <autoFilter ref="A11:O121"/>
  <tableColumns count="15">
    <tableColumn id="1" name="Price Book Version"/>
    <tableColumn id="2" name="SKU"/>
    <tableColumn id="3" name="Product"/>
    <tableColumn id="4" name="Plan"/>
    <tableColumn id="5" name="Price Basis"/>
    <tableColumn id="6" name="MSRP"/>
    <tableColumn id="7" name="Standard Partner Buy Price"/>
    <tableColumn id="8" name="Commercial Floor Price"/>
    <tableColumn id="9" name="Standard Circularo Price Realization"/>
    <tableColumn id="10" name="Floor Circularo Price Realization"/>
    <tableColumn id="11" name="Quantity / Volume"/>
    <tableColumn id="12" name="MSRP Value"/>
    <tableColumn id="13" name="Partner Buy Price Value"/>
    <tableColumn id="14" name="Commercial Floor Value"/>
    <tableColumn id="15" name="Not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Price Book'!A1" TargetMode="External" Id="rId1" /><Relationship Type="http://schemas.openxmlformats.org/officeDocument/2006/relationships/hyperlink" Target="#'Definitions'!A1" TargetMode="External" Id="rId2" /><Relationship Type="http://schemas.openxmlformats.org/officeDocument/2006/relationships/hyperlink" Target="#'Formulas'!A1" TargetMode="External" Id="rId3" /><Relationship Type="http://schemas.openxmlformats.org/officeDocument/2006/relationships/hyperlink" Target="#'Partner Tiers'!A1" TargetMode="External" Id="rId4" /><Relationship Type="http://schemas.openxmlformats.org/officeDocument/2006/relationships/hyperlink" Target="#'Special Pricing Matrix'!A1" TargetMode="External" Id="rId5" /><Relationship Type="http://schemas.openxmlformats.org/officeDocument/2006/relationships/hyperlink" Target="#'MSRP Catalog'!A1" TargetMode="External" Id="rId6" /><Relationship Type="http://schemas.openxmlformats.org/officeDocument/2006/relationships/hyperlink" Target="#'Partner Buy Price Matrix'!A1" TargetMode="External" Id="rId7" /><Relationship Type="http://schemas.openxmlformats.org/officeDocument/2006/relationships/hyperlink" Target="#'Discount Approval Matrix'!A1" TargetMode="External" Id="rId8" /><Relationship Type="http://schemas.openxmlformats.org/officeDocument/2006/relationships/hyperlink" Target="#'Price Book History'!A1" TargetMode="External" Id="rId9" /><Relationship Type="http://schemas.openxmlformats.org/officeDocument/2006/relationships/hyperlink" Target="#'Price Realization'!A1" TargetMode="External" Id="rId10" /><Relationship Type="http://schemas.openxmlformats.org/officeDocument/2006/relationships/table" Target="/xl/tables/table1.xml" Id="rId1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5.xml.rels><Relationships xmlns="http://schemas.openxmlformats.org/package/2006/relationships"><Relationship Type="http://schemas.openxmlformats.org/officeDocument/2006/relationships/table" Target="/xl/tables/table5.xml" Id="rId1" /></Relationships>
</file>

<file path=xl/worksheets/_rels/sheet6.xml.rels><Relationships xmlns="http://schemas.openxmlformats.org/package/2006/relationships"><Relationship Type="http://schemas.openxmlformats.org/officeDocument/2006/relationships/table" Target="/xl/tables/table6.xml" Id="rId1" /></Relationships>
</file>

<file path=xl/worksheets/_rels/sheet7.xml.rels><Relationships xmlns="http://schemas.openxmlformats.org/package/2006/relationships"><Relationship Type="http://schemas.openxmlformats.org/officeDocument/2006/relationships/table" Target="/xl/tables/table7.xml" Id="rId1" /></Relationships>
</file>

<file path=xl/worksheets/_rels/sheet8.xml.rels><Relationships xmlns="http://schemas.openxmlformats.org/package/2006/relationships"><Relationship Type="http://schemas.openxmlformats.org/officeDocument/2006/relationships/table" Target="/xl/tables/table8.xml" Id="rId1" /></Relationships>
</file>

<file path=xl/worksheets/_rels/sheet9.xml.rels><Relationships xmlns="http://schemas.openxmlformats.org/package/2006/relationships"><Relationship Type="http://schemas.openxmlformats.org/officeDocument/2006/relationships/table" Target="/xl/tables/table9.xml" Id="rId1" /></Relationships>
</file>

<file path=xl/worksheets/_rels/sheet10.xml.rels><Relationships xmlns="http://schemas.openxmlformats.org/package/2006/relationships"><Relationship Type="http://schemas.openxmlformats.org/officeDocument/2006/relationships/table" Target="/xl/tables/table10.xml" Id="rId1" /></Relationships>
</file>

<file path=xl/worksheets/_rels/sheet11.xml.rels><Relationships xmlns="http://schemas.openxmlformats.org/package/2006/relationships"><Relationship Type="http://schemas.openxmlformats.org/officeDocument/2006/relationships/table" Target="/xl/tables/table11.xml" Id="rId1" /></Relationships>
</file>

<file path=xl/worksheets/sheet1.xml><?xml version="1.0" encoding="utf-8"?>
<worksheet xmlns="http://schemas.openxmlformats.org/spreadsheetml/2006/main">
  <sheetPr>
    <tabColor rgb="001D0090"/>
    <outlinePr summaryBelow="1" summaryRight="1"/>
    <pageSetUpPr fitToPage="1"/>
  </sheetPr>
  <dimension ref="A1:D20"/>
  <sheetViews>
    <sheetView showGridLines="0" workbookViewId="0">
      <pane ySplit="10" topLeftCell="A11" activePane="bottomLeft" state="frozen"/>
      <selection pane="bottomLeft" activeCell="A1" sqref="A1"/>
    </sheetView>
  </sheetViews>
  <sheetFormatPr baseColWidth="8" defaultRowHeight="15"/>
  <cols>
    <col width="28" customWidth="1" min="1" max="1"/>
    <col width="58" customWidth="1" min="2" max="2"/>
    <col width="68" customWidth="1" min="3" max="3"/>
    <col width="18" customWidth="1" min="4" max="4"/>
  </cols>
  <sheetData>
    <row r="1" ht="34" customHeight="1">
      <c r="A1" s="1" t="inlineStr">
        <is>
          <t>Circularo Internal Price Book — Workbook Guide</t>
        </is>
      </c>
    </row>
    <row r="2" ht="32" customHeight="1">
      <c r="A2" s="2" t="inlineStr">
        <is>
          <t>Start here. This workbook is an internal pricing governance tool generated from the unified variant-level pricing book.</t>
        </is>
      </c>
    </row>
    <row r="3"/>
    <row r="4" ht="38" customHeight="1">
      <c r="A4" s="3" t="inlineStr">
        <is>
          <t>Audience</t>
        </is>
      </c>
      <c r="B4" s="4" t="inlineStr">
        <is>
          <t>Commercial Operations, Finance, Sales leadership, and approved AI agents using the internal partner pricing model.</t>
        </is>
      </c>
      <c r="C4" s="5" t="n"/>
      <c r="D4" s="5" t="n"/>
    </row>
    <row r="5" ht="38" customHeight="1">
      <c r="A5" s="3" t="inlineStr">
        <is>
          <t>Primary source</t>
        </is>
      </c>
      <c r="B5" s="4" t="inlineStr">
        <is>
          <t>SKU-level rows, Odoo costs, and maintained floor prices are imported from catalog/unified-catalog/unified-pricing-book.csv.</t>
        </is>
      </c>
      <c r="C5" s="5" t="n"/>
      <c r="D5" s="5" t="n"/>
    </row>
    <row r="6" ht="38" customHeight="1">
      <c r="A6" s="3" t="inlineStr">
        <is>
          <t>Important caution</t>
        </is>
      </c>
      <c r="B6" s="4" t="inlineStr">
        <is>
          <t>Partner buy prices, commercial floors, approval thresholds, and price-realization KPIs are internal only. Do not send this workbook to customers or partners unless an approved external version is created.</t>
        </is>
      </c>
      <c r="C6" s="5" t="n"/>
      <c r="D6" s="5" t="n"/>
    </row>
    <row r="7" ht="38" customHeight="1">
      <c r="A7" s="3" t="inlineStr">
        <is>
          <t>How to navigate</t>
        </is>
      </c>
      <c r="B7" s="4" t="inlineStr">
        <is>
          <t>Use the linked sheet directory below. Start with MSRP Catalog for imported list prices, Price Book for governance controls, Partner Buy Price Matrix for tier prices, and Price Realization for Finance KPIs.</t>
        </is>
      </c>
      <c r="C7" s="5" t="n"/>
      <c r="D7" s="5" t="n"/>
    </row>
    <row r="8">
      <c r="A8" s="5" t="n"/>
      <c r="B8" s="5" t="n"/>
      <c r="C8" s="5" t="n"/>
      <c r="D8" s="5" t="n"/>
    </row>
    <row r="9"/>
    <row r="10" ht="34" customHeight="1">
      <c r="A10" s="6" t="inlineStr">
        <is>
          <t>Sheet</t>
        </is>
      </c>
      <c r="B10" s="6" t="inlineStr">
        <is>
          <t>Purpose</t>
        </is>
      </c>
      <c r="C10" s="6" t="inlineStr">
        <is>
          <t>Use this when</t>
        </is>
      </c>
      <c r="D10" s="6" t="inlineStr">
        <is>
          <t>Open</t>
        </is>
      </c>
    </row>
    <row r="11">
      <c r="A11" s="5" t="inlineStr">
        <is>
          <t>Price Book</t>
        </is>
      </c>
      <c r="B11" s="5" t="inlineStr">
        <is>
          <t>Master SKU-level pricing and governance controls.</t>
        </is>
      </c>
      <c r="C11" s="5" t="inlineStr">
        <is>
          <t>Review standard partner buy price, floor controls, approvals, status, and notes.</t>
        </is>
      </c>
      <c r="D11" s="7" t="inlineStr">
        <is>
          <t>Open sheet</t>
        </is>
      </c>
    </row>
    <row r="12">
      <c r="A12" s="5" t="inlineStr">
        <is>
          <t>Definitions</t>
        </is>
      </c>
      <c r="B12" s="5" t="inlineStr">
        <is>
          <t>Data dictionary for workbook fields.</t>
        </is>
      </c>
      <c r="C12" s="5" t="inlineStr">
        <is>
          <t>Understand what each term means and who owns it.</t>
        </is>
      </c>
      <c r="D12" s="7" t="inlineStr">
        <is>
          <t>Open sheet</t>
        </is>
      </c>
    </row>
    <row r="13">
      <c r="A13" s="5" t="inlineStr">
        <is>
          <t>Formulas</t>
        </is>
      </c>
      <c r="B13" s="5" t="inlineStr">
        <is>
          <t>Formula reference for calculations.</t>
        </is>
      </c>
      <c r="C13" s="5" t="inlineStr">
        <is>
          <t>Audit pricing and price-realization logic.</t>
        </is>
      </c>
      <c r="D13" s="7" t="inlineStr">
        <is>
          <t>Open sheet</t>
        </is>
      </c>
    </row>
    <row r="14">
      <c r="A14" s="5" t="inlineStr">
        <is>
          <t>Partner Tiers</t>
        </is>
      </c>
      <c r="B14" s="5" t="inlineStr">
        <is>
          <t>Partner tier settings and plan permissions.</t>
        </is>
      </c>
      <c r="C14" s="5" t="inlineStr">
        <is>
          <t>Confirm Authorized, Advanced, and Strategic partner margin ceilings.</t>
        </is>
      </c>
      <c r="D14" s="7" t="inlineStr">
        <is>
          <t>Open sheet</t>
        </is>
      </c>
    </row>
    <row r="15">
      <c r="A15" s="5" t="inlineStr">
        <is>
          <t>Special Pricing Matrix</t>
        </is>
      </c>
      <c r="B15" s="5" t="inlineStr">
        <is>
          <t>Special-pricing treatment by customer discount band.</t>
        </is>
      </c>
      <c r="C15" s="5" t="inlineStr">
        <is>
          <t>Check when special pricing or escalation is required.</t>
        </is>
      </c>
      <c r="D15" s="7" t="inlineStr">
        <is>
          <t>Open sheet</t>
        </is>
      </c>
    </row>
    <row r="16">
      <c r="A16" s="5" t="inlineStr">
        <is>
          <t>MSRP Catalog</t>
        </is>
      </c>
      <c r="B16" s="5" t="inlineStr">
        <is>
          <t>Imported Odoo SKU catalog and MSRP source inputs.</t>
        </is>
      </c>
      <c r="C16" s="5" t="inlineStr">
        <is>
          <t>Validate list prices, currency, status, effective dates, and imported notes.</t>
        </is>
      </c>
      <c r="D16" s="7" t="inlineStr">
        <is>
          <t>Open sheet</t>
        </is>
      </c>
    </row>
    <row r="17">
      <c r="A17" s="5" t="inlineStr">
        <is>
          <t>Partner Buy Price Matrix</t>
        </is>
      </c>
      <c r="B17" s="5" t="inlineStr">
        <is>
          <t>Tier-specific partner buy prices generated from the master Price Book.</t>
        </is>
      </c>
      <c r="C17" s="5" t="inlineStr">
        <is>
          <t>Quote internal buy prices by partner tier.</t>
        </is>
      </c>
      <c r="D17" s="7" t="inlineStr">
        <is>
          <t>Open sheet</t>
        </is>
      </c>
    </row>
    <row r="18">
      <c r="A18" s="5" t="inlineStr">
        <is>
          <t>Discount Approval Matrix</t>
        </is>
      </c>
      <c r="B18" s="5" t="inlineStr">
        <is>
          <t>Customer discount approval governance.</t>
        </is>
      </c>
      <c r="C18" s="5" t="inlineStr">
        <is>
          <t>Check approval level and deal-registration requirements.</t>
        </is>
      </c>
      <c r="D18" s="7" t="inlineStr">
        <is>
          <t>Open sheet</t>
        </is>
      </c>
    </row>
    <row r="19">
      <c r="A19" s="5" t="inlineStr">
        <is>
          <t>Price Book History</t>
        </is>
      </c>
      <c r="B19" s="5" t="inlineStr">
        <is>
          <t>Version, approval, and change-history log.</t>
        </is>
      </c>
      <c r="C19" s="5" t="inlineStr">
        <is>
          <t>Track workbook releases and approvals.</t>
        </is>
      </c>
      <c r="D19" s="7" t="inlineStr">
        <is>
          <t>Open sheet</t>
        </is>
      </c>
    </row>
    <row r="20">
      <c r="A20" s="5" t="inlineStr">
        <is>
          <t>Price Realization</t>
        </is>
      </c>
      <c r="B20" s="5" t="inlineStr">
        <is>
          <t>Circularo Price Realization KPI view.</t>
        </is>
      </c>
      <c r="C20" s="5" t="inlineStr">
        <is>
          <t>Review row-level and weighted Partner Buy Price ÷ MSRP metrics.</t>
        </is>
      </c>
      <c r="D20" s="7" t="inlineStr">
        <is>
          <t>Open sheet</t>
        </is>
      </c>
    </row>
  </sheetData>
  <autoFilter ref="A10:D20"/>
  <mergeCells count="6">
    <mergeCell ref="A1:D1"/>
    <mergeCell ref="B5:D5"/>
    <mergeCell ref="B4:D4"/>
    <mergeCell ref="A2:D2"/>
    <mergeCell ref="B7:D7"/>
    <mergeCell ref="B6:D6"/>
  </mergeCells>
  <hyperlinks>
    <hyperlink xmlns:r="http://schemas.openxmlformats.org/officeDocument/2006/relationships" ref="D11" r:id="rId1"/>
    <hyperlink xmlns:r="http://schemas.openxmlformats.org/officeDocument/2006/relationships" ref="D12" r:id="rId2"/>
    <hyperlink xmlns:r="http://schemas.openxmlformats.org/officeDocument/2006/relationships" ref="D13" r:id="rId3"/>
    <hyperlink xmlns:r="http://schemas.openxmlformats.org/officeDocument/2006/relationships" ref="D14" r:id="rId4"/>
    <hyperlink xmlns:r="http://schemas.openxmlformats.org/officeDocument/2006/relationships" ref="D15" r:id="rId5"/>
    <hyperlink xmlns:r="http://schemas.openxmlformats.org/officeDocument/2006/relationships" ref="D16" r:id="rId6"/>
    <hyperlink xmlns:r="http://schemas.openxmlformats.org/officeDocument/2006/relationships" ref="D17" r:id="rId7"/>
    <hyperlink xmlns:r="http://schemas.openxmlformats.org/officeDocument/2006/relationships" ref="D18" r:id="rId8"/>
    <hyperlink xmlns:r="http://schemas.openxmlformats.org/officeDocument/2006/relationships" ref="D19" r:id="rId9"/>
    <hyperlink xmlns:r="http://schemas.openxmlformats.org/officeDocument/2006/relationships" ref="D20" r:id="rId10"/>
  </hyperlinks>
  <pageMargins left="0.2" right="0.2" top="0.35" bottom="0.35" header="0.5" footer="0.5"/>
  <pageSetup fitToHeight="1" fitToWidth="1"/>
  <tableParts count="1">
    <tablePart xmlns:r="http://schemas.openxmlformats.org/officeDocument/2006/relationships" r:id="rId11"/>
  </tableParts>
</worksheet>
</file>

<file path=xl/worksheets/sheet2.xml><?xml version="1.0" encoding="utf-8"?>
<worksheet xmlns="http://schemas.openxmlformats.org/spreadsheetml/2006/main">
  <sheetPr>
    <tabColor rgb="001D0090"/>
    <outlinePr summaryBelow="1" summaryRight="1"/>
    <pageSetUpPr fitToPage="1"/>
  </sheetPr>
  <dimension ref="A1:AG114"/>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24" customWidth="1" min="1" max="1"/>
    <col width="22" customWidth="1" min="2" max="2"/>
    <col width="31" customWidth="1" min="3" max="3"/>
    <col width="22" customWidth="1" min="4" max="4"/>
    <col width="22" customWidth="1" min="5" max="5"/>
    <col width="22" customWidth="1" min="6" max="6"/>
    <col width="22" customWidth="1" min="7" max="7"/>
    <col width="22" customWidth="1" min="8" max="8"/>
    <col width="22" customWidth="1" min="9" max="9"/>
    <col width="24" customWidth="1" min="10" max="10"/>
    <col width="24" customWidth="1" min="11" max="11"/>
    <col width="24" customWidth="1" min="12" max="12"/>
    <col width="24" customWidth="1" min="13" max="13"/>
    <col width="24" customWidth="1" min="14" max="14"/>
    <col width="23" customWidth="1" min="15" max="15"/>
    <col width="24" customWidth="1" min="16" max="16"/>
    <col width="24" customWidth="1" min="17" max="17"/>
    <col width="24" customWidth="1" min="18" max="18"/>
    <col width="19" customWidth="1" min="19" max="19"/>
    <col width="16" customWidth="1" min="20" max="20"/>
    <col width="24" customWidth="1" min="21" max="21"/>
    <col width="24" customWidth="1" min="22" max="22"/>
    <col width="24" customWidth="1" min="23" max="23"/>
    <col width="24" customWidth="1" min="24" max="24"/>
    <col width="24" customWidth="1" min="25" max="25"/>
    <col width="24" customWidth="1" min="26" max="26"/>
    <col width="24" customWidth="1" min="27" max="27"/>
    <col width="22" customWidth="1" min="28" max="28"/>
    <col width="24" customWidth="1" min="29" max="29"/>
    <col width="22" customWidth="1" min="30" max="30"/>
    <col width="24" customWidth="1" min="31" max="31"/>
    <col width="22" customWidth="1" min="32" max="32"/>
    <col width="42" customWidth="1" min="33" max="33"/>
  </cols>
  <sheetData>
    <row r="1" ht="34" customHeight="1">
      <c r="A1" s="1" t="inlineStr">
        <is>
          <t>Circularo Internal Price Book</t>
        </is>
      </c>
    </row>
    <row r="2" ht="32" customHeight="1">
      <c r="A2" s="2" t="inlineStr">
        <is>
          <t>One master row per SKU. Green formulas link to another worksheet; blue/yellow cells are editable inputs; black cells are calculations.</t>
        </is>
      </c>
    </row>
    <row r="3"/>
    <row r="4" ht="34" customHeight="1">
      <c r="A4" s="6" t="inlineStr">
        <is>
          <t>Price Book Version</t>
        </is>
      </c>
      <c r="B4" s="6" t="inlineStr">
        <is>
          <t>SKU</t>
        </is>
      </c>
      <c r="C4" s="6" t="inlineStr">
        <is>
          <t>Product</t>
        </is>
      </c>
      <c r="D4" s="6" t="inlineStr">
        <is>
          <t>Plan</t>
        </is>
      </c>
      <c r="E4" s="6" t="inlineStr">
        <is>
          <t>Product Family</t>
        </is>
      </c>
      <c r="F4" s="6" t="inlineStr">
        <is>
          <t>Unit</t>
        </is>
      </c>
      <c r="G4" s="6" t="inlineStr">
        <is>
          <t>Price Basis</t>
        </is>
      </c>
      <c r="H4" s="6" t="inlineStr">
        <is>
          <t>Pack Quantity</t>
        </is>
      </c>
      <c r="I4" s="6" t="inlineStr">
        <is>
          <t>MSRP</t>
        </is>
      </c>
      <c r="J4" s="6" t="inlineStr">
        <is>
          <t>Target Customer Discount</t>
        </is>
      </c>
      <c r="K4" s="6" t="inlineStr">
        <is>
          <t>Target Customer Sell Price</t>
        </is>
      </c>
      <c r="L4" s="6" t="inlineStr">
        <is>
          <t>Standard Partner Buy Price</t>
        </is>
      </c>
      <c r="M4" s="6" t="inlineStr">
        <is>
          <t>Commercial Floor Price</t>
        </is>
      </c>
      <c r="N4" s="6" t="inlineStr">
        <is>
          <t>Customer Sell Price Approval Threshold</t>
        </is>
      </c>
      <c r="O4" s="6" t="inlineStr">
        <is>
          <t>Max Customer Discount</t>
        </is>
      </c>
      <c r="P4" s="6" t="inlineStr">
        <is>
          <t>Target Realized Partner Margin</t>
        </is>
      </c>
      <c r="Q4" s="6" t="inlineStr">
        <is>
          <t>Standard Circularo Price Realization</t>
        </is>
      </c>
      <c r="R4" s="6" t="inlineStr">
        <is>
          <t>Floor Circularo Price Realization</t>
        </is>
      </c>
      <c r="S4" s="6" t="inlineStr">
        <is>
          <t>Standard Approval</t>
        </is>
      </c>
      <c r="T4" s="6" t="inlineStr">
        <is>
          <t>Floor Approval</t>
        </is>
      </c>
      <c r="U4" s="6" t="inlineStr">
        <is>
          <t>Below Floor</t>
        </is>
      </c>
      <c r="V4" s="6" t="inlineStr">
        <is>
          <t>Above Discount Authority</t>
        </is>
      </c>
      <c r="W4" s="6" t="inlineStr">
        <is>
          <t>Above Partner Margin Ceiling</t>
        </is>
      </c>
      <c r="X4" s="6" t="inlineStr">
        <is>
          <t>Low Price Realization</t>
        </is>
      </c>
      <c r="Y4" s="6" t="inlineStr">
        <is>
          <t>Independent Partner Quote</t>
        </is>
      </c>
      <c r="Z4" s="6" t="inlineStr">
        <is>
          <t>Ultimate Independent Quote</t>
        </is>
      </c>
      <c r="AA4" s="6" t="inlineStr">
        <is>
          <t>Special Pricing Applied</t>
        </is>
      </c>
      <c r="AB4" s="6" t="inlineStr">
        <is>
          <t>Deal Registration ID</t>
        </is>
      </c>
      <c r="AC4" s="6" t="inlineStr">
        <is>
          <t>Special Pricing Without Deal Registration</t>
        </is>
      </c>
      <c r="AD4" s="6" t="inlineStr">
        <is>
          <t>Effective To</t>
        </is>
      </c>
      <c r="AE4" s="6" t="inlineStr">
        <is>
          <t>Expired Price Book Version</t>
        </is>
      </c>
      <c r="AF4" s="6" t="inlineStr">
        <is>
          <t>Status</t>
        </is>
      </c>
      <c r="AG4" s="6" t="inlineStr">
        <is>
          <t>Notes</t>
        </is>
      </c>
    </row>
    <row r="5">
      <c r="A5" s="8">
        <f>'MSRP Catalog'!A5</f>
        <v/>
      </c>
      <c r="B5" s="8">
        <f>'MSRP Catalog'!B5</f>
        <v/>
      </c>
      <c r="C5" s="8">
        <f>'MSRP Catalog'!C5</f>
        <v/>
      </c>
      <c r="D5" s="8">
        <f>'MSRP Catalog'!D5</f>
        <v/>
      </c>
      <c r="E5" s="8">
        <f>'MSRP Catalog'!E5</f>
        <v/>
      </c>
      <c r="F5" s="8">
        <f>'MSRP Catalog'!F5</f>
        <v/>
      </c>
      <c r="G5" s="8">
        <f>'MSRP Catalog'!G5</f>
        <v/>
      </c>
      <c r="H5" s="9">
        <f>'MSRP Catalog'!H5</f>
        <v/>
      </c>
      <c r="I5" s="10">
        <f>'MSRP Catalog'!I5</f>
        <v/>
      </c>
      <c r="J5" s="11" t="n">
        <v>0.1</v>
      </c>
      <c r="K5" s="12">
        <f>IFERROR(I5*(1-J5),"")</f>
        <v/>
      </c>
      <c r="L5" s="12">
        <f>IFERROR(K5*(1-P5),"")</f>
        <v/>
      </c>
      <c r="M5" s="13" t="n"/>
      <c r="N5" s="12">
        <f>IFERROR(I5*(1-O5),"")</f>
        <v/>
      </c>
      <c r="O5" s="11" t="n">
        <v>0.35</v>
      </c>
      <c r="P5" s="11" t="n">
        <v>0.2</v>
      </c>
      <c r="Q5" s="14">
        <f>IFERROR(L5/I5,"")</f>
        <v/>
      </c>
      <c r="R5" s="14">
        <f>IF(OR(M5="",I5=0),"",M5/I5)</f>
        <v/>
      </c>
      <c r="S5" s="8" t="inlineStr">
        <is>
          <t>Automatic</t>
        </is>
      </c>
      <c r="T5" s="8" t="inlineStr">
        <is>
          <t>CSO</t>
        </is>
      </c>
      <c r="U5" s="15">
        <f>IF(M5="","REVIEW",IF(L5&lt;M5,"BLOCK","OK"))</f>
        <v/>
      </c>
      <c r="V5" s="15">
        <f>IF(J5&gt;O5,"BLOCK","OK")</f>
        <v/>
      </c>
      <c r="W5" s="15">
        <f>IF(P5&gt;IF(D5="Start",10%,IF(D5="Pro",15%,IF(OR(D5="Business",D5="Enterprise"),20%,30%))),"BLOCK","OK")</f>
        <v/>
      </c>
      <c r="X5" s="15">
        <f>IF(OR(M5="",R5=""),"REVIEW",IF(Q5&lt;R5,"BLOCK","OK"))</f>
        <v/>
      </c>
      <c r="Y5" s="8" t="inlineStr">
        <is>
          <t>No</t>
        </is>
      </c>
      <c r="Z5" s="15">
        <f>IF(AND(D5="Ultimate",Y5="Yes"),"BLOCK","OK")</f>
        <v/>
      </c>
      <c r="AA5" s="8" t="inlineStr">
        <is>
          <t>No</t>
        </is>
      </c>
      <c r="AB5" s="8" t="n"/>
      <c r="AC5" s="15">
        <f>IF(AND(AA5="Yes",AB5=""),"BLOCK","OK")</f>
        <v/>
      </c>
      <c r="AD5" s="16">
        <f>'MSRP Catalog'!M5</f>
        <v/>
      </c>
      <c r="AE5" s="15">
        <f>IF(AD5="","REVIEW",IF(AD5&lt;TODAY(),"BLOCK","OK"))</f>
        <v/>
      </c>
      <c r="AF5" s="8">
        <f>'MSRP Catalog'!K5</f>
        <v/>
      </c>
      <c r="AG5" s="8">
        <f>'MSRP Catalog'!N5</f>
        <v/>
      </c>
    </row>
    <row r="6">
      <c r="A6" s="8">
        <f>'MSRP Catalog'!A6</f>
        <v/>
      </c>
      <c r="B6" s="8">
        <f>'MSRP Catalog'!B6</f>
        <v/>
      </c>
      <c r="C6" s="8">
        <f>'MSRP Catalog'!C6</f>
        <v/>
      </c>
      <c r="D6" s="8">
        <f>'MSRP Catalog'!D6</f>
        <v/>
      </c>
      <c r="E6" s="8">
        <f>'MSRP Catalog'!E6</f>
        <v/>
      </c>
      <c r="F6" s="8">
        <f>'MSRP Catalog'!F6</f>
        <v/>
      </c>
      <c r="G6" s="8">
        <f>'MSRP Catalog'!G6</f>
        <v/>
      </c>
      <c r="H6" s="9">
        <f>'MSRP Catalog'!H6</f>
        <v/>
      </c>
      <c r="I6" s="10">
        <f>'MSRP Catalog'!I6</f>
        <v/>
      </c>
      <c r="J6" s="11" t="n">
        <v>0.1</v>
      </c>
      <c r="K6" s="12">
        <f>IFERROR(I6*(1-J6),"")</f>
        <v/>
      </c>
      <c r="L6" s="12">
        <f>IFERROR(K6*(1-P6),"")</f>
        <v/>
      </c>
      <c r="M6" s="13" t="n"/>
      <c r="N6" s="12">
        <f>IFERROR(I6*(1-O6),"")</f>
        <v/>
      </c>
      <c r="O6" s="11" t="n">
        <v>0.35</v>
      </c>
      <c r="P6" s="11" t="n">
        <v>0.2</v>
      </c>
      <c r="Q6" s="14">
        <f>IFERROR(L6/I6,"")</f>
        <v/>
      </c>
      <c r="R6" s="14">
        <f>IF(OR(M6="",I6=0),"",M6/I6)</f>
        <v/>
      </c>
      <c r="S6" s="8" t="inlineStr">
        <is>
          <t>Automatic</t>
        </is>
      </c>
      <c r="T6" s="8" t="inlineStr">
        <is>
          <t>CSO</t>
        </is>
      </c>
      <c r="U6" s="15">
        <f>IF(M6="","REVIEW",IF(L6&lt;M6,"BLOCK","OK"))</f>
        <v/>
      </c>
      <c r="V6" s="15">
        <f>IF(J6&gt;O6,"BLOCK","OK")</f>
        <v/>
      </c>
      <c r="W6" s="15">
        <f>IF(P6&gt;IF(D6="Start",10%,IF(D6="Pro",15%,IF(OR(D6="Business",D6="Enterprise"),20%,30%))),"BLOCK","OK")</f>
        <v/>
      </c>
      <c r="X6" s="15">
        <f>IF(OR(M6="",R6=""),"REVIEW",IF(Q6&lt;R6,"BLOCK","OK"))</f>
        <v/>
      </c>
      <c r="Y6" s="8" t="inlineStr">
        <is>
          <t>No</t>
        </is>
      </c>
      <c r="Z6" s="15">
        <f>IF(AND(D6="Ultimate",Y6="Yes"),"BLOCK","OK")</f>
        <v/>
      </c>
      <c r="AA6" s="8" t="inlineStr">
        <is>
          <t>No</t>
        </is>
      </c>
      <c r="AB6" s="8" t="n"/>
      <c r="AC6" s="15">
        <f>IF(AND(AA6="Yes",AB6=""),"BLOCK","OK")</f>
        <v/>
      </c>
      <c r="AD6" s="16">
        <f>'MSRP Catalog'!M6</f>
        <v/>
      </c>
      <c r="AE6" s="15">
        <f>IF(AD6="","REVIEW",IF(AD6&lt;TODAY(),"BLOCK","OK"))</f>
        <v/>
      </c>
      <c r="AF6" s="8">
        <f>'MSRP Catalog'!K6</f>
        <v/>
      </c>
      <c r="AG6" s="8">
        <f>'MSRP Catalog'!N6</f>
        <v/>
      </c>
    </row>
    <row r="7">
      <c r="A7" s="8">
        <f>'MSRP Catalog'!A7</f>
        <v/>
      </c>
      <c r="B7" s="8">
        <f>'MSRP Catalog'!B7</f>
        <v/>
      </c>
      <c r="C7" s="8">
        <f>'MSRP Catalog'!C7</f>
        <v/>
      </c>
      <c r="D7" s="8">
        <f>'MSRP Catalog'!D7</f>
        <v/>
      </c>
      <c r="E7" s="8">
        <f>'MSRP Catalog'!E7</f>
        <v/>
      </c>
      <c r="F7" s="8">
        <f>'MSRP Catalog'!F7</f>
        <v/>
      </c>
      <c r="G7" s="8">
        <f>'MSRP Catalog'!G7</f>
        <v/>
      </c>
      <c r="H7" s="9">
        <f>'MSRP Catalog'!H7</f>
        <v/>
      </c>
      <c r="I7" s="10">
        <f>'MSRP Catalog'!I7</f>
        <v/>
      </c>
      <c r="J7" s="11" t="n">
        <v>0.1</v>
      </c>
      <c r="K7" s="12">
        <f>IFERROR(I7*(1-J7),"")</f>
        <v/>
      </c>
      <c r="L7" s="12">
        <f>IFERROR(K7*(1-P7),"")</f>
        <v/>
      </c>
      <c r="M7" s="13" t="n"/>
      <c r="N7" s="12">
        <f>IFERROR(I7*(1-O7),"")</f>
        <v/>
      </c>
      <c r="O7" s="11" t="n">
        <v>0.35</v>
      </c>
      <c r="P7" s="11" t="n">
        <v>0.2</v>
      </c>
      <c r="Q7" s="14">
        <f>IFERROR(L7/I7,"")</f>
        <v/>
      </c>
      <c r="R7" s="14">
        <f>IF(OR(M7="",I7=0),"",M7/I7)</f>
        <v/>
      </c>
      <c r="S7" s="8" t="inlineStr">
        <is>
          <t>Automatic</t>
        </is>
      </c>
      <c r="T7" s="8" t="inlineStr">
        <is>
          <t>CSO</t>
        </is>
      </c>
      <c r="U7" s="15">
        <f>IF(M7="","REVIEW",IF(L7&lt;M7,"BLOCK","OK"))</f>
        <v/>
      </c>
      <c r="V7" s="15">
        <f>IF(J7&gt;O7,"BLOCK","OK")</f>
        <v/>
      </c>
      <c r="W7" s="15">
        <f>IF(P7&gt;IF(D7="Start",10%,IF(D7="Pro",15%,IF(OR(D7="Business",D7="Enterprise"),20%,30%))),"BLOCK","OK")</f>
        <v/>
      </c>
      <c r="X7" s="15">
        <f>IF(OR(M7="",R7=""),"REVIEW",IF(Q7&lt;R7,"BLOCK","OK"))</f>
        <v/>
      </c>
      <c r="Y7" s="8" t="inlineStr">
        <is>
          <t>No</t>
        </is>
      </c>
      <c r="Z7" s="15">
        <f>IF(AND(D7="Ultimate",Y7="Yes"),"BLOCK","OK")</f>
        <v/>
      </c>
      <c r="AA7" s="8" t="inlineStr">
        <is>
          <t>No</t>
        </is>
      </c>
      <c r="AB7" s="8" t="n"/>
      <c r="AC7" s="15">
        <f>IF(AND(AA7="Yes",AB7=""),"BLOCK","OK")</f>
        <v/>
      </c>
      <c r="AD7" s="16">
        <f>'MSRP Catalog'!M7</f>
        <v/>
      </c>
      <c r="AE7" s="15">
        <f>IF(AD7="","REVIEW",IF(AD7&lt;TODAY(),"BLOCK","OK"))</f>
        <v/>
      </c>
      <c r="AF7" s="8">
        <f>'MSRP Catalog'!K7</f>
        <v/>
      </c>
      <c r="AG7" s="8">
        <f>'MSRP Catalog'!N7</f>
        <v/>
      </c>
    </row>
    <row r="8">
      <c r="A8" s="8">
        <f>'MSRP Catalog'!A8</f>
        <v/>
      </c>
      <c r="B8" s="8">
        <f>'MSRP Catalog'!B8</f>
        <v/>
      </c>
      <c r="C8" s="8">
        <f>'MSRP Catalog'!C8</f>
        <v/>
      </c>
      <c r="D8" s="8">
        <f>'MSRP Catalog'!D8</f>
        <v/>
      </c>
      <c r="E8" s="8">
        <f>'MSRP Catalog'!E8</f>
        <v/>
      </c>
      <c r="F8" s="8">
        <f>'MSRP Catalog'!F8</f>
        <v/>
      </c>
      <c r="G8" s="8">
        <f>'MSRP Catalog'!G8</f>
        <v/>
      </c>
      <c r="H8" s="9">
        <f>'MSRP Catalog'!H8</f>
        <v/>
      </c>
      <c r="I8" s="10">
        <f>'MSRP Catalog'!I8</f>
        <v/>
      </c>
      <c r="J8" s="11" t="n">
        <v>0.1</v>
      </c>
      <c r="K8" s="12">
        <f>IFERROR(I8*(1-J8),"")</f>
        <v/>
      </c>
      <c r="L8" s="12">
        <f>IFERROR(K8*(1-P8),"")</f>
        <v/>
      </c>
      <c r="M8" s="13" t="n"/>
      <c r="N8" s="12">
        <f>IFERROR(I8*(1-O8),"")</f>
        <v/>
      </c>
      <c r="O8" s="11" t="n">
        <v>0.35</v>
      </c>
      <c r="P8" s="11" t="n">
        <v>0.2</v>
      </c>
      <c r="Q8" s="14">
        <f>IFERROR(L8/I8,"")</f>
        <v/>
      </c>
      <c r="R8" s="14">
        <f>IF(OR(M8="",I8=0),"",M8/I8)</f>
        <v/>
      </c>
      <c r="S8" s="8" t="inlineStr">
        <is>
          <t>Automatic</t>
        </is>
      </c>
      <c r="T8" s="8" t="inlineStr">
        <is>
          <t>CSO</t>
        </is>
      </c>
      <c r="U8" s="15">
        <f>IF(M8="","REVIEW",IF(L8&lt;M8,"BLOCK","OK"))</f>
        <v/>
      </c>
      <c r="V8" s="15">
        <f>IF(J8&gt;O8,"BLOCK","OK")</f>
        <v/>
      </c>
      <c r="W8" s="15">
        <f>IF(P8&gt;IF(D8="Start",10%,IF(D8="Pro",15%,IF(OR(D8="Business",D8="Enterprise"),20%,30%))),"BLOCK","OK")</f>
        <v/>
      </c>
      <c r="X8" s="15">
        <f>IF(OR(M8="",R8=""),"REVIEW",IF(Q8&lt;R8,"BLOCK","OK"))</f>
        <v/>
      </c>
      <c r="Y8" s="8" t="inlineStr">
        <is>
          <t>No</t>
        </is>
      </c>
      <c r="Z8" s="15">
        <f>IF(AND(D8="Ultimate",Y8="Yes"),"BLOCK","OK")</f>
        <v/>
      </c>
      <c r="AA8" s="8" t="inlineStr">
        <is>
          <t>No</t>
        </is>
      </c>
      <c r="AB8" s="8" t="n"/>
      <c r="AC8" s="15">
        <f>IF(AND(AA8="Yes",AB8=""),"BLOCK","OK")</f>
        <v/>
      </c>
      <c r="AD8" s="16">
        <f>'MSRP Catalog'!M8</f>
        <v/>
      </c>
      <c r="AE8" s="15">
        <f>IF(AD8="","REVIEW",IF(AD8&lt;TODAY(),"BLOCK","OK"))</f>
        <v/>
      </c>
      <c r="AF8" s="8">
        <f>'MSRP Catalog'!K8</f>
        <v/>
      </c>
      <c r="AG8" s="8">
        <f>'MSRP Catalog'!N8</f>
        <v/>
      </c>
    </row>
    <row r="9">
      <c r="A9" s="8">
        <f>'MSRP Catalog'!A9</f>
        <v/>
      </c>
      <c r="B9" s="8">
        <f>'MSRP Catalog'!B9</f>
        <v/>
      </c>
      <c r="C9" s="8">
        <f>'MSRP Catalog'!C9</f>
        <v/>
      </c>
      <c r="D9" s="8">
        <f>'MSRP Catalog'!D9</f>
        <v/>
      </c>
      <c r="E9" s="8">
        <f>'MSRP Catalog'!E9</f>
        <v/>
      </c>
      <c r="F9" s="8">
        <f>'MSRP Catalog'!F9</f>
        <v/>
      </c>
      <c r="G9" s="8">
        <f>'MSRP Catalog'!G9</f>
        <v/>
      </c>
      <c r="H9" s="9">
        <f>'MSRP Catalog'!H9</f>
        <v/>
      </c>
      <c r="I9" s="10">
        <f>'MSRP Catalog'!I9</f>
        <v/>
      </c>
      <c r="J9" s="11" t="n">
        <v>0.1</v>
      </c>
      <c r="K9" s="12">
        <f>IFERROR(I9*(1-J9),"")</f>
        <v/>
      </c>
      <c r="L9" s="12">
        <f>IFERROR(K9*(1-P9),"")</f>
        <v/>
      </c>
      <c r="M9" s="13" t="n"/>
      <c r="N9" s="12">
        <f>IFERROR(I9*(1-O9),"")</f>
        <v/>
      </c>
      <c r="O9" s="11" t="n">
        <v>0.35</v>
      </c>
      <c r="P9" s="11" t="n">
        <v>0.2</v>
      </c>
      <c r="Q9" s="14">
        <f>IFERROR(L9/I9,"")</f>
        <v/>
      </c>
      <c r="R9" s="14">
        <f>IF(OR(M9="",I9=0),"",M9/I9)</f>
        <v/>
      </c>
      <c r="S9" s="8" t="inlineStr">
        <is>
          <t>Automatic</t>
        </is>
      </c>
      <c r="T9" s="8" t="inlineStr">
        <is>
          <t>CSO</t>
        </is>
      </c>
      <c r="U9" s="15">
        <f>IF(M9="","REVIEW",IF(L9&lt;M9,"BLOCK","OK"))</f>
        <v/>
      </c>
      <c r="V9" s="15">
        <f>IF(J9&gt;O9,"BLOCK","OK")</f>
        <v/>
      </c>
      <c r="W9" s="15">
        <f>IF(P9&gt;IF(D9="Start",10%,IF(D9="Pro",15%,IF(OR(D9="Business",D9="Enterprise"),20%,30%))),"BLOCK","OK")</f>
        <v/>
      </c>
      <c r="X9" s="15">
        <f>IF(OR(M9="",R9=""),"REVIEW",IF(Q9&lt;R9,"BLOCK","OK"))</f>
        <v/>
      </c>
      <c r="Y9" s="8" t="inlineStr">
        <is>
          <t>No</t>
        </is>
      </c>
      <c r="Z9" s="15">
        <f>IF(AND(D9="Ultimate",Y9="Yes"),"BLOCK","OK")</f>
        <v/>
      </c>
      <c r="AA9" s="8" t="inlineStr">
        <is>
          <t>No</t>
        </is>
      </c>
      <c r="AB9" s="8" t="n"/>
      <c r="AC9" s="15">
        <f>IF(AND(AA9="Yes",AB9=""),"BLOCK","OK")</f>
        <v/>
      </c>
      <c r="AD9" s="16">
        <f>'MSRP Catalog'!M9</f>
        <v/>
      </c>
      <c r="AE9" s="15">
        <f>IF(AD9="","REVIEW",IF(AD9&lt;TODAY(),"BLOCK","OK"))</f>
        <v/>
      </c>
      <c r="AF9" s="8">
        <f>'MSRP Catalog'!K9</f>
        <v/>
      </c>
      <c r="AG9" s="8">
        <f>'MSRP Catalog'!N9</f>
        <v/>
      </c>
    </row>
    <row r="10">
      <c r="A10" s="8">
        <f>'MSRP Catalog'!A10</f>
        <v/>
      </c>
      <c r="B10" s="8">
        <f>'MSRP Catalog'!B10</f>
        <v/>
      </c>
      <c r="C10" s="8">
        <f>'MSRP Catalog'!C10</f>
        <v/>
      </c>
      <c r="D10" s="8">
        <f>'MSRP Catalog'!D10</f>
        <v/>
      </c>
      <c r="E10" s="8">
        <f>'MSRP Catalog'!E10</f>
        <v/>
      </c>
      <c r="F10" s="8">
        <f>'MSRP Catalog'!F10</f>
        <v/>
      </c>
      <c r="G10" s="8">
        <f>'MSRP Catalog'!G10</f>
        <v/>
      </c>
      <c r="H10" s="9">
        <f>'MSRP Catalog'!H10</f>
        <v/>
      </c>
      <c r="I10" s="10">
        <f>'MSRP Catalog'!I10</f>
        <v/>
      </c>
      <c r="J10" s="11" t="n">
        <v>0.1</v>
      </c>
      <c r="K10" s="12">
        <f>IFERROR(I10*(1-J10),"")</f>
        <v/>
      </c>
      <c r="L10" s="12">
        <f>IFERROR(K10*(1-P10),"")</f>
        <v/>
      </c>
      <c r="M10" s="13" t="n"/>
      <c r="N10" s="12">
        <f>IFERROR(I10*(1-O10),"")</f>
        <v/>
      </c>
      <c r="O10" s="11" t="n">
        <v>0.35</v>
      </c>
      <c r="P10" s="11" t="n">
        <v>0.2</v>
      </c>
      <c r="Q10" s="14">
        <f>IFERROR(L10/I10,"")</f>
        <v/>
      </c>
      <c r="R10" s="14">
        <f>IF(OR(M10="",I10=0),"",M10/I10)</f>
        <v/>
      </c>
      <c r="S10" s="8" t="inlineStr">
        <is>
          <t>Automatic</t>
        </is>
      </c>
      <c r="T10" s="8" t="inlineStr">
        <is>
          <t>CSO</t>
        </is>
      </c>
      <c r="U10" s="15">
        <f>IF(M10="","REVIEW",IF(L10&lt;M10,"BLOCK","OK"))</f>
        <v/>
      </c>
      <c r="V10" s="15">
        <f>IF(J10&gt;O10,"BLOCK","OK")</f>
        <v/>
      </c>
      <c r="W10" s="15">
        <f>IF(P10&gt;IF(D10="Start",10%,IF(D10="Pro",15%,IF(OR(D10="Business",D10="Enterprise"),20%,30%))),"BLOCK","OK")</f>
        <v/>
      </c>
      <c r="X10" s="15">
        <f>IF(OR(M10="",R10=""),"REVIEW",IF(Q10&lt;R10,"BLOCK","OK"))</f>
        <v/>
      </c>
      <c r="Y10" s="8" t="inlineStr">
        <is>
          <t>No</t>
        </is>
      </c>
      <c r="Z10" s="15">
        <f>IF(AND(D10="Ultimate",Y10="Yes"),"BLOCK","OK")</f>
        <v/>
      </c>
      <c r="AA10" s="8" t="inlineStr">
        <is>
          <t>No</t>
        </is>
      </c>
      <c r="AB10" s="8" t="n"/>
      <c r="AC10" s="15">
        <f>IF(AND(AA10="Yes",AB10=""),"BLOCK","OK")</f>
        <v/>
      </c>
      <c r="AD10" s="16">
        <f>'MSRP Catalog'!M10</f>
        <v/>
      </c>
      <c r="AE10" s="15">
        <f>IF(AD10="","REVIEW",IF(AD10&lt;TODAY(),"BLOCK","OK"))</f>
        <v/>
      </c>
      <c r="AF10" s="8">
        <f>'MSRP Catalog'!K10</f>
        <v/>
      </c>
      <c r="AG10" s="8">
        <f>'MSRP Catalog'!N10</f>
        <v/>
      </c>
    </row>
    <row r="11">
      <c r="A11" s="8">
        <f>'MSRP Catalog'!A11</f>
        <v/>
      </c>
      <c r="B11" s="8">
        <f>'MSRP Catalog'!B11</f>
        <v/>
      </c>
      <c r="C11" s="8">
        <f>'MSRP Catalog'!C11</f>
        <v/>
      </c>
      <c r="D11" s="8">
        <f>'MSRP Catalog'!D11</f>
        <v/>
      </c>
      <c r="E11" s="8">
        <f>'MSRP Catalog'!E11</f>
        <v/>
      </c>
      <c r="F11" s="8">
        <f>'MSRP Catalog'!F11</f>
        <v/>
      </c>
      <c r="G11" s="8">
        <f>'MSRP Catalog'!G11</f>
        <v/>
      </c>
      <c r="H11" s="9">
        <f>'MSRP Catalog'!H11</f>
        <v/>
      </c>
      <c r="I11" s="10">
        <f>'MSRP Catalog'!I11</f>
        <v/>
      </c>
      <c r="J11" s="11" t="n">
        <v>0.1</v>
      </c>
      <c r="K11" s="12">
        <f>IFERROR(I11*(1-J11),"")</f>
        <v/>
      </c>
      <c r="L11" s="12">
        <f>IFERROR(K11*(1-P11),"")</f>
        <v/>
      </c>
      <c r="M11" s="13" t="n"/>
      <c r="N11" s="12">
        <f>IFERROR(I11*(1-O11),"")</f>
        <v/>
      </c>
      <c r="O11" s="11" t="n">
        <v>0.35</v>
      </c>
      <c r="P11" s="11" t="n">
        <v>0.2</v>
      </c>
      <c r="Q11" s="14">
        <f>IFERROR(L11/I11,"")</f>
        <v/>
      </c>
      <c r="R11" s="14">
        <f>IF(OR(M11="",I11=0),"",M11/I11)</f>
        <v/>
      </c>
      <c r="S11" s="8" t="inlineStr">
        <is>
          <t>Automatic</t>
        </is>
      </c>
      <c r="T11" s="8" t="inlineStr">
        <is>
          <t>CSO</t>
        </is>
      </c>
      <c r="U11" s="15">
        <f>IF(M11="","REVIEW",IF(L11&lt;M11,"BLOCK","OK"))</f>
        <v/>
      </c>
      <c r="V11" s="15">
        <f>IF(J11&gt;O11,"BLOCK","OK")</f>
        <v/>
      </c>
      <c r="W11" s="15">
        <f>IF(P11&gt;IF(D11="Start",10%,IF(D11="Pro",15%,IF(OR(D11="Business",D11="Enterprise"),20%,30%))),"BLOCK","OK")</f>
        <v/>
      </c>
      <c r="X11" s="15">
        <f>IF(OR(M11="",R11=""),"REVIEW",IF(Q11&lt;R11,"BLOCK","OK"))</f>
        <v/>
      </c>
      <c r="Y11" s="8" t="inlineStr">
        <is>
          <t>No</t>
        </is>
      </c>
      <c r="Z11" s="15">
        <f>IF(AND(D11="Ultimate",Y11="Yes"),"BLOCK","OK")</f>
        <v/>
      </c>
      <c r="AA11" s="8" t="inlineStr">
        <is>
          <t>No</t>
        </is>
      </c>
      <c r="AB11" s="8" t="n"/>
      <c r="AC11" s="15">
        <f>IF(AND(AA11="Yes",AB11=""),"BLOCK","OK")</f>
        <v/>
      </c>
      <c r="AD11" s="16">
        <f>'MSRP Catalog'!M11</f>
        <v/>
      </c>
      <c r="AE11" s="15">
        <f>IF(AD11="","REVIEW",IF(AD11&lt;TODAY(),"BLOCK","OK"))</f>
        <v/>
      </c>
      <c r="AF11" s="8">
        <f>'MSRP Catalog'!K11</f>
        <v/>
      </c>
      <c r="AG11" s="8">
        <f>'MSRP Catalog'!N11</f>
        <v/>
      </c>
    </row>
    <row r="12">
      <c r="A12" s="8">
        <f>'MSRP Catalog'!A12</f>
        <v/>
      </c>
      <c r="B12" s="8">
        <f>'MSRP Catalog'!B12</f>
        <v/>
      </c>
      <c r="C12" s="8">
        <f>'MSRP Catalog'!C12</f>
        <v/>
      </c>
      <c r="D12" s="8">
        <f>'MSRP Catalog'!D12</f>
        <v/>
      </c>
      <c r="E12" s="8">
        <f>'MSRP Catalog'!E12</f>
        <v/>
      </c>
      <c r="F12" s="8">
        <f>'MSRP Catalog'!F12</f>
        <v/>
      </c>
      <c r="G12" s="8">
        <f>'MSRP Catalog'!G12</f>
        <v/>
      </c>
      <c r="H12" s="9">
        <f>'MSRP Catalog'!H12</f>
        <v/>
      </c>
      <c r="I12" s="10">
        <f>'MSRP Catalog'!I12</f>
        <v/>
      </c>
      <c r="J12" s="11" t="n">
        <v>0.1</v>
      </c>
      <c r="K12" s="12">
        <f>IFERROR(I12*(1-J12),"")</f>
        <v/>
      </c>
      <c r="L12" s="12">
        <f>IFERROR(K12*(1-P12),"")</f>
        <v/>
      </c>
      <c r="M12" s="13" t="n"/>
      <c r="N12" s="12">
        <f>IFERROR(I12*(1-O12),"")</f>
        <v/>
      </c>
      <c r="O12" s="11" t="n">
        <v>0.35</v>
      </c>
      <c r="P12" s="11" t="n">
        <v>0.2</v>
      </c>
      <c r="Q12" s="14">
        <f>IFERROR(L12/I12,"")</f>
        <v/>
      </c>
      <c r="R12" s="14">
        <f>IF(OR(M12="",I12=0),"",M12/I12)</f>
        <v/>
      </c>
      <c r="S12" s="8" t="inlineStr">
        <is>
          <t>Automatic</t>
        </is>
      </c>
      <c r="T12" s="8" t="inlineStr">
        <is>
          <t>CSO</t>
        </is>
      </c>
      <c r="U12" s="15">
        <f>IF(M12="","REVIEW",IF(L12&lt;M12,"BLOCK","OK"))</f>
        <v/>
      </c>
      <c r="V12" s="15">
        <f>IF(J12&gt;O12,"BLOCK","OK")</f>
        <v/>
      </c>
      <c r="W12" s="15">
        <f>IF(P12&gt;IF(D12="Start",10%,IF(D12="Pro",15%,IF(OR(D12="Business",D12="Enterprise"),20%,30%))),"BLOCK","OK")</f>
        <v/>
      </c>
      <c r="X12" s="15">
        <f>IF(OR(M12="",R12=""),"REVIEW",IF(Q12&lt;R12,"BLOCK","OK"))</f>
        <v/>
      </c>
      <c r="Y12" s="8" t="inlineStr">
        <is>
          <t>No</t>
        </is>
      </c>
      <c r="Z12" s="15">
        <f>IF(AND(D12="Ultimate",Y12="Yes"),"BLOCK","OK")</f>
        <v/>
      </c>
      <c r="AA12" s="8" t="inlineStr">
        <is>
          <t>No</t>
        </is>
      </c>
      <c r="AB12" s="8" t="n"/>
      <c r="AC12" s="15">
        <f>IF(AND(AA12="Yes",AB12=""),"BLOCK","OK")</f>
        <v/>
      </c>
      <c r="AD12" s="16">
        <f>'MSRP Catalog'!M12</f>
        <v/>
      </c>
      <c r="AE12" s="15">
        <f>IF(AD12="","REVIEW",IF(AD12&lt;TODAY(),"BLOCK","OK"))</f>
        <v/>
      </c>
      <c r="AF12" s="8">
        <f>'MSRP Catalog'!K12</f>
        <v/>
      </c>
      <c r="AG12" s="8">
        <f>'MSRP Catalog'!N12</f>
        <v/>
      </c>
    </row>
    <row r="13">
      <c r="A13" s="8">
        <f>'MSRP Catalog'!A13</f>
        <v/>
      </c>
      <c r="B13" s="8">
        <f>'MSRP Catalog'!B13</f>
        <v/>
      </c>
      <c r="C13" s="8">
        <f>'MSRP Catalog'!C13</f>
        <v/>
      </c>
      <c r="D13" s="8">
        <f>'MSRP Catalog'!D13</f>
        <v/>
      </c>
      <c r="E13" s="8">
        <f>'MSRP Catalog'!E13</f>
        <v/>
      </c>
      <c r="F13" s="8">
        <f>'MSRP Catalog'!F13</f>
        <v/>
      </c>
      <c r="G13" s="8">
        <f>'MSRP Catalog'!G13</f>
        <v/>
      </c>
      <c r="H13" s="9">
        <f>'MSRP Catalog'!H13</f>
        <v/>
      </c>
      <c r="I13" s="10">
        <f>'MSRP Catalog'!I13</f>
        <v/>
      </c>
      <c r="J13" s="11" t="n">
        <v>0.1</v>
      </c>
      <c r="K13" s="12">
        <f>IFERROR(I13*(1-J13),"")</f>
        <v/>
      </c>
      <c r="L13" s="12">
        <f>IFERROR(K13*(1-P13),"")</f>
        <v/>
      </c>
      <c r="M13" s="13" t="n"/>
      <c r="N13" s="12">
        <f>IFERROR(I13*(1-O13),"")</f>
        <v/>
      </c>
      <c r="O13" s="11" t="n">
        <v>0.35</v>
      </c>
      <c r="P13" s="11" t="n">
        <v>0.2</v>
      </c>
      <c r="Q13" s="14">
        <f>IFERROR(L13/I13,"")</f>
        <v/>
      </c>
      <c r="R13" s="14">
        <f>IF(OR(M13="",I13=0),"",M13/I13)</f>
        <v/>
      </c>
      <c r="S13" s="8" t="inlineStr">
        <is>
          <t>Automatic</t>
        </is>
      </c>
      <c r="T13" s="8" t="inlineStr">
        <is>
          <t>CSO</t>
        </is>
      </c>
      <c r="U13" s="15">
        <f>IF(M13="","REVIEW",IF(L13&lt;M13,"BLOCK","OK"))</f>
        <v/>
      </c>
      <c r="V13" s="15">
        <f>IF(J13&gt;O13,"BLOCK","OK")</f>
        <v/>
      </c>
      <c r="W13" s="15">
        <f>IF(P13&gt;IF(D13="Start",10%,IF(D13="Pro",15%,IF(OR(D13="Business",D13="Enterprise"),20%,30%))),"BLOCK","OK")</f>
        <v/>
      </c>
      <c r="X13" s="15">
        <f>IF(OR(M13="",R13=""),"REVIEW",IF(Q13&lt;R13,"BLOCK","OK"))</f>
        <v/>
      </c>
      <c r="Y13" s="8" t="inlineStr">
        <is>
          <t>No</t>
        </is>
      </c>
      <c r="Z13" s="15">
        <f>IF(AND(D13="Ultimate",Y13="Yes"),"BLOCK","OK")</f>
        <v/>
      </c>
      <c r="AA13" s="8" t="inlineStr">
        <is>
          <t>No</t>
        </is>
      </c>
      <c r="AB13" s="8" t="n"/>
      <c r="AC13" s="15">
        <f>IF(AND(AA13="Yes",AB13=""),"BLOCK","OK")</f>
        <v/>
      </c>
      <c r="AD13" s="16">
        <f>'MSRP Catalog'!M13</f>
        <v/>
      </c>
      <c r="AE13" s="15">
        <f>IF(AD13="","REVIEW",IF(AD13&lt;TODAY(),"BLOCK","OK"))</f>
        <v/>
      </c>
      <c r="AF13" s="8">
        <f>'MSRP Catalog'!K13</f>
        <v/>
      </c>
      <c r="AG13" s="8">
        <f>'MSRP Catalog'!N13</f>
        <v/>
      </c>
    </row>
    <row r="14">
      <c r="A14" s="8">
        <f>'MSRP Catalog'!A14</f>
        <v/>
      </c>
      <c r="B14" s="8">
        <f>'MSRP Catalog'!B14</f>
        <v/>
      </c>
      <c r="C14" s="8">
        <f>'MSRP Catalog'!C14</f>
        <v/>
      </c>
      <c r="D14" s="8">
        <f>'MSRP Catalog'!D14</f>
        <v/>
      </c>
      <c r="E14" s="8">
        <f>'MSRP Catalog'!E14</f>
        <v/>
      </c>
      <c r="F14" s="8">
        <f>'MSRP Catalog'!F14</f>
        <v/>
      </c>
      <c r="G14" s="8">
        <f>'MSRP Catalog'!G14</f>
        <v/>
      </c>
      <c r="H14" s="9">
        <f>'MSRP Catalog'!H14</f>
        <v/>
      </c>
      <c r="I14" s="10">
        <f>'MSRP Catalog'!I14</f>
        <v/>
      </c>
      <c r="J14" s="11" t="n">
        <v>0.1</v>
      </c>
      <c r="K14" s="12">
        <f>IFERROR(I14*(1-J14),"")</f>
        <v/>
      </c>
      <c r="L14" s="12">
        <f>IFERROR(K14*(1-P14),"")</f>
        <v/>
      </c>
      <c r="M14" s="13" t="n"/>
      <c r="N14" s="12">
        <f>IFERROR(I14*(1-O14),"")</f>
        <v/>
      </c>
      <c r="O14" s="11" t="n">
        <v>0.35</v>
      </c>
      <c r="P14" s="11" t="n">
        <v>0.2</v>
      </c>
      <c r="Q14" s="14">
        <f>IFERROR(L14/I14,"")</f>
        <v/>
      </c>
      <c r="R14" s="14">
        <f>IF(OR(M14="",I14=0),"",M14/I14)</f>
        <v/>
      </c>
      <c r="S14" s="8" t="inlineStr">
        <is>
          <t>Automatic</t>
        </is>
      </c>
      <c r="T14" s="8" t="inlineStr">
        <is>
          <t>CSO</t>
        </is>
      </c>
      <c r="U14" s="15">
        <f>IF(M14="","REVIEW",IF(L14&lt;M14,"BLOCK","OK"))</f>
        <v/>
      </c>
      <c r="V14" s="15">
        <f>IF(J14&gt;O14,"BLOCK","OK")</f>
        <v/>
      </c>
      <c r="W14" s="15">
        <f>IF(P14&gt;IF(D14="Start",10%,IF(D14="Pro",15%,IF(OR(D14="Business",D14="Enterprise"),20%,30%))),"BLOCK","OK")</f>
        <v/>
      </c>
      <c r="X14" s="15">
        <f>IF(OR(M14="",R14=""),"REVIEW",IF(Q14&lt;R14,"BLOCK","OK"))</f>
        <v/>
      </c>
      <c r="Y14" s="8" t="inlineStr">
        <is>
          <t>No</t>
        </is>
      </c>
      <c r="Z14" s="15">
        <f>IF(AND(D14="Ultimate",Y14="Yes"),"BLOCK","OK")</f>
        <v/>
      </c>
      <c r="AA14" s="8" t="inlineStr">
        <is>
          <t>No</t>
        </is>
      </c>
      <c r="AB14" s="8" t="n"/>
      <c r="AC14" s="15">
        <f>IF(AND(AA14="Yes",AB14=""),"BLOCK","OK")</f>
        <v/>
      </c>
      <c r="AD14" s="16">
        <f>'MSRP Catalog'!M14</f>
        <v/>
      </c>
      <c r="AE14" s="15">
        <f>IF(AD14="","REVIEW",IF(AD14&lt;TODAY(),"BLOCK","OK"))</f>
        <v/>
      </c>
      <c r="AF14" s="8">
        <f>'MSRP Catalog'!K14</f>
        <v/>
      </c>
      <c r="AG14" s="8">
        <f>'MSRP Catalog'!N14</f>
        <v/>
      </c>
    </row>
    <row r="15">
      <c r="A15" s="8">
        <f>'MSRP Catalog'!A15</f>
        <v/>
      </c>
      <c r="B15" s="8">
        <f>'MSRP Catalog'!B15</f>
        <v/>
      </c>
      <c r="C15" s="8">
        <f>'MSRP Catalog'!C15</f>
        <v/>
      </c>
      <c r="D15" s="8">
        <f>'MSRP Catalog'!D15</f>
        <v/>
      </c>
      <c r="E15" s="8">
        <f>'MSRP Catalog'!E15</f>
        <v/>
      </c>
      <c r="F15" s="8">
        <f>'MSRP Catalog'!F15</f>
        <v/>
      </c>
      <c r="G15" s="8">
        <f>'MSRP Catalog'!G15</f>
        <v/>
      </c>
      <c r="H15" s="9">
        <f>'MSRP Catalog'!H15</f>
        <v/>
      </c>
      <c r="I15" s="10">
        <f>'MSRP Catalog'!I15</f>
        <v/>
      </c>
      <c r="J15" s="11" t="n">
        <v>0.1</v>
      </c>
      <c r="K15" s="12">
        <f>IFERROR(I15*(1-J15),"")</f>
        <v/>
      </c>
      <c r="L15" s="12">
        <f>IFERROR(K15*(1-P15),"")</f>
        <v/>
      </c>
      <c r="M15" s="13" t="n"/>
      <c r="N15" s="12">
        <f>IFERROR(I15*(1-O15),"")</f>
        <v/>
      </c>
      <c r="O15" s="11" t="n">
        <v>0.35</v>
      </c>
      <c r="P15" s="11" t="n">
        <v>0.2</v>
      </c>
      <c r="Q15" s="14">
        <f>IFERROR(L15/I15,"")</f>
        <v/>
      </c>
      <c r="R15" s="14">
        <f>IF(OR(M15="",I15=0),"",M15/I15)</f>
        <v/>
      </c>
      <c r="S15" s="8" t="inlineStr">
        <is>
          <t>Automatic</t>
        </is>
      </c>
      <c r="T15" s="8" t="inlineStr">
        <is>
          <t>CSO</t>
        </is>
      </c>
      <c r="U15" s="15">
        <f>IF(M15="","REVIEW",IF(L15&lt;M15,"BLOCK","OK"))</f>
        <v/>
      </c>
      <c r="V15" s="15">
        <f>IF(J15&gt;O15,"BLOCK","OK")</f>
        <v/>
      </c>
      <c r="W15" s="15">
        <f>IF(P15&gt;IF(D15="Start",10%,IF(D15="Pro",15%,IF(OR(D15="Business",D15="Enterprise"),20%,30%))),"BLOCK","OK")</f>
        <v/>
      </c>
      <c r="X15" s="15">
        <f>IF(OR(M15="",R15=""),"REVIEW",IF(Q15&lt;R15,"BLOCK","OK"))</f>
        <v/>
      </c>
      <c r="Y15" s="8" t="inlineStr">
        <is>
          <t>No</t>
        </is>
      </c>
      <c r="Z15" s="15">
        <f>IF(AND(D15="Ultimate",Y15="Yes"),"BLOCK","OK")</f>
        <v/>
      </c>
      <c r="AA15" s="8" t="inlineStr">
        <is>
          <t>No</t>
        </is>
      </c>
      <c r="AB15" s="8" t="n"/>
      <c r="AC15" s="15">
        <f>IF(AND(AA15="Yes",AB15=""),"BLOCK","OK")</f>
        <v/>
      </c>
      <c r="AD15" s="16">
        <f>'MSRP Catalog'!M15</f>
        <v/>
      </c>
      <c r="AE15" s="15">
        <f>IF(AD15="","REVIEW",IF(AD15&lt;TODAY(),"BLOCK","OK"))</f>
        <v/>
      </c>
      <c r="AF15" s="8">
        <f>'MSRP Catalog'!K15</f>
        <v/>
      </c>
      <c r="AG15" s="8">
        <f>'MSRP Catalog'!N15</f>
        <v/>
      </c>
    </row>
    <row r="16">
      <c r="A16" s="8">
        <f>'MSRP Catalog'!A16</f>
        <v/>
      </c>
      <c r="B16" s="8">
        <f>'MSRP Catalog'!B16</f>
        <v/>
      </c>
      <c r="C16" s="8">
        <f>'MSRP Catalog'!C16</f>
        <v/>
      </c>
      <c r="D16" s="8">
        <f>'MSRP Catalog'!D16</f>
        <v/>
      </c>
      <c r="E16" s="8">
        <f>'MSRP Catalog'!E16</f>
        <v/>
      </c>
      <c r="F16" s="8">
        <f>'MSRP Catalog'!F16</f>
        <v/>
      </c>
      <c r="G16" s="8">
        <f>'MSRP Catalog'!G16</f>
        <v/>
      </c>
      <c r="H16" s="9">
        <f>'MSRP Catalog'!H16</f>
        <v/>
      </c>
      <c r="I16" s="10">
        <f>'MSRP Catalog'!I16</f>
        <v/>
      </c>
      <c r="J16" s="11" t="n">
        <v>0.1</v>
      </c>
      <c r="K16" s="12">
        <f>IFERROR(I16*(1-J16),"")</f>
        <v/>
      </c>
      <c r="L16" s="12">
        <f>IFERROR(K16*(1-P16),"")</f>
        <v/>
      </c>
      <c r="M16" s="13" t="n"/>
      <c r="N16" s="12">
        <f>IFERROR(I16*(1-O16),"")</f>
        <v/>
      </c>
      <c r="O16" s="11" t="n">
        <v>0.35</v>
      </c>
      <c r="P16" s="11" t="n">
        <v>0.2</v>
      </c>
      <c r="Q16" s="14">
        <f>IFERROR(L16/I16,"")</f>
        <v/>
      </c>
      <c r="R16" s="14">
        <f>IF(OR(M16="",I16=0),"",M16/I16)</f>
        <v/>
      </c>
      <c r="S16" s="8" t="inlineStr">
        <is>
          <t>Automatic</t>
        </is>
      </c>
      <c r="T16" s="8" t="inlineStr">
        <is>
          <t>CSO</t>
        </is>
      </c>
      <c r="U16" s="15">
        <f>IF(M16="","REVIEW",IF(L16&lt;M16,"BLOCK","OK"))</f>
        <v/>
      </c>
      <c r="V16" s="15">
        <f>IF(J16&gt;O16,"BLOCK","OK")</f>
        <v/>
      </c>
      <c r="W16" s="15">
        <f>IF(P16&gt;IF(D16="Start",10%,IF(D16="Pro",15%,IF(OR(D16="Business",D16="Enterprise"),20%,30%))),"BLOCK","OK")</f>
        <v/>
      </c>
      <c r="X16" s="15">
        <f>IF(OR(M16="",R16=""),"REVIEW",IF(Q16&lt;R16,"BLOCK","OK"))</f>
        <v/>
      </c>
      <c r="Y16" s="8" t="inlineStr">
        <is>
          <t>No</t>
        </is>
      </c>
      <c r="Z16" s="15">
        <f>IF(AND(D16="Ultimate",Y16="Yes"),"BLOCK","OK")</f>
        <v/>
      </c>
      <c r="AA16" s="8" t="inlineStr">
        <is>
          <t>No</t>
        </is>
      </c>
      <c r="AB16" s="8" t="n"/>
      <c r="AC16" s="15">
        <f>IF(AND(AA16="Yes",AB16=""),"BLOCK","OK")</f>
        <v/>
      </c>
      <c r="AD16" s="16">
        <f>'MSRP Catalog'!M16</f>
        <v/>
      </c>
      <c r="AE16" s="15">
        <f>IF(AD16="","REVIEW",IF(AD16&lt;TODAY(),"BLOCK","OK"))</f>
        <v/>
      </c>
      <c r="AF16" s="8">
        <f>'MSRP Catalog'!K16</f>
        <v/>
      </c>
      <c r="AG16" s="8">
        <f>'MSRP Catalog'!N16</f>
        <v/>
      </c>
    </row>
    <row r="17">
      <c r="A17" s="8">
        <f>'MSRP Catalog'!A17</f>
        <v/>
      </c>
      <c r="B17" s="8">
        <f>'MSRP Catalog'!B17</f>
        <v/>
      </c>
      <c r="C17" s="8">
        <f>'MSRP Catalog'!C17</f>
        <v/>
      </c>
      <c r="D17" s="8">
        <f>'MSRP Catalog'!D17</f>
        <v/>
      </c>
      <c r="E17" s="8">
        <f>'MSRP Catalog'!E17</f>
        <v/>
      </c>
      <c r="F17" s="8">
        <f>'MSRP Catalog'!F17</f>
        <v/>
      </c>
      <c r="G17" s="8">
        <f>'MSRP Catalog'!G17</f>
        <v/>
      </c>
      <c r="H17" s="9">
        <f>'MSRP Catalog'!H17</f>
        <v/>
      </c>
      <c r="I17" s="10">
        <f>'MSRP Catalog'!I17</f>
        <v/>
      </c>
      <c r="J17" s="11" t="n">
        <v>0.1</v>
      </c>
      <c r="K17" s="12">
        <f>IFERROR(I17*(1-J17),"")</f>
        <v/>
      </c>
      <c r="L17" s="12">
        <f>IFERROR(K17*(1-P17),"")</f>
        <v/>
      </c>
      <c r="M17" s="13" t="n"/>
      <c r="N17" s="12">
        <f>IFERROR(I17*(1-O17),"")</f>
        <v/>
      </c>
      <c r="O17" s="11" t="n">
        <v>0.35</v>
      </c>
      <c r="P17" s="11" t="n">
        <v>0.2</v>
      </c>
      <c r="Q17" s="14">
        <f>IFERROR(L17/I17,"")</f>
        <v/>
      </c>
      <c r="R17" s="14">
        <f>IF(OR(M17="",I17=0),"",M17/I17)</f>
        <v/>
      </c>
      <c r="S17" s="8" t="inlineStr">
        <is>
          <t>Automatic</t>
        </is>
      </c>
      <c r="T17" s="8" t="inlineStr">
        <is>
          <t>CSO</t>
        </is>
      </c>
      <c r="U17" s="15">
        <f>IF(M17="","REVIEW",IF(L17&lt;M17,"BLOCK","OK"))</f>
        <v/>
      </c>
      <c r="V17" s="15">
        <f>IF(J17&gt;O17,"BLOCK","OK")</f>
        <v/>
      </c>
      <c r="W17" s="15">
        <f>IF(P17&gt;IF(D17="Start",10%,IF(D17="Pro",15%,IF(OR(D17="Business",D17="Enterprise"),20%,30%))),"BLOCK","OK")</f>
        <v/>
      </c>
      <c r="X17" s="15">
        <f>IF(OR(M17="",R17=""),"REVIEW",IF(Q17&lt;R17,"BLOCK","OK"))</f>
        <v/>
      </c>
      <c r="Y17" s="8" t="inlineStr">
        <is>
          <t>No</t>
        </is>
      </c>
      <c r="Z17" s="15">
        <f>IF(AND(D17="Ultimate",Y17="Yes"),"BLOCK","OK")</f>
        <v/>
      </c>
      <c r="AA17" s="8" t="inlineStr">
        <is>
          <t>No</t>
        </is>
      </c>
      <c r="AB17" s="8" t="n"/>
      <c r="AC17" s="15">
        <f>IF(AND(AA17="Yes",AB17=""),"BLOCK","OK")</f>
        <v/>
      </c>
      <c r="AD17" s="16">
        <f>'MSRP Catalog'!M17</f>
        <v/>
      </c>
      <c r="AE17" s="15">
        <f>IF(AD17="","REVIEW",IF(AD17&lt;TODAY(),"BLOCK","OK"))</f>
        <v/>
      </c>
      <c r="AF17" s="8">
        <f>'MSRP Catalog'!K17</f>
        <v/>
      </c>
      <c r="AG17" s="8">
        <f>'MSRP Catalog'!N17</f>
        <v/>
      </c>
    </row>
    <row r="18">
      <c r="A18" s="8">
        <f>'MSRP Catalog'!A18</f>
        <v/>
      </c>
      <c r="B18" s="8">
        <f>'MSRP Catalog'!B18</f>
        <v/>
      </c>
      <c r="C18" s="8">
        <f>'MSRP Catalog'!C18</f>
        <v/>
      </c>
      <c r="D18" s="8">
        <f>'MSRP Catalog'!D18</f>
        <v/>
      </c>
      <c r="E18" s="8">
        <f>'MSRP Catalog'!E18</f>
        <v/>
      </c>
      <c r="F18" s="8">
        <f>'MSRP Catalog'!F18</f>
        <v/>
      </c>
      <c r="G18" s="8">
        <f>'MSRP Catalog'!G18</f>
        <v/>
      </c>
      <c r="H18" s="9">
        <f>'MSRP Catalog'!H18</f>
        <v/>
      </c>
      <c r="I18" s="10">
        <f>'MSRP Catalog'!I18</f>
        <v/>
      </c>
      <c r="J18" s="11" t="n">
        <v>0.1</v>
      </c>
      <c r="K18" s="12">
        <f>IFERROR(I18*(1-J18),"")</f>
        <v/>
      </c>
      <c r="L18" s="12">
        <f>IFERROR(K18*(1-P18),"")</f>
        <v/>
      </c>
      <c r="M18" s="13" t="n"/>
      <c r="N18" s="12">
        <f>IFERROR(I18*(1-O18),"")</f>
        <v/>
      </c>
      <c r="O18" s="11" t="n">
        <v>0.35</v>
      </c>
      <c r="P18" s="11" t="n">
        <v>0.2</v>
      </c>
      <c r="Q18" s="14">
        <f>IFERROR(L18/I18,"")</f>
        <v/>
      </c>
      <c r="R18" s="14">
        <f>IF(OR(M18="",I18=0),"",M18/I18)</f>
        <v/>
      </c>
      <c r="S18" s="8" t="inlineStr">
        <is>
          <t>Automatic</t>
        </is>
      </c>
      <c r="T18" s="8" t="inlineStr">
        <is>
          <t>CSO</t>
        </is>
      </c>
      <c r="U18" s="15">
        <f>IF(M18="","REVIEW",IF(L18&lt;M18,"BLOCK","OK"))</f>
        <v/>
      </c>
      <c r="V18" s="15">
        <f>IF(J18&gt;O18,"BLOCK","OK")</f>
        <v/>
      </c>
      <c r="W18" s="15">
        <f>IF(P18&gt;IF(D18="Start",10%,IF(D18="Pro",15%,IF(OR(D18="Business",D18="Enterprise"),20%,30%))),"BLOCK","OK")</f>
        <v/>
      </c>
      <c r="X18" s="15">
        <f>IF(OR(M18="",R18=""),"REVIEW",IF(Q18&lt;R18,"BLOCK","OK"))</f>
        <v/>
      </c>
      <c r="Y18" s="8" t="inlineStr">
        <is>
          <t>No</t>
        </is>
      </c>
      <c r="Z18" s="15">
        <f>IF(AND(D18="Ultimate",Y18="Yes"),"BLOCK","OK")</f>
        <v/>
      </c>
      <c r="AA18" s="8" t="inlineStr">
        <is>
          <t>No</t>
        </is>
      </c>
      <c r="AB18" s="8" t="n"/>
      <c r="AC18" s="15">
        <f>IF(AND(AA18="Yes",AB18=""),"BLOCK","OK")</f>
        <v/>
      </c>
      <c r="AD18" s="16">
        <f>'MSRP Catalog'!M18</f>
        <v/>
      </c>
      <c r="AE18" s="15">
        <f>IF(AD18="","REVIEW",IF(AD18&lt;TODAY(),"BLOCK","OK"))</f>
        <v/>
      </c>
      <c r="AF18" s="8">
        <f>'MSRP Catalog'!K18</f>
        <v/>
      </c>
      <c r="AG18" s="8">
        <f>'MSRP Catalog'!N18</f>
        <v/>
      </c>
    </row>
    <row r="19">
      <c r="A19" s="8">
        <f>'MSRP Catalog'!A19</f>
        <v/>
      </c>
      <c r="B19" s="8">
        <f>'MSRP Catalog'!B19</f>
        <v/>
      </c>
      <c r="C19" s="8">
        <f>'MSRP Catalog'!C19</f>
        <v/>
      </c>
      <c r="D19" s="8">
        <f>'MSRP Catalog'!D19</f>
        <v/>
      </c>
      <c r="E19" s="8">
        <f>'MSRP Catalog'!E19</f>
        <v/>
      </c>
      <c r="F19" s="8">
        <f>'MSRP Catalog'!F19</f>
        <v/>
      </c>
      <c r="G19" s="8">
        <f>'MSRP Catalog'!G19</f>
        <v/>
      </c>
      <c r="H19" s="9">
        <f>'MSRP Catalog'!H19</f>
        <v/>
      </c>
      <c r="I19" s="10">
        <f>'MSRP Catalog'!I19</f>
        <v/>
      </c>
      <c r="J19" s="11" t="n">
        <v>0.1</v>
      </c>
      <c r="K19" s="12">
        <f>IFERROR(I19*(1-J19),"")</f>
        <v/>
      </c>
      <c r="L19" s="12">
        <f>IFERROR(K19*(1-P19),"")</f>
        <v/>
      </c>
      <c r="M19" s="13" t="n"/>
      <c r="N19" s="12">
        <f>IFERROR(I19*(1-O19),"")</f>
        <v/>
      </c>
      <c r="O19" s="11" t="n">
        <v>0.35</v>
      </c>
      <c r="P19" s="11" t="n">
        <v>0.2</v>
      </c>
      <c r="Q19" s="14">
        <f>IFERROR(L19/I19,"")</f>
        <v/>
      </c>
      <c r="R19" s="14">
        <f>IF(OR(M19="",I19=0),"",M19/I19)</f>
        <v/>
      </c>
      <c r="S19" s="8" t="inlineStr">
        <is>
          <t>Automatic</t>
        </is>
      </c>
      <c r="T19" s="8" t="inlineStr">
        <is>
          <t>CSO</t>
        </is>
      </c>
      <c r="U19" s="15">
        <f>IF(M19="","REVIEW",IF(L19&lt;M19,"BLOCK","OK"))</f>
        <v/>
      </c>
      <c r="V19" s="15">
        <f>IF(J19&gt;O19,"BLOCK","OK")</f>
        <v/>
      </c>
      <c r="W19" s="15">
        <f>IF(P19&gt;IF(D19="Start",10%,IF(D19="Pro",15%,IF(OR(D19="Business",D19="Enterprise"),20%,30%))),"BLOCK","OK")</f>
        <v/>
      </c>
      <c r="X19" s="15">
        <f>IF(OR(M19="",R19=""),"REVIEW",IF(Q19&lt;R19,"BLOCK","OK"))</f>
        <v/>
      </c>
      <c r="Y19" s="8" t="inlineStr">
        <is>
          <t>No</t>
        </is>
      </c>
      <c r="Z19" s="15">
        <f>IF(AND(D19="Ultimate",Y19="Yes"),"BLOCK","OK")</f>
        <v/>
      </c>
      <c r="AA19" s="8" t="inlineStr">
        <is>
          <t>No</t>
        </is>
      </c>
      <c r="AB19" s="8" t="n"/>
      <c r="AC19" s="15">
        <f>IF(AND(AA19="Yes",AB19=""),"BLOCK","OK")</f>
        <v/>
      </c>
      <c r="AD19" s="16">
        <f>'MSRP Catalog'!M19</f>
        <v/>
      </c>
      <c r="AE19" s="15">
        <f>IF(AD19="","REVIEW",IF(AD19&lt;TODAY(),"BLOCK","OK"))</f>
        <v/>
      </c>
      <c r="AF19" s="8">
        <f>'MSRP Catalog'!K19</f>
        <v/>
      </c>
      <c r="AG19" s="8">
        <f>'MSRP Catalog'!N19</f>
        <v/>
      </c>
    </row>
    <row r="20">
      <c r="A20" s="8">
        <f>'MSRP Catalog'!A20</f>
        <v/>
      </c>
      <c r="B20" s="8">
        <f>'MSRP Catalog'!B20</f>
        <v/>
      </c>
      <c r="C20" s="8">
        <f>'MSRP Catalog'!C20</f>
        <v/>
      </c>
      <c r="D20" s="8">
        <f>'MSRP Catalog'!D20</f>
        <v/>
      </c>
      <c r="E20" s="8">
        <f>'MSRP Catalog'!E20</f>
        <v/>
      </c>
      <c r="F20" s="8">
        <f>'MSRP Catalog'!F20</f>
        <v/>
      </c>
      <c r="G20" s="8">
        <f>'MSRP Catalog'!G20</f>
        <v/>
      </c>
      <c r="H20" s="9">
        <f>'MSRP Catalog'!H20</f>
        <v/>
      </c>
      <c r="I20" s="10">
        <f>'MSRP Catalog'!I20</f>
        <v/>
      </c>
      <c r="J20" s="11" t="n">
        <v>0.1</v>
      </c>
      <c r="K20" s="12">
        <f>IFERROR(I20*(1-J20),"")</f>
        <v/>
      </c>
      <c r="L20" s="12">
        <f>IFERROR(K20*(1-P20),"")</f>
        <v/>
      </c>
      <c r="M20" s="13" t="n"/>
      <c r="N20" s="12">
        <f>IFERROR(I20*(1-O20),"")</f>
        <v/>
      </c>
      <c r="O20" s="11" t="n">
        <v>0.35</v>
      </c>
      <c r="P20" s="11" t="n">
        <v>0.2</v>
      </c>
      <c r="Q20" s="14">
        <f>IFERROR(L20/I20,"")</f>
        <v/>
      </c>
      <c r="R20" s="14">
        <f>IF(OR(M20="",I20=0),"",M20/I20)</f>
        <v/>
      </c>
      <c r="S20" s="8" t="inlineStr">
        <is>
          <t>Automatic</t>
        </is>
      </c>
      <c r="T20" s="8" t="inlineStr">
        <is>
          <t>CSO</t>
        </is>
      </c>
      <c r="U20" s="15">
        <f>IF(M20="","REVIEW",IF(L20&lt;M20,"BLOCK","OK"))</f>
        <v/>
      </c>
      <c r="V20" s="15">
        <f>IF(J20&gt;O20,"BLOCK","OK")</f>
        <v/>
      </c>
      <c r="W20" s="15">
        <f>IF(P20&gt;IF(D20="Start",10%,IF(D20="Pro",15%,IF(OR(D20="Business",D20="Enterprise"),20%,30%))),"BLOCK","OK")</f>
        <v/>
      </c>
      <c r="X20" s="15">
        <f>IF(OR(M20="",R20=""),"REVIEW",IF(Q20&lt;R20,"BLOCK","OK"))</f>
        <v/>
      </c>
      <c r="Y20" s="8" t="inlineStr">
        <is>
          <t>No</t>
        </is>
      </c>
      <c r="Z20" s="15">
        <f>IF(AND(D20="Ultimate",Y20="Yes"),"BLOCK","OK")</f>
        <v/>
      </c>
      <c r="AA20" s="8" t="inlineStr">
        <is>
          <t>No</t>
        </is>
      </c>
      <c r="AB20" s="8" t="n"/>
      <c r="AC20" s="15">
        <f>IF(AND(AA20="Yes",AB20=""),"BLOCK","OK")</f>
        <v/>
      </c>
      <c r="AD20" s="16">
        <f>'MSRP Catalog'!M20</f>
        <v/>
      </c>
      <c r="AE20" s="15">
        <f>IF(AD20="","REVIEW",IF(AD20&lt;TODAY(),"BLOCK","OK"))</f>
        <v/>
      </c>
      <c r="AF20" s="8">
        <f>'MSRP Catalog'!K20</f>
        <v/>
      </c>
      <c r="AG20" s="8">
        <f>'MSRP Catalog'!N20</f>
        <v/>
      </c>
    </row>
    <row r="21">
      <c r="A21" s="8">
        <f>'MSRP Catalog'!A21</f>
        <v/>
      </c>
      <c r="B21" s="8">
        <f>'MSRP Catalog'!B21</f>
        <v/>
      </c>
      <c r="C21" s="8">
        <f>'MSRP Catalog'!C21</f>
        <v/>
      </c>
      <c r="D21" s="8">
        <f>'MSRP Catalog'!D21</f>
        <v/>
      </c>
      <c r="E21" s="8">
        <f>'MSRP Catalog'!E21</f>
        <v/>
      </c>
      <c r="F21" s="8">
        <f>'MSRP Catalog'!F21</f>
        <v/>
      </c>
      <c r="G21" s="8">
        <f>'MSRP Catalog'!G21</f>
        <v/>
      </c>
      <c r="H21" s="9">
        <f>'MSRP Catalog'!H21</f>
        <v/>
      </c>
      <c r="I21" s="10">
        <f>'MSRP Catalog'!I21</f>
        <v/>
      </c>
      <c r="J21" s="11" t="n">
        <v>0.1</v>
      </c>
      <c r="K21" s="12">
        <f>IFERROR(I21*(1-J21),"")</f>
        <v/>
      </c>
      <c r="L21" s="12">
        <f>IFERROR(K21*(1-P21),"")</f>
        <v/>
      </c>
      <c r="M21" s="13" t="n"/>
      <c r="N21" s="12">
        <f>IFERROR(I21*(1-O21),"")</f>
        <v/>
      </c>
      <c r="O21" s="11" t="n">
        <v>0.35</v>
      </c>
      <c r="P21" s="11" t="n">
        <v>0.2</v>
      </c>
      <c r="Q21" s="14">
        <f>IFERROR(L21/I21,"")</f>
        <v/>
      </c>
      <c r="R21" s="14">
        <f>IF(OR(M21="",I21=0),"",M21/I21)</f>
        <v/>
      </c>
      <c r="S21" s="8" t="inlineStr">
        <is>
          <t>Automatic</t>
        </is>
      </c>
      <c r="T21" s="8" t="inlineStr">
        <is>
          <t>CSO</t>
        </is>
      </c>
      <c r="U21" s="15">
        <f>IF(M21="","REVIEW",IF(L21&lt;M21,"BLOCK","OK"))</f>
        <v/>
      </c>
      <c r="V21" s="15">
        <f>IF(J21&gt;O21,"BLOCK","OK")</f>
        <v/>
      </c>
      <c r="W21" s="15">
        <f>IF(P21&gt;IF(D21="Start",10%,IF(D21="Pro",15%,IF(OR(D21="Business",D21="Enterprise"),20%,30%))),"BLOCK","OK")</f>
        <v/>
      </c>
      <c r="X21" s="15">
        <f>IF(OR(M21="",R21=""),"REVIEW",IF(Q21&lt;R21,"BLOCK","OK"))</f>
        <v/>
      </c>
      <c r="Y21" s="8" t="inlineStr">
        <is>
          <t>No</t>
        </is>
      </c>
      <c r="Z21" s="15">
        <f>IF(AND(D21="Ultimate",Y21="Yes"),"BLOCK","OK")</f>
        <v/>
      </c>
      <c r="AA21" s="8" t="inlineStr">
        <is>
          <t>No</t>
        </is>
      </c>
      <c r="AB21" s="8" t="n"/>
      <c r="AC21" s="15">
        <f>IF(AND(AA21="Yes",AB21=""),"BLOCK","OK")</f>
        <v/>
      </c>
      <c r="AD21" s="16">
        <f>'MSRP Catalog'!M21</f>
        <v/>
      </c>
      <c r="AE21" s="15">
        <f>IF(AD21="","REVIEW",IF(AD21&lt;TODAY(),"BLOCK","OK"))</f>
        <v/>
      </c>
      <c r="AF21" s="8">
        <f>'MSRP Catalog'!K21</f>
        <v/>
      </c>
      <c r="AG21" s="8">
        <f>'MSRP Catalog'!N21</f>
        <v/>
      </c>
    </row>
    <row r="22">
      <c r="A22" s="8">
        <f>'MSRP Catalog'!A22</f>
        <v/>
      </c>
      <c r="B22" s="8">
        <f>'MSRP Catalog'!B22</f>
        <v/>
      </c>
      <c r="C22" s="8">
        <f>'MSRP Catalog'!C22</f>
        <v/>
      </c>
      <c r="D22" s="8">
        <f>'MSRP Catalog'!D22</f>
        <v/>
      </c>
      <c r="E22" s="8">
        <f>'MSRP Catalog'!E22</f>
        <v/>
      </c>
      <c r="F22" s="8">
        <f>'MSRP Catalog'!F22</f>
        <v/>
      </c>
      <c r="G22" s="8">
        <f>'MSRP Catalog'!G22</f>
        <v/>
      </c>
      <c r="H22" s="9">
        <f>'MSRP Catalog'!H22</f>
        <v/>
      </c>
      <c r="I22" s="10">
        <f>'MSRP Catalog'!I22</f>
        <v/>
      </c>
      <c r="J22" s="11" t="n">
        <v>0.1</v>
      </c>
      <c r="K22" s="12">
        <f>IFERROR(I22*(1-J22),"")</f>
        <v/>
      </c>
      <c r="L22" s="12">
        <f>IFERROR(K22*(1-P22),"")</f>
        <v/>
      </c>
      <c r="M22" s="13" t="n"/>
      <c r="N22" s="12">
        <f>IFERROR(I22*(1-O22),"")</f>
        <v/>
      </c>
      <c r="O22" s="11" t="n">
        <v>0.35</v>
      </c>
      <c r="P22" s="11" t="n">
        <v>0.2</v>
      </c>
      <c r="Q22" s="14">
        <f>IFERROR(L22/I22,"")</f>
        <v/>
      </c>
      <c r="R22" s="14">
        <f>IF(OR(M22="",I22=0),"",M22/I22)</f>
        <v/>
      </c>
      <c r="S22" s="8" t="inlineStr">
        <is>
          <t>Automatic</t>
        </is>
      </c>
      <c r="T22" s="8" t="inlineStr">
        <is>
          <t>CSO</t>
        </is>
      </c>
      <c r="U22" s="15">
        <f>IF(M22="","REVIEW",IF(L22&lt;M22,"BLOCK","OK"))</f>
        <v/>
      </c>
      <c r="V22" s="15">
        <f>IF(J22&gt;O22,"BLOCK","OK")</f>
        <v/>
      </c>
      <c r="W22" s="15">
        <f>IF(P22&gt;IF(D22="Start",10%,IF(D22="Pro",15%,IF(OR(D22="Business",D22="Enterprise"),20%,30%))),"BLOCK","OK")</f>
        <v/>
      </c>
      <c r="X22" s="15">
        <f>IF(OR(M22="",R22=""),"REVIEW",IF(Q22&lt;R22,"BLOCK","OK"))</f>
        <v/>
      </c>
      <c r="Y22" s="8" t="inlineStr">
        <is>
          <t>No</t>
        </is>
      </c>
      <c r="Z22" s="15">
        <f>IF(AND(D22="Ultimate",Y22="Yes"),"BLOCK","OK")</f>
        <v/>
      </c>
      <c r="AA22" s="8" t="inlineStr">
        <is>
          <t>No</t>
        </is>
      </c>
      <c r="AB22" s="8" t="n"/>
      <c r="AC22" s="15">
        <f>IF(AND(AA22="Yes",AB22=""),"BLOCK","OK")</f>
        <v/>
      </c>
      <c r="AD22" s="16">
        <f>'MSRP Catalog'!M22</f>
        <v/>
      </c>
      <c r="AE22" s="15">
        <f>IF(AD22="","REVIEW",IF(AD22&lt;TODAY(),"BLOCK","OK"))</f>
        <v/>
      </c>
      <c r="AF22" s="8">
        <f>'MSRP Catalog'!K22</f>
        <v/>
      </c>
      <c r="AG22" s="8">
        <f>'MSRP Catalog'!N22</f>
        <v/>
      </c>
    </row>
    <row r="23">
      <c r="A23" s="8">
        <f>'MSRP Catalog'!A23</f>
        <v/>
      </c>
      <c r="B23" s="8">
        <f>'MSRP Catalog'!B23</f>
        <v/>
      </c>
      <c r="C23" s="8">
        <f>'MSRP Catalog'!C23</f>
        <v/>
      </c>
      <c r="D23" s="8">
        <f>'MSRP Catalog'!D23</f>
        <v/>
      </c>
      <c r="E23" s="8">
        <f>'MSRP Catalog'!E23</f>
        <v/>
      </c>
      <c r="F23" s="8">
        <f>'MSRP Catalog'!F23</f>
        <v/>
      </c>
      <c r="G23" s="8">
        <f>'MSRP Catalog'!G23</f>
        <v/>
      </c>
      <c r="H23" s="9">
        <f>'MSRP Catalog'!H23</f>
        <v/>
      </c>
      <c r="I23" s="10">
        <f>'MSRP Catalog'!I23</f>
        <v/>
      </c>
      <c r="J23" s="11" t="n">
        <v>0.1</v>
      </c>
      <c r="K23" s="12">
        <f>IFERROR(I23*(1-J23),"")</f>
        <v/>
      </c>
      <c r="L23" s="12">
        <f>IFERROR(K23*(1-P23),"")</f>
        <v/>
      </c>
      <c r="M23" s="13" t="n"/>
      <c r="N23" s="12">
        <f>IFERROR(I23*(1-O23),"")</f>
        <v/>
      </c>
      <c r="O23" s="11" t="n">
        <v>0.35</v>
      </c>
      <c r="P23" s="11" t="n">
        <v>0.2</v>
      </c>
      <c r="Q23" s="14">
        <f>IFERROR(L23/I23,"")</f>
        <v/>
      </c>
      <c r="R23" s="14">
        <f>IF(OR(M23="",I23=0),"",M23/I23)</f>
        <v/>
      </c>
      <c r="S23" s="8" t="inlineStr">
        <is>
          <t>Automatic</t>
        </is>
      </c>
      <c r="T23" s="8" t="inlineStr">
        <is>
          <t>CSO</t>
        </is>
      </c>
      <c r="U23" s="15">
        <f>IF(M23="","REVIEW",IF(L23&lt;M23,"BLOCK","OK"))</f>
        <v/>
      </c>
      <c r="V23" s="15">
        <f>IF(J23&gt;O23,"BLOCK","OK")</f>
        <v/>
      </c>
      <c r="W23" s="15">
        <f>IF(P23&gt;IF(D23="Start",10%,IF(D23="Pro",15%,IF(OR(D23="Business",D23="Enterprise"),20%,30%))),"BLOCK","OK")</f>
        <v/>
      </c>
      <c r="X23" s="15">
        <f>IF(OR(M23="",R23=""),"REVIEW",IF(Q23&lt;R23,"BLOCK","OK"))</f>
        <v/>
      </c>
      <c r="Y23" s="8" t="inlineStr">
        <is>
          <t>No</t>
        </is>
      </c>
      <c r="Z23" s="15">
        <f>IF(AND(D23="Ultimate",Y23="Yes"),"BLOCK","OK")</f>
        <v/>
      </c>
      <c r="AA23" s="8" t="inlineStr">
        <is>
          <t>No</t>
        </is>
      </c>
      <c r="AB23" s="8" t="n"/>
      <c r="AC23" s="15">
        <f>IF(AND(AA23="Yes",AB23=""),"BLOCK","OK")</f>
        <v/>
      </c>
      <c r="AD23" s="16">
        <f>'MSRP Catalog'!M23</f>
        <v/>
      </c>
      <c r="AE23" s="15">
        <f>IF(AD23="","REVIEW",IF(AD23&lt;TODAY(),"BLOCK","OK"))</f>
        <v/>
      </c>
      <c r="AF23" s="8">
        <f>'MSRP Catalog'!K23</f>
        <v/>
      </c>
      <c r="AG23" s="8">
        <f>'MSRP Catalog'!N23</f>
        <v/>
      </c>
    </row>
    <row r="24">
      <c r="A24" s="8">
        <f>'MSRP Catalog'!A24</f>
        <v/>
      </c>
      <c r="B24" s="8">
        <f>'MSRP Catalog'!B24</f>
        <v/>
      </c>
      <c r="C24" s="8">
        <f>'MSRP Catalog'!C24</f>
        <v/>
      </c>
      <c r="D24" s="8">
        <f>'MSRP Catalog'!D24</f>
        <v/>
      </c>
      <c r="E24" s="8">
        <f>'MSRP Catalog'!E24</f>
        <v/>
      </c>
      <c r="F24" s="8">
        <f>'MSRP Catalog'!F24</f>
        <v/>
      </c>
      <c r="G24" s="8">
        <f>'MSRP Catalog'!G24</f>
        <v/>
      </c>
      <c r="H24" s="9">
        <f>'MSRP Catalog'!H24</f>
        <v/>
      </c>
      <c r="I24" s="10">
        <f>'MSRP Catalog'!I24</f>
        <v/>
      </c>
      <c r="J24" s="11" t="n">
        <v>0.1</v>
      </c>
      <c r="K24" s="12">
        <f>IFERROR(I24*(1-J24),"")</f>
        <v/>
      </c>
      <c r="L24" s="12">
        <f>IFERROR(K24*(1-P24),"")</f>
        <v/>
      </c>
      <c r="M24" s="13" t="n"/>
      <c r="N24" s="12">
        <f>IFERROR(I24*(1-O24),"")</f>
        <v/>
      </c>
      <c r="O24" s="11" t="n">
        <v>0.35</v>
      </c>
      <c r="P24" s="11" t="n">
        <v>0.2</v>
      </c>
      <c r="Q24" s="14">
        <f>IFERROR(L24/I24,"")</f>
        <v/>
      </c>
      <c r="R24" s="14">
        <f>IF(OR(M24="",I24=0),"",M24/I24)</f>
        <v/>
      </c>
      <c r="S24" s="8" t="inlineStr">
        <is>
          <t>Automatic</t>
        </is>
      </c>
      <c r="T24" s="8" t="inlineStr">
        <is>
          <t>CSO</t>
        </is>
      </c>
      <c r="U24" s="15">
        <f>IF(M24="","REVIEW",IF(L24&lt;M24,"BLOCK","OK"))</f>
        <v/>
      </c>
      <c r="V24" s="15">
        <f>IF(J24&gt;O24,"BLOCK","OK")</f>
        <v/>
      </c>
      <c r="W24" s="15">
        <f>IF(P24&gt;IF(D24="Start",10%,IF(D24="Pro",15%,IF(OR(D24="Business",D24="Enterprise"),20%,30%))),"BLOCK","OK")</f>
        <v/>
      </c>
      <c r="X24" s="15">
        <f>IF(OR(M24="",R24=""),"REVIEW",IF(Q24&lt;R24,"BLOCK","OK"))</f>
        <v/>
      </c>
      <c r="Y24" s="8" t="inlineStr">
        <is>
          <t>No</t>
        </is>
      </c>
      <c r="Z24" s="15">
        <f>IF(AND(D24="Ultimate",Y24="Yes"),"BLOCK","OK")</f>
        <v/>
      </c>
      <c r="AA24" s="8" t="inlineStr">
        <is>
          <t>No</t>
        </is>
      </c>
      <c r="AB24" s="8" t="n"/>
      <c r="AC24" s="15">
        <f>IF(AND(AA24="Yes",AB24=""),"BLOCK","OK")</f>
        <v/>
      </c>
      <c r="AD24" s="16">
        <f>'MSRP Catalog'!M24</f>
        <v/>
      </c>
      <c r="AE24" s="15">
        <f>IF(AD24="","REVIEW",IF(AD24&lt;TODAY(),"BLOCK","OK"))</f>
        <v/>
      </c>
      <c r="AF24" s="8">
        <f>'MSRP Catalog'!K24</f>
        <v/>
      </c>
      <c r="AG24" s="8">
        <f>'MSRP Catalog'!N24</f>
        <v/>
      </c>
    </row>
    <row r="25">
      <c r="A25" s="8">
        <f>'MSRP Catalog'!A25</f>
        <v/>
      </c>
      <c r="B25" s="8">
        <f>'MSRP Catalog'!B25</f>
        <v/>
      </c>
      <c r="C25" s="8">
        <f>'MSRP Catalog'!C25</f>
        <v/>
      </c>
      <c r="D25" s="8">
        <f>'MSRP Catalog'!D25</f>
        <v/>
      </c>
      <c r="E25" s="8">
        <f>'MSRP Catalog'!E25</f>
        <v/>
      </c>
      <c r="F25" s="8">
        <f>'MSRP Catalog'!F25</f>
        <v/>
      </c>
      <c r="G25" s="8">
        <f>'MSRP Catalog'!G25</f>
        <v/>
      </c>
      <c r="H25" s="9">
        <f>'MSRP Catalog'!H25</f>
        <v/>
      </c>
      <c r="I25" s="10">
        <f>'MSRP Catalog'!I25</f>
        <v/>
      </c>
      <c r="J25" s="11" t="n">
        <v>0.1</v>
      </c>
      <c r="K25" s="12">
        <f>IFERROR(I25*(1-J25),"")</f>
        <v/>
      </c>
      <c r="L25" s="12">
        <f>IFERROR(K25*(1-P25),"")</f>
        <v/>
      </c>
      <c r="M25" s="13" t="n"/>
      <c r="N25" s="12">
        <f>IFERROR(I25*(1-O25),"")</f>
        <v/>
      </c>
      <c r="O25" s="11" t="n">
        <v>0.35</v>
      </c>
      <c r="P25" s="11" t="n">
        <v>0.2</v>
      </c>
      <c r="Q25" s="14">
        <f>IFERROR(L25/I25,"")</f>
        <v/>
      </c>
      <c r="R25" s="14">
        <f>IF(OR(M25="",I25=0),"",M25/I25)</f>
        <v/>
      </c>
      <c r="S25" s="8" t="inlineStr">
        <is>
          <t>Automatic</t>
        </is>
      </c>
      <c r="T25" s="8" t="inlineStr">
        <is>
          <t>CSO</t>
        </is>
      </c>
      <c r="U25" s="15">
        <f>IF(M25="","REVIEW",IF(L25&lt;M25,"BLOCK","OK"))</f>
        <v/>
      </c>
      <c r="V25" s="15">
        <f>IF(J25&gt;O25,"BLOCK","OK")</f>
        <v/>
      </c>
      <c r="W25" s="15">
        <f>IF(P25&gt;IF(D25="Start",10%,IF(D25="Pro",15%,IF(OR(D25="Business",D25="Enterprise"),20%,30%))),"BLOCK","OK")</f>
        <v/>
      </c>
      <c r="X25" s="15">
        <f>IF(OR(M25="",R25=""),"REVIEW",IF(Q25&lt;R25,"BLOCK","OK"))</f>
        <v/>
      </c>
      <c r="Y25" s="8" t="inlineStr">
        <is>
          <t>No</t>
        </is>
      </c>
      <c r="Z25" s="15">
        <f>IF(AND(D25="Ultimate",Y25="Yes"),"BLOCK","OK")</f>
        <v/>
      </c>
      <c r="AA25" s="8" t="inlineStr">
        <is>
          <t>No</t>
        </is>
      </c>
      <c r="AB25" s="8" t="n"/>
      <c r="AC25" s="15">
        <f>IF(AND(AA25="Yes",AB25=""),"BLOCK","OK")</f>
        <v/>
      </c>
      <c r="AD25" s="16">
        <f>'MSRP Catalog'!M25</f>
        <v/>
      </c>
      <c r="AE25" s="15">
        <f>IF(AD25="","REVIEW",IF(AD25&lt;TODAY(),"BLOCK","OK"))</f>
        <v/>
      </c>
      <c r="AF25" s="8">
        <f>'MSRP Catalog'!K25</f>
        <v/>
      </c>
      <c r="AG25" s="8">
        <f>'MSRP Catalog'!N25</f>
        <v/>
      </c>
    </row>
    <row r="26">
      <c r="A26" s="8">
        <f>'MSRP Catalog'!A26</f>
        <v/>
      </c>
      <c r="B26" s="8">
        <f>'MSRP Catalog'!B26</f>
        <v/>
      </c>
      <c r="C26" s="8">
        <f>'MSRP Catalog'!C26</f>
        <v/>
      </c>
      <c r="D26" s="8">
        <f>'MSRP Catalog'!D26</f>
        <v/>
      </c>
      <c r="E26" s="8">
        <f>'MSRP Catalog'!E26</f>
        <v/>
      </c>
      <c r="F26" s="8">
        <f>'MSRP Catalog'!F26</f>
        <v/>
      </c>
      <c r="G26" s="8">
        <f>'MSRP Catalog'!G26</f>
        <v/>
      </c>
      <c r="H26" s="9">
        <f>'MSRP Catalog'!H26</f>
        <v/>
      </c>
      <c r="I26" s="10">
        <f>'MSRP Catalog'!I26</f>
        <v/>
      </c>
      <c r="J26" s="11" t="n">
        <v>0.1</v>
      </c>
      <c r="K26" s="12">
        <f>IFERROR(I26*(1-J26),"")</f>
        <v/>
      </c>
      <c r="L26" s="12">
        <f>IFERROR(K26*(1-P26),"")</f>
        <v/>
      </c>
      <c r="M26" s="13" t="n"/>
      <c r="N26" s="12">
        <f>IFERROR(I26*(1-O26),"")</f>
        <v/>
      </c>
      <c r="O26" s="11" t="n">
        <v>0.35</v>
      </c>
      <c r="P26" s="11" t="n">
        <v>0.2</v>
      </c>
      <c r="Q26" s="14">
        <f>IFERROR(L26/I26,"")</f>
        <v/>
      </c>
      <c r="R26" s="14">
        <f>IF(OR(M26="",I26=0),"",M26/I26)</f>
        <v/>
      </c>
      <c r="S26" s="8" t="inlineStr">
        <is>
          <t>Automatic</t>
        </is>
      </c>
      <c r="T26" s="8" t="inlineStr">
        <is>
          <t>CSO</t>
        </is>
      </c>
      <c r="U26" s="15">
        <f>IF(M26="","REVIEW",IF(L26&lt;M26,"BLOCK","OK"))</f>
        <v/>
      </c>
      <c r="V26" s="15">
        <f>IF(J26&gt;O26,"BLOCK","OK")</f>
        <v/>
      </c>
      <c r="W26" s="15">
        <f>IF(P26&gt;IF(D26="Start",10%,IF(D26="Pro",15%,IF(OR(D26="Business",D26="Enterprise"),20%,30%))),"BLOCK","OK")</f>
        <v/>
      </c>
      <c r="X26" s="15">
        <f>IF(OR(M26="",R26=""),"REVIEW",IF(Q26&lt;R26,"BLOCK","OK"))</f>
        <v/>
      </c>
      <c r="Y26" s="8" t="inlineStr">
        <is>
          <t>No</t>
        </is>
      </c>
      <c r="Z26" s="15">
        <f>IF(AND(D26="Ultimate",Y26="Yes"),"BLOCK","OK")</f>
        <v/>
      </c>
      <c r="AA26" s="8" t="inlineStr">
        <is>
          <t>No</t>
        </is>
      </c>
      <c r="AB26" s="8" t="n"/>
      <c r="AC26" s="15">
        <f>IF(AND(AA26="Yes",AB26=""),"BLOCK","OK")</f>
        <v/>
      </c>
      <c r="AD26" s="16">
        <f>'MSRP Catalog'!M26</f>
        <v/>
      </c>
      <c r="AE26" s="15">
        <f>IF(AD26="","REVIEW",IF(AD26&lt;TODAY(),"BLOCK","OK"))</f>
        <v/>
      </c>
      <c r="AF26" s="8">
        <f>'MSRP Catalog'!K26</f>
        <v/>
      </c>
      <c r="AG26" s="8">
        <f>'MSRP Catalog'!N26</f>
        <v/>
      </c>
    </row>
    <row r="27">
      <c r="A27" s="8">
        <f>'MSRP Catalog'!A27</f>
        <v/>
      </c>
      <c r="B27" s="8">
        <f>'MSRP Catalog'!B27</f>
        <v/>
      </c>
      <c r="C27" s="8">
        <f>'MSRP Catalog'!C27</f>
        <v/>
      </c>
      <c r="D27" s="8">
        <f>'MSRP Catalog'!D27</f>
        <v/>
      </c>
      <c r="E27" s="8">
        <f>'MSRP Catalog'!E27</f>
        <v/>
      </c>
      <c r="F27" s="8">
        <f>'MSRP Catalog'!F27</f>
        <v/>
      </c>
      <c r="G27" s="8">
        <f>'MSRP Catalog'!G27</f>
        <v/>
      </c>
      <c r="H27" s="9">
        <f>'MSRP Catalog'!H27</f>
        <v/>
      </c>
      <c r="I27" s="10">
        <f>'MSRP Catalog'!I27</f>
        <v/>
      </c>
      <c r="J27" s="11" t="n">
        <v>0.1</v>
      </c>
      <c r="K27" s="12">
        <f>IFERROR(I27*(1-J27),"")</f>
        <v/>
      </c>
      <c r="L27" s="12">
        <f>IFERROR(K27*(1-P27),"")</f>
        <v/>
      </c>
      <c r="M27" s="13" t="n"/>
      <c r="N27" s="12">
        <f>IFERROR(I27*(1-O27),"")</f>
        <v/>
      </c>
      <c r="O27" s="11" t="n">
        <v>0.35</v>
      </c>
      <c r="P27" s="11" t="n">
        <v>0.2</v>
      </c>
      <c r="Q27" s="14">
        <f>IFERROR(L27/I27,"")</f>
        <v/>
      </c>
      <c r="R27" s="14">
        <f>IF(OR(M27="",I27=0),"",M27/I27)</f>
        <v/>
      </c>
      <c r="S27" s="8" t="inlineStr">
        <is>
          <t>Automatic</t>
        </is>
      </c>
      <c r="T27" s="8" t="inlineStr">
        <is>
          <t>CSO</t>
        </is>
      </c>
      <c r="U27" s="15">
        <f>IF(M27="","REVIEW",IF(L27&lt;M27,"BLOCK","OK"))</f>
        <v/>
      </c>
      <c r="V27" s="15">
        <f>IF(J27&gt;O27,"BLOCK","OK")</f>
        <v/>
      </c>
      <c r="W27" s="15">
        <f>IF(P27&gt;IF(D27="Start",10%,IF(D27="Pro",15%,IF(OR(D27="Business",D27="Enterprise"),20%,30%))),"BLOCK","OK")</f>
        <v/>
      </c>
      <c r="X27" s="15">
        <f>IF(OR(M27="",R27=""),"REVIEW",IF(Q27&lt;R27,"BLOCK","OK"))</f>
        <v/>
      </c>
      <c r="Y27" s="8" t="inlineStr">
        <is>
          <t>No</t>
        </is>
      </c>
      <c r="Z27" s="15">
        <f>IF(AND(D27="Ultimate",Y27="Yes"),"BLOCK","OK")</f>
        <v/>
      </c>
      <c r="AA27" s="8" t="inlineStr">
        <is>
          <t>No</t>
        </is>
      </c>
      <c r="AB27" s="8" t="n"/>
      <c r="AC27" s="15">
        <f>IF(AND(AA27="Yes",AB27=""),"BLOCK","OK")</f>
        <v/>
      </c>
      <c r="AD27" s="16">
        <f>'MSRP Catalog'!M27</f>
        <v/>
      </c>
      <c r="AE27" s="15">
        <f>IF(AD27="","REVIEW",IF(AD27&lt;TODAY(),"BLOCK","OK"))</f>
        <v/>
      </c>
      <c r="AF27" s="8">
        <f>'MSRP Catalog'!K27</f>
        <v/>
      </c>
      <c r="AG27" s="8">
        <f>'MSRP Catalog'!N27</f>
        <v/>
      </c>
    </row>
    <row r="28">
      <c r="A28" s="8">
        <f>'MSRP Catalog'!A28</f>
        <v/>
      </c>
      <c r="B28" s="8">
        <f>'MSRP Catalog'!B28</f>
        <v/>
      </c>
      <c r="C28" s="8">
        <f>'MSRP Catalog'!C28</f>
        <v/>
      </c>
      <c r="D28" s="8">
        <f>'MSRP Catalog'!D28</f>
        <v/>
      </c>
      <c r="E28" s="8">
        <f>'MSRP Catalog'!E28</f>
        <v/>
      </c>
      <c r="F28" s="8">
        <f>'MSRP Catalog'!F28</f>
        <v/>
      </c>
      <c r="G28" s="8">
        <f>'MSRP Catalog'!G28</f>
        <v/>
      </c>
      <c r="H28" s="9">
        <f>'MSRP Catalog'!H28</f>
        <v/>
      </c>
      <c r="I28" s="10">
        <f>'MSRP Catalog'!I28</f>
        <v/>
      </c>
      <c r="J28" s="11" t="n">
        <v>0.1</v>
      </c>
      <c r="K28" s="12">
        <f>IFERROR(I28*(1-J28),"")</f>
        <v/>
      </c>
      <c r="L28" s="12">
        <f>IFERROR(K28*(1-P28),"")</f>
        <v/>
      </c>
      <c r="M28" s="13" t="n"/>
      <c r="N28" s="12">
        <f>IFERROR(I28*(1-O28),"")</f>
        <v/>
      </c>
      <c r="O28" s="11" t="n">
        <v>0.35</v>
      </c>
      <c r="P28" s="11" t="n">
        <v>0.2</v>
      </c>
      <c r="Q28" s="14">
        <f>IFERROR(L28/I28,"")</f>
        <v/>
      </c>
      <c r="R28" s="14">
        <f>IF(OR(M28="",I28=0),"",M28/I28)</f>
        <v/>
      </c>
      <c r="S28" s="8" t="inlineStr">
        <is>
          <t>Automatic</t>
        </is>
      </c>
      <c r="T28" s="8" t="inlineStr">
        <is>
          <t>CSO</t>
        </is>
      </c>
      <c r="U28" s="15">
        <f>IF(M28="","REVIEW",IF(L28&lt;M28,"BLOCK","OK"))</f>
        <v/>
      </c>
      <c r="V28" s="15">
        <f>IF(J28&gt;O28,"BLOCK","OK")</f>
        <v/>
      </c>
      <c r="W28" s="15">
        <f>IF(P28&gt;IF(D28="Start",10%,IF(D28="Pro",15%,IF(OR(D28="Business",D28="Enterprise"),20%,30%))),"BLOCK","OK")</f>
        <v/>
      </c>
      <c r="X28" s="15">
        <f>IF(OR(M28="",R28=""),"REVIEW",IF(Q28&lt;R28,"BLOCK","OK"))</f>
        <v/>
      </c>
      <c r="Y28" s="8" t="inlineStr">
        <is>
          <t>No</t>
        </is>
      </c>
      <c r="Z28" s="15">
        <f>IF(AND(D28="Ultimate",Y28="Yes"),"BLOCK","OK")</f>
        <v/>
      </c>
      <c r="AA28" s="8" t="inlineStr">
        <is>
          <t>No</t>
        </is>
      </c>
      <c r="AB28" s="8" t="n"/>
      <c r="AC28" s="15">
        <f>IF(AND(AA28="Yes",AB28=""),"BLOCK","OK")</f>
        <v/>
      </c>
      <c r="AD28" s="16">
        <f>'MSRP Catalog'!M28</f>
        <v/>
      </c>
      <c r="AE28" s="15">
        <f>IF(AD28="","REVIEW",IF(AD28&lt;TODAY(),"BLOCK","OK"))</f>
        <v/>
      </c>
      <c r="AF28" s="8">
        <f>'MSRP Catalog'!K28</f>
        <v/>
      </c>
      <c r="AG28" s="8">
        <f>'MSRP Catalog'!N28</f>
        <v/>
      </c>
    </row>
    <row r="29">
      <c r="A29" s="8">
        <f>'MSRP Catalog'!A29</f>
        <v/>
      </c>
      <c r="B29" s="8">
        <f>'MSRP Catalog'!B29</f>
        <v/>
      </c>
      <c r="C29" s="8">
        <f>'MSRP Catalog'!C29</f>
        <v/>
      </c>
      <c r="D29" s="8">
        <f>'MSRP Catalog'!D29</f>
        <v/>
      </c>
      <c r="E29" s="8">
        <f>'MSRP Catalog'!E29</f>
        <v/>
      </c>
      <c r="F29" s="8">
        <f>'MSRP Catalog'!F29</f>
        <v/>
      </c>
      <c r="G29" s="8">
        <f>'MSRP Catalog'!G29</f>
        <v/>
      </c>
      <c r="H29" s="9">
        <f>'MSRP Catalog'!H29</f>
        <v/>
      </c>
      <c r="I29" s="10">
        <f>'MSRP Catalog'!I29</f>
        <v/>
      </c>
      <c r="J29" s="11" t="n">
        <v>0.1</v>
      </c>
      <c r="K29" s="12">
        <f>IFERROR(I29*(1-J29),"")</f>
        <v/>
      </c>
      <c r="L29" s="12">
        <f>IFERROR(K29*(1-P29),"")</f>
        <v/>
      </c>
      <c r="M29" s="13" t="n"/>
      <c r="N29" s="12">
        <f>IFERROR(I29*(1-O29),"")</f>
        <v/>
      </c>
      <c r="O29" s="11" t="n">
        <v>0.35</v>
      </c>
      <c r="P29" s="11" t="n">
        <v>0.2</v>
      </c>
      <c r="Q29" s="14">
        <f>IFERROR(L29/I29,"")</f>
        <v/>
      </c>
      <c r="R29" s="14">
        <f>IF(OR(M29="",I29=0),"",M29/I29)</f>
        <v/>
      </c>
      <c r="S29" s="8" t="inlineStr">
        <is>
          <t>Automatic</t>
        </is>
      </c>
      <c r="T29" s="8" t="inlineStr">
        <is>
          <t>CSO</t>
        </is>
      </c>
      <c r="U29" s="15">
        <f>IF(M29="","REVIEW",IF(L29&lt;M29,"BLOCK","OK"))</f>
        <v/>
      </c>
      <c r="V29" s="15">
        <f>IF(J29&gt;O29,"BLOCK","OK")</f>
        <v/>
      </c>
      <c r="W29" s="15">
        <f>IF(P29&gt;IF(D29="Start",10%,IF(D29="Pro",15%,IF(OR(D29="Business",D29="Enterprise"),20%,30%))),"BLOCK","OK")</f>
        <v/>
      </c>
      <c r="X29" s="15">
        <f>IF(OR(M29="",R29=""),"REVIEW",IF(Q29&lt;R29,"BLOCK","OK"))</f>
        <v/>
      </c>
      <c r="Y29" s="8" t="inlineStr">
        <is>
          <t>No</t>
        </is>
      </c>
      <c r="Z29" s="15">
        <f>IF(AND(D29="Ultimate",Y29="Yes"),"BLOCK","OK")</f>
        <v/>
      </c>
      <c r="AA29" s="8" t="inlineStr">
        <is>
          <t>No</t>
        </is>
      </c>
      <c r="AB29" s="8" t="n"/>
      <c r="AC29" s="15">
        <f>IF(AND(AA29="Yes",AB29=""),"BLOCK","OK")</f>
        <v/>
      </c>
      <c r="AD29" s="16">
        <f>'MSRP Catalog'!M29</f>
        <v/>
      </c>
      <c r="AE29" s="15">
        <f>IF(AD29="","REVIEW",IF(AD29&lt;TODAY(),"BLOCK","OK"))</f>
        <v/>
      </c>
      <c r="AF29" s="8">
        <f>'MSRP Catalog'!K29</f>
        <v/>
      </c>
      <c r="AG29" s="8">
        <f>'MSRP Catalog'!N29</f>
        <v/>
      </c>
    </row>
    <row r="30">
      <c r="A30" s="8">
        <f>'MSRP Catalog'!A30</f>
        <v/>
      </c>
      <c r="B30" s="8">
        <f>'MSRP Catalog'!B30</f>
        <v/>
      </c>
      <c r="C30" s="8">
        <f>'MSRP Catalog'!C30</f>
        <v/>
      </c>
      <c r="D30" s="8">
        <f>'MSRP Catalog'!D30</f>
        <v/>
      </c>
      <c r="E30" s="8">
        <f>'MSRP Catalog'!E30</f>
        <v/>
      </c>
      <c r="F30" s="8">
        <f>'MSRP Catalog'!F30</f>
        <v/>
      </c>
      <c r="G30" s="8">
        <f>'MSRP Catalog'!G30</f>
        <v/>
      </c>
      <c r="H30" s="9">
        <f>'MSRP Catalog'!H30</f>
        <v/>
      </c>
      <c r="I30" s="10">
        <f>'MSRP Catalog'!I30</f>
        <v/>
      </c>
      <c r="J30" s="11" t="n">
        <v>0.1</v>
      </c>
      <c r="K30" s="12">
        <f>IFERROR(I30*(1-J30),"")</f>
        <v/>
      </c>
      <c r="L30" s="12">
        <f>IFERROR(K30*(1-P30),"")</f>
        <v/>
      </c>
      <c r="M30" s="13" t="n"/>
      <c r="N30" s="12">
        <f>IFERROR(I30*(1-O30),"")</f>
        <v/>
      </c>
      <c r="O30" s="11" t="n">
        <v>0.35</v>
      </c>
      <c r="P30" s="11" t="n">
        <v>0.2</v>
      </c>
      <c r="Q30" s="14">
        <f>IFERROR(L30/I30,"")</f>
        <v/>
      </c>
      <c r="R30" s="14">
        <f>IF(OR(M30="",I30=0),"",M30/I30)</f>
        <v/>
      </c>
      <c r="S30" s="8" t="inlineStr">
        <is>
          <t>Automatic</t>
        </is>
      </c>
      <c r="T30" s="8" t="inlineStr">
        <is>
          <t>CSO</t>
        </is>
      </c>
      <c r="U30" s="15">
        <f>IF(M30="","REVIEW",IF(L30&lt;M30,"BLOCK","OK"))</f>
        <v/>
      </c>
      <c r="V30" s="15">
        <f>IF(J30&gt;O30,"BLOCK","OK")</f>
        <v/>
      </c>
      <c r="W30" s="15">
        <f>IF(P30&gt;IF(D30="Start",10%,IF(D30="Pro",15%,IF(OR(D30="Business",D30="Enterprise"),20%,30%))),"BLOCK","OK")</f>
        <v/>
      </c>
      <c r="X30" s="15">
        <f>IF(OR(M30="",R30=""),"REVIEW",IF(Q30&lt;R30,"BLOCK","OK"))</f>
        <v/>
      </c>
      <c r="Y30" s="8" t="inlineStr">
        <is>
          <t>No</t>
        </is>
      </c>
      <c r="Z30" s="15">
        <f>IF(AND(D30="Ultimate",Y30="Yes"),"BLOCK","OK")</f>
        <v/>
      </c>
      <c r="AA30" s="8" t="inlineStr">
        <is>
          <t>No</t>
        </is>
      </c>
      <c r="AB30" s="8" t="n"/>
      <c r="AC30" s="15">
        <f>IF(AND(AA30="Yes",AB30=""),"BLOCK","OK")</f>
        <v/>
      </c>
      <c r="AD30" s="16">
        <f>'MSRP Catalog'!M30</f>
        <v/>
      </c>
      <c r="AE30" s="15">
        <f>IF(AD30="","REVIEW",IF(AD30&lt;TODAY(),"BLOCK","OK"))</f>
        <v/>
      </c>
      <c r="AF30" s="8">
        <f>'MSRP Catalog'!K30</f>
        <v/>
      </c>
      <c r="AG30" s="8">
        <f>'MSRP Catalog'!N30</f>
        <v/>
      </c>
    </row>
    <row r="31">
      <c r="A31" s="8">
        <f>'MSRP Catalog'!A31</f>
        <v/>
      </c>
      <c r="B31" s="8">
        <f>'MSRP Catalog'!B31</f>
        <v/>
      </c>
      <c r="C31" s="8">
        <f>'MSRP Catalog'!C31</f>
        <v/>
      </c>
      <c r="D31" s="8">
        <f>'MSRP Catalog'!D31</f>
        <v/>
      </c>
      <c r="E31" s="8">
        <f>'MSRP Catalog'!E31</f>
        <v/>
      </c>
      <c r="F31" s="8">
        <f>'MSRP Catalog'!F31</f>
        <v/>
      </c>
      <c r="G31" s="8">
        <f>'MSRP Catalog'!G31</f>
        <v/>
      </c>
      <c r="H31" s="9">
        <f>'MSRP Catalog'!H31</f>
        <v/>
      </c>
      <c r="I31" s="10">
        <f>'MSRP Catalog'!I31</f>
        <v/>
      </c>
      <c r="J31" s="11" t="n">
        <v>0.1</v>
      </c>
      <c r="K31" s="12">
        <f>IFERROR(I31*(1-J31),"")</f>
        <v/>
      </c>
      <c r="L31" s="12">
        <f>IFERROR(K31*(1-P31),"")</f>
        <v/>
      </c>
      <c r="M31" s="13" t="n"/>
      <c r="N31" s="12">
        <f>IFERROR(I31*(1-O31),"")</f>
        <v/>
      </c>
      <c r="O31" s="11" t="n">
        <v>0.35</v>
      </c>
      <c r="P31" s="11" t="n">
        <v>0.2</v>
      </c>
      <c r="Q31" s="14">
        <f>IFERROR(L31/I31,"")</f>
        <v/>
      </c>
      <c r="R31" s="14">
        <f>IF(OR(M31="",I31=0),"",M31/I31)</f>
        <v/>
      </c>
      <c r="S31" s="8" t="inlineStr">
        <is>
          <t>Automatic</t>
        </is>
      </c>
      <c r="T31" s="8" t="inlineStr">
        <is>
          <t>CSO</t>
        </is>
      </c>
      <c r="U31" s="15">
        <f>IF(M31="","REVIEW",IF(L31&lt;M31,"BLOCK","OK"))</f>
        <v/>
      </c>
      <c r="V31" s="15">
        <f>IF(J31&gt;O31,"BLOCK","OK")</f>
        <v/>
      </c>
      <c r="W31" s="15">
        <f>IF(P31&gt;IF(D31="Start",10%,IF(D31="Pro",15%,IF(OR(D31="Business",D31="Enterprise"),20%,30%))),"BLOCK","OK")</f>
        <v/>
      </c>
      <c r="X31" s="15">
        <f>IF(OR(M31="",R31=""),"REVIEW",IF(Q31&lt;R31,"BLOCK","OK"))</f>
        <v/>
      </c>
      <c r="Y31" s="8" t="inlineStr">
        <is>
          <t>No</t>
        </is>
      </c>
      <c r="Z31" s="15">
        <f>IF(AND(D31="Ultimate",Y31="Yes"),"BLOCK","OK")</f>
        <v/>
      </c>
      <c r="AA31" s="8" t="inlineStr">
        <is>
          <t>No</t>
        </is>
      </c>
      <c r="AB31" s="8" t="n"/>
      <c r="AC31" s="15">
        <f>IF(AND(AA31="Yes",AB31=""),"BLOCK","OK")</f>
        <v/>
      </c>
      <c r="AD31" s="16">
        <f>'MSRP Catalog'!M31</f>
        <v/>
      </c>
      <c r="AE31" s="15">
        <f>IF(AD31="","REVIEW",IF(AD31&lt;TODAY(),"BLOCK","OK"))</f>
        <v/>
      </c>
      <c r="AF31" s="8">
        <f>'MSRP Catalog'!K31</f>
        <v/>
      </c>
      <c r="AG31" s="8">
        <f>'MSRP Catalog'!N31</f>
        <v/>
      </c>
    </row>
    <row r="32">
      <c r="A32" s="8">
        <f>'MSRP Catalog'!A32</f>
        <v/>
      </c>
      <c r="B32" s="8">
        <f>'MSRP Catalog'!B32</f>
        <v/>
      </c>
      <c r="C32" s="8">
        <f>'MSRP Catalog'!C32</f>
        <v/>
      </c>
      <c r="D32" s="8">
        <f>'MSRP Catalog'!D32</f>
        <v/>
      </c>
      <c r="E32" s="8">
        <f>'MSRP Catalog'!E32</f>
        <v/>
      </c>
      <c r="F32" s="8">
        <f>'MSRP Catalog'!F32</f>
        <v/>
      </c>
      <c r="G32" s="8">
        <f>'MSRP Catalog'!G32</f>
        <v/>
      </c>
      <c r="H32" s="9">
        <f>'MSRP Catalog'!H32</f>
        <v/>
      </c>
      <c r="I32" s="10">
        <f>'MSRP Catalog'!I32</f>
        <v/>
      </c>
      <c r="J32" s="11" t="n">
        <v>0.1</v>
      </c>
      <c r="K32" s="12">
        <f>IFERROR(I32*(1-J32),"")</f>
        <v/>
      </c>
      <c r="L32" s="12">
        <f>IFERROR(K32*(1-P32),"")</f>
        <v/>
      </c>
      <c r="M32" s="13" t="n"/>
      <c r="N32" s="12">
        <f>IFERROR(I32*(1-O32),"")</f>
        <v/>
      </c>
      <c r="O32" s="11" t="n">
        <v>0.35</v>
      </c>
      <c r="P32" s="11" t="n">
        <v>0.2</v>
      </c>
      <c r="Q32" s="14">
        <f>IFERROR(L32/I32,"")</f>
        <v/>
      </c>
      <c r="R32" s="14">
        <f>IF(OR(M32="",I32=0),"",M32/I32)</f>
        <v/>
      </c>
      <c r="S32" s="8" t="inlineStr">
        <is>
          <t>Automatic</t>
        </is>
      </c>
      <c r="T32" s="8" t="inlineStr">
        <is>
          <t>CSO</t>
        </is>
      </c>
      <c r="U32" s="15">
        <f>IF(M32="","REVIEW",IF(L32&lt;M32,"BLOCK","OK"))</f>
        <v/>
      </c>
      <c r="V32" s="15">
        <f>IF(J32&gt;O32,"BLOCK","OK")</f>
        <v/>
      </c>
      <c r="W32" s="15">
        <f>IF(P32&gt;IF(D32="Start",10%,IF(D32="Pro",15%,IF(OR(D32="Business",D32="Enterprise"),20%,30%))),"BLOCK","OK")</f>
        <v/>
      </c>
      <c r="X32" s="15">
        <f>IF(OR(M32="",R32=""),"REVIEW",IF(Q32&lt;R32,"BLOCK","OK"))</f>
        <v/>
      </c>
      <c r="Y32" s="8" t="inlineStr">
        <is>
          <t>No</t>
        </is>
      </c>
      <c r="Z32" s="15">
        <f>IF(AND(D32="Ultimate",Y32="Yes"),"BLOCK","OK")</f>
        <v/>
      </c>
      <c r="AA32" s="8" t="inlineStr">
        <is>
          <t>No</t>
        </is>
      </c>
      <c r="AB32" s="8" t="n"/>
      <c r="AC32" s="15">
        <f>IF(AND(AA32="Yes",AB32=""),"BLOCK","OK")</f>
        <v/>
      </c>
      <c r="AD32" s="16">
        <f>'MSRP Catalog'!M32</f>
        <v/>
      </c>
      <c r="AE32" s="15">
        <f>IF(AD32="","REVIEW",IF(AD32&lt;TODAY(),"BLOCK","OK"))</f>
        <v/>
      </c>
      <c r="AF32" s="8">
        <f>'MSRP Catalog'!K32</f>
        <v/>
      </c>
      <c r="AG32" s="8">
        <f>'MSRP Catalog'!N32</f>
        <v/>
      </c>
    </row>
    <row r="33">
      <c r="A33" s="8">
        <f>'MSRP Catalog'!A33</f>
        <v/>
      </c>
      <c r="B33" s="8">
        <f>'MSRP Catalog'!B33</f>
        <v/>
      </c>
      <c r="C33" s="8">
        <f>'MSRP Catalog'!C33</f>
        <v/>
      </c>
      <c r="D33" s="8">
        <f>'MSRP Catalog'!D33</f>
        <v/>
      </c>
      <c r="E33" s="8">
        <f>'MSRP Catalog'!E33</f>
        <v/>
      </c>
      <c r="F33" s="8">
        <f>'MSRP Catalog'!F33</f>
        <v/>
      </c>
      <c r="G33" s="8">
        <f>'MSRP Catalog'!G33</f>
        <v/>
      </c>
      <c r="H33" s="9">
        <f>'MSRP Catalog'!H33</f>
        <v/>
      </c>
      <c r="I33" s="10">
        <f>'MSRP Catalog'!I33</f>
        <v/>
      </c>
      <c r="J33" s="11" t="n">
        <v>0.1</v>
      </c>
      <c r="K33" s="12">
        <f>IFERROR(I33*(1-J33),"")</f>
        <v/>
      </c>
      <c r="L33" s="12">
        <f>IFERROR(K33*(1-P33),"")</f>
        <v/>
      </c>
      <c r="M33" s="13" t="n"/>
      <c r="N33" s="12">
        <f>IFERROR(I33*(1-O33),"")</f>
        <v/>
      </c>
      <c r="O33" s="11" t="n">
        <v>0.35</v>
      </c>
      <c r="P33" s="11" t="n">
        <v>0.2</v>
      </c>
      <c r="Q33" s="14">
        <f>IFERROR(L33/I33,"")</f>
        <v/>
      </c>
      <c r="R33" s="14">
        <f>IF(OR(M33="",I33=0),"",M33/I33)</f>
        <v/>
      </c>
      <c r="S33" s="8" t="inlineStr">
        <is>
          <t>Automatic</t>
        </is>
      </c>
      <c r="T33" s="8" t="inlineStr">
        <is>
          <t>CSO</t>
        </is>
      </c>
      <c r="U33" s="15">
        <f>IF(M33="","REVIEW",IF(L33&lt;M33,"BLOCK","OK"))</f>
        <v/>
      </c>
      <c r="V33" s="15">
        <f>IF(J33&gt;O33,"BLOCK","OK")</f>
        <v/>
      </c>
      <c r="W33" s="15">
        <f>IF(P33&gt;IF(D33="Start",10%,IF(D33="Pro",15%,IF(OR(D33="Business",D33="Enterprise"),20%,30%))),"BLOCK","OK")</f>
        <v/>
      </c>
      <c r="X33" s="15">
        <f>IF(OR(M33="",R33=""),"REVIEW",IF(Q33&lt;R33,"BLOCK","OK"))</f>
        <v/>
      </c>
      <c r="Y33" s="8" t="inlineStr">
        <is>
          <t>No</t>
        </is>
      </c>
      <c r="Z33" s="15">
        <f>IF(AND(D33="Ultimate",Y33="Yes"),"BLOCK","OK")</f>
        <v/>
      </c>
      <c r="AA33" s="8" t="inlineStr">
        <is>
          <t>No</t>
        </is>
      </c>
      <c r="AB33" s="8" t="n"/>
      <c r="AC33" s="15">
        <f>IF(AND(AA33="Yes",AB33=""),"BLOCK","OK")</f>
        <v/>
      </c>
      <c r="AD33" s="16">
        <f>'MSRP Catalog'!M33</f>
        <v/>
      </c>
      <c r="AE33" s="15">
        <f>IF(AD33="","REVIEW",IF(AD33&lt;TODAY(),"BLOCK","OK"))</f>
        <v/>
      </c>
      <c r="AF33" s="8">
        <f>'MSRP Catalog'!K33</f>
        <v/>
      </c>
      <c r="AG33" s="8">
        <f>'MSRP Catalog'!N33</f>
        <v/>
      </c>
    </row>
    <row r="34">
      <c r="A34" s="8">
        <f>'MSRP Catalog'!A34</f>
        <v/>
      </c>
      <c r="B34" s="8">
        <f>'MSRP Catalog'!B34</f>
        <v/>
      </c>
      <c r="C34" s="8">
        <f>'MSRP Catalog'!C34</f>
        <v/>
      </c>
      <c r="D34" s="8">
        <f>'MSRP Catalog'!D34</f>
        <v/>
      </c>
      <c r="E34" s="8">
        <f>'MSRP Catalog'!E34</f>
        <v/>
      </c>
      <c r="F34" s="8">
        <f>'MSRP Catalog'!F34</f>
        <v/>
      </c>
      <c r="G34" s="8">
        <f>'MSRP Catalog'!G34</f>
        <v/>
      </c>
      <c r="H34" s="9">
        <f>'MSRP Catalog'!H34</f>
        <v/>
      </c>
      <c r="I34" s="10">
        <f>'MSRP Catalog'!I34</f>
        <v/>
      </c>
      <c r="J34" s="11" t="n">
        <v>0.1</v>
      </c>
      <c r="K34" s="12">
        <f>IFERROR(I34*(1-J34),"")</f>
        <v/>
      </c>
      <c r="L34" s="12">
        <f>IFERROR(K34*(1-P34),"")</f>
        <v/>
      </c>
      <c r="M34" s="13" t="n"/>
      <c r="N34" s="12">
        <f>IFERROR(I34*(1-O34),"")</f>
        <v/>
      </c>
      <c r="O34" s="11" t="n">
        <v>0.35</v>
      </c>
      <c r="P34" s="11" t="n">
        <v>0.2</v>
      </c>
      <c r="Q34" s="14">
        <f>IFERROR(L34/I34,"")</f>
        <v/>
      </c>
      <c r="R34" s="14">
        <f>IF(OR(M34="",I34=0),"",M34/I34)</f>
        <v/>
      </c>
      <c r="S34" s="8" t="inlineStr">
        <is>
          <t>Automatic</t>
        </is>
      </c>
      <c r="T34" s="8" t="inlineStr">
        <is>
          <t>CSO</t>
        </is>
      </c>
      <c r="U34" s="15">
        <f>IF(M34="","REVIEW",IF(L34&lt;M34,"BLOCK","OK"))</f>
        <v/>
      </c>
      <c r="V34" s="15">
        <f>IF(J34&gt;O34,"BLOCK","OK")</f>
        <v/>
      </c>
      <c r="W34" s="15">
        <f>IF(P34&gt;IF(D34="Start",10%,IF(D34="Pro",15%,IF(OR(D34="Business",D34="Enterprise"),20%,30%))),"BLOCK","OK")</f>
        <v/>
      </c>
      <c r="X34" s="15">
        <f>IF(OR(M34="",R34=""),"REVIEW",IF(Q34&lt;R34,"BLOCK","OK"))</f>
        <v/>
      </c>
      <c r="Y34" s="8" t="inlineStr">
        <is>
          <t>No</t>
        </is>
      </c>
      <c r="Z34" s="15">
        <f>IF(AND(D34="Ultimate",Y34="Yes"),"BLOCK","OK")</f>
        <v/>
      </c>
      <c r="AA34" s="8" t="inlineStr">
        <is>
          <t>No</t>
        </is>
      </c>
      <c r="AB34" s="8" t="n"/>
      <c r="AC34" s="15">
        <f>IF(AND(AA34="Yes",AB34=""),"BLOCK","OK")</f>
        <v/>
      </c>
      <c r="AD34" s="16">
        <f>'MSRP Catalog'!M34</f>
        <v/>
      </c>
      <c r="AE34" s="15">
        <f>IF(AD34="","REVIEW",IF(AD34&lt;TODAY(),"BLOCK","OK"))</f>
        <v/>
      </c>
      <c r="AF34" s="8">
        <f>'MSRP Catalog'!K34</f>
        <v/>
      </c>
      <c r="AG34" s="8">
        <f>'MSRP Catalog'!N34</f>
        <v/>
      </c>
    </row>
    <row r="35">
      <c r="A35" s="8">
        <f>'MSRP Catalog'!A35</f>
        <v/>
      </c>
      <c r="B35" s="8">
        <f>'MSRP Catalog'!B35</f>
        <v/>
      </c>
      <c r="C35" s="8">
        <f>'MSRP Catalog'!C35</f>
        <v/>
      </c>
      <c r="D35" s="8">
        <f>'MSRP Catalog'!D35</f>
        <v/>
      </c>
      <c r="E35" s="8">
        <f>'MSRP Catalog'!E35</f>
        <v/>
      </c>
      <c r="F35" s="8">
        <f>'MSRP Catalog'!F35</f>
        <v/>
      </c>
      <c r="G35" s="8">
        <f>'MSRP Catalog'!G35</f>
        <v/>
      </c>
      <c r="H35" s="9">
        <f>'MSRP Catalog'!H35</f>
        <v/>
      </c>
      <c r="I35" s="10">
        <f>'MSRP Catalog'!I35</f>
        <v/>
      </c>
      <c r="J35" s="11" t="n">
        <v>0.1</v>
      </c>
      <c r="K35" s="12">
        <f>IFERROR(I35*(1-J35),"")</f>
        <v/>
      </c>
      <c r="L35" s="12">
        <f>IFERROR(K35*(1-P35),"")</f>
        <v/>
      </c>
      <c r="M35" s="13" t="n"/>
      <c r="N35" s="12">
        <f>IFERROR(I35*(1-O35),"")</f>
        <v/>
      </c>
      <c r="O35" s="11" t="n">
        <v>0.35</v>
      </c>
      <c r="P35" s="11" t="n">
        <v>0.2</v>
      </c>
      <c r="Q35" s="14">
        <f>IFERROR(L35/I35,"")</f>
        <v/>
      </c>
      <c r="R35" s="14">
        <f>IF(OR(M35="",I35=0),"",M35/I35)</f>
        <v/>
      </c>
      <c r="S35" s="8" t="inlineStr">
        <is>
          <t>Automatic</t>
        </is>
      </c>
      <c r="T35" s="8" t="inlineStr">
        <is>
          <t>CSO</t>
        </is>
      </c>
      <c r="U35" s="15">
        <f>IF(M35="","REVIEW",IF(L35&lt;M35,"BLOCK","OK"))</f>
        <v/>
      </c>
      <c r="V35" s="15">
        <f>IF(J35&gt;O35,"BLOCK","OK")</f>
        <v/>
      </c>
      <c r="W35" s="15">
        <f>IF(P35&gt;IF(D35="Start",10%,IF(D35="Pro",15%,IF(OR(D35="Business",D35="Enterprise"),20%,30%))),"BLOCK","OK")</f>
        <v/>
      </c>
      <c r="X35" s="15">
        <f>IF(OR(M35="",R35=""),"REVIEW",IF(Q35&lt;R35,"BLOCK","OK"))</f>
        <v/>
      </c>
      <c r="Y35" s="8" t="inlineStr">
        <is>
          <t>No</t>
        </is>
      </c>
      <c r="Z35" s="15">
        <f>IF(AND(D35="Ultimate",Y35="Yes"),"BLOCK","OK")</f>
        <v/>
      </c>
      <c r="AA35" s="8" t="inlineStr">
        <is>
          <t>No</t>
        </is>
      </c>
      <c r="AB35" s="8" t="n"/>
      <c r="AC35" s="15">
        <f>IF(AND(AA35="Yes",AB35=""),"BLOCK","OK")</f>
        <v/>
      </c>
      <c r="AD35" s="16">
        <f>'MSRP Catalog'!M35</f>
        <v/>
      </c>
      <c r="AE35" s="15">
        <f>IF(AD35="","REVIEW",IF(AD35&lt;TODAY(),"BLOCK","OK"))</f>
        <v/>
      </c>
      <c r="AF35" s="8">
        <f>'MSRP Catalog'!K35</f>
        <v/>
      </c>
      <c r="AG35" s="8">
        <f>'MSRP Catalog'!N35</f>
        <v/>
      </c>
    </row>
    <row r="36">
      <c r="A36" s="8">
        <f>'MSRP Catalog'!A36</f>
        <v/>
      </c>
      <c r="B36" s="8">
        <f>'MSRP Catalog'!B36</f>
        <v/>
      </c>
      <c r="C36" s="8">
        <f>'MSRP Catalog'!C36</f>
        <v/>
      </c>
      <c r="D36" s="8">
        <f>'MSRP Catalog'!D36</f>
        <v/>
      </c>
      <c r="E36" s="8">
        <f>'MSRP Catalog'!E36</f>
        <v/>
      </c>
      <c r="F36" s="8">
        <f>'MSRP Catalog'!F36</f>
        <v/>
      </c>
      <c r="G36" s="8">
        <f>'MSRP Catalog'!G36</f>
        <v/>
      </c>
      <c r="H36" s="9">
        <f>'MSRP Catalog'!H36</f>
        <v/>
      </c>
      <c r="I36" s="10">
        <f>'MSRP Catalog'!I36</f>
        <v/>
      </c>
      <c r="J36" s="11" t="n">
        <v>0.1</v>
      </c>
      <c r="K36" s="12">
        <f>IFERROR(I36*(1-J36),"")</f>
        <v/>
      </c>
      <c r="L36" s="12">
        <f>IFERROR(K36*(1-P36),"")</f>
        <v/>
      </c>
      <c r="M36" s="13" t="n"/>
      <c r="N36" s="12">
        <f>IFERROR(I36*(1-O36),"")</f>
        <v/>
      </c>
      <c r="O36" s="11" t="n">
        <v>0.35</v>
      </c>
      <c r="P36" s="11" t="n">
        <v>0.2</v>
      </c>
      <c r="Q36" s="14">
        <f>IFERROR(L36/I36,"")</f>
        <v/>
      </c>
      <c r="R36" s="14">
        <f>IF(OR(M36="",I36=0),"",M36/I36)</f>
        <v/>
      </c>
      <c r="S36" s="8" t="inlineStr">
        <is>
          <t>Automatic</t>
        </is>
      </c>
      <c r="T36" s="8" t="inlineStr">
        <is>
          <t>CSO</t>
        </is>
      </c>
      <c r="U36" s="15">
        <f>IF(M36="","REVIEW",IF(L36&lt;M36,"BLOCK","OK"))</f>
        <v/>
      </c>
      <c r="V36" s="15">
        <f>IF(J36&gt;O36,"BLOCK","OK")</f>
        <v/>
      </c>
      <c r="W36" s="15">
        <f>IF(P36&gt;IF(D36="Start",10%,IF(D36="Pro",15%,IF(OR(D36="Business",D36="Enterprise"),20%,30%))),"BLOCK","OK")</f>
        <v/>
      </c>
      <c r="X36" s="15">
        <f>IF(OR(M36="",R36=""),"REVIEW",IF(Q36&lt;R36,"BLOCK","OK"))</f>
        <v/>
      </c>
      <c r="Y36" s="8" t="inlineStr">
        <is>
          <t>No</t>
        </is>
      </c>
      <c r="Z36" s="15">
        <f>IF(AND(D36="Ultimate",Y36="Yes"),"BLOCK","OK")</f>
        <v/>
      </c>
      <c r="AA36" s="8" t="inlineStr">
        <is>
          <t>No</t>
        </is>
      </c>
      <c r="AB36" s="8" t="n"/>
      <c r="AC36" s="15">
        <f>IF(AND(AA36="Yes",AB36=""),"BLOCK","OK")</f>
        <v/>
      </c>
      <c r="AD36" s="16">
        <f>'MSRP Catalog'!M36</f>
        <v/>
      </c>
      <c r="AE36" s="15">
        <f>IF(AD36="","REVIEW",IF(AD36&lt;TODAY(),"BLOCK","OK"))</f>
        <v/>
      </c>
      <c r="AF36" s="8">
        <f>'MSRP Catalog'!K36</f>
        <v/>
      </c>
      <c r="AG36" s="8">
        <f>'MSRP Catalog'!N36</f>
        <v/>
      </c>
    </row>
    <row r="37">
      <c r="A37" s="8">
        <f>'MSRP Catalog'!A37</f>
        <v/>
      </c>
      <c r="B37" s="8">
        <f>'MSRP Catalog'!B37</f>
        <v/>
      </c>
      <c r="C37" s="8">
        <f>'MSRP Catalog'!C37</f>
        <v/>
      </c>
      <c r="D37" s="8">
        <f>'MSRP Catalog'!D37</f>
        <v/>
      </c>
      <c r="E37" s="8">
        <f>'MSRP Catalog'!E37</f>
        <v/>
      </c>
      <c r="F37" s="8">
        <f>'MSRP Catalog'!F37</f>
        <v/>
      </c>
      <c r="G37" s="8">
        <f>'MSRP Catalog'!G37</f>
        <v/>
      </c>
      <c r="H37" s="9">
        <f>'MSRP Catalog'!H37</f>
        <v/>
      </c>
      <c r="I37" s="10">
        <f>'MSRP Catalog'!I37</f>
        <v/>
      </c>
      <c r="J37" s="11" t="n">
        <v>0.1</v>
      </c>
      <c r="K37" s="12">
        <f>IFERROR(I37*(1-J37),"")</f>
        <v/>
      </c>
      <c r="L37" s="12">
        <f>IFERROR(K37*(1-P37),"")</f>
        <v/>
      </c>
      <c r="M37" s="13" t="n"/>
      <c r="N37" s="12">
        <f>IFERROR(I37*(1-O37),"")</f>
        <v/>
      </c>
      <c r="O37" s="11" t="n">
        <v>0.35</v>
      </c>
      <c r="P37" s="11" t="n">
        <v>0.2</v>
      </c>
      <c r="Q37" s="14">
        <f>IFERROR(L37/I37,"")</f>
        <v/>
      </c>
      <c r="R37" s="14">
        <f>IF(OR(M37="",I37=0),"",M37/I37)</f>
        <v/>
      </c>
      <c r="S37" s="8" t="inlineStr">
        <is>
          <t>Automatic</t>
        </is>
      </c>
      <c r="T37" s="8" t="inlineStr">
        <is>
          <t>CSO</t>
        </is>
      </c>
      <c r="U37" s="15">
        <f>IF(M37="","REVIEW",IF(L37&lt;M37,"BLOCK","OK"))</f>
        <v/>
      </c>
      <c r="V37" s="15">
        <f>IF(J37&gt;O37,"BLOCK","OK")</f>
        <v/>
      </c>
      <c r="W37" s="15">
        <f>IF(P37&gt;IF(D37="Start",10%,IF(D37="Pro",15%,IF(OR(D37="Business",D37="Enterprise"),20%,30%))),"BLOCK","OK")</f>
        <v/>
      </c>
      <c r="X37" s="15">
        <f>IF(OR(M37="",R37=""),"REVIEW",IF(Q37&lt;R37,"BLOCK","OK"))</f>
        <v/>
      </c>
      <c r="Y37" s="8" t="inlineStr">
        <is>
          <t>No</t>
        </is>
      </c>
      <c r="Z37" s="15">
        <f>IF(AND(D37="Ultimate",Y37="Yes"),"BLOCK","OK")</f>
        <v/>
      </c>
      <c r="AA37" s="8" t="inlineStr">
        <is>
          <t>No</t>
        </is>
      </c>
      <c r="AB37" s="8" t="n"/>
      <c r="AC37" s="15">
        <f>IF(AND(AA37="Yes",AB37=""),"BLOCK","OK")</f>
        <v/>
      </c>
      <c r="AD37" s="16">
        <f>'MSRP Catalog'!M37</f>
        <v/>
      </c>
      <c r="AE37" s="15">
        <f>IF(AD37="","REVIEW",IF(AD37&lt;TODAY(),"BLOCK","OK"))</f>
        <v/>
      </c>
      <c r="AF37" s="8">
        <f>'MSRP Catalog'!K37</f>
        <v/>
      </c>
      <c r="AG37" s="8">
        <f>'MSRP Catalog'!N37</f>
        <v/>
      </c>
    </row>
    <row r="38">
      <c r="A38" s="8">
        <f>'MSRP Catalog'!A38</f>
        <v/>
      </c>
      <c r="B38" s="8">
        <f>'MSRP Catalog'!B38</f>
        <v/>
      </c>
      <c r="C38" s="8">
        <f>'MSRP Catalog'!C38</f>
        <v/>
      </c>
      <c r="D38" s="8">
        <f>'MSRP Catalog'!D38</f>
        <v/>
      </c>
      <c r="E38" s="8">
        <f>'MSRP Catalog'!E38</f>
        <v/>
      </c>
      <c r="F38" s="8">
        <f>'MSRP Catalog'!F38</f>
        <v/>
      </c>
      <c r="G38" s="8">
        <f>'MSRP Catalog'!G38</f>
        <v/>
      </c>
      <c r="H38" s="9">
        <f>'MSRP Catalog'!H38</f>
        <v/>
      </c>
      <c r="I38" s="10">
        <f>'MSRP Catalog'!I38</f>
        <v/>
      </c>
      <c r="J38" s="11" t="n">
        <v>0.1</v>
      </c>
      <c r="K38" s="12">
        <f>IFERROR(I38*(1-J38),"")</f>
        <v/>
      </c>
      <c r="L38" s="12">
        <f>IFERROR(K38*(1-P38),"")</f>
        <v/>
      </c>
      <c r="M38" s="13" t="n"/>
      <c r="N38" s="12">
        <f>IFERROR(I38*(1-O38),"")</f>
        <v/>
      </c>
      <c r="O38" s="11" t="n">
        <v>0.35</v>
      </c>
      <c r="P38" s="11" t="n">
        <v>0.2</v>
      </c>
      <c r="Q38" s="14">
        <f>IFERROR(L38/I38,"")</f>
        <v/>
      </c>
      <c r="R38" s="14">
        <f>IF(OR(M38="",I38=0),"",M38/I38)</f>
        <v/>
      </c>
      <c r="S38" s="8" t="inlineStr">
        <is>
          <t>Automatic</t>
        </is>
      </c>
      <c r="T38" s="8" t="inlineStr">
        <is>
          <t>CSO</t>
        </is>
      </c>
      <c r="U38" s="15">
        <f>IF(M38="","REVIEW",IF(L38&lt;M38,"BLOCK","OK"))</f>
        <v/>
      </c>
      <c r="V38" s="15">
        <f>IF(J38&gt;O38,"BLOCK","OK")</f>
        <v/>
      </c>
      <c r="W38" s="15">
        <f>IF(P38&gt;IF(D38="Start",10%,IF(D38="Pro",15%,IF(OR(D38="Business",D38="Enterprise"),20%,30%))),"BLOCK","OK")</f>
        <v/>
      </c>
      <c r="X38" s="15">
        <f>IF(OR(M38="",R38=""),"REVIEW",IF(Q38&lt;R38,"BLOCK","OK"))</f>
        <v/>
      </c>
      <c r="Y38" s="8" t="inlineStr">
        <is>
          <t>No</t>
        </is>
      </c>
      <c r="Z38" s="15">
        <f>IF(AND(D38="Ultimate",Y38="Yes"),"BLOCK","OK")</f>
        <v/>
      </c>
      <c r="AA38" s="8" t="inlineStr">
        <is>
          <t>No</t>
        </is>
      </c>
      <c r="AB38" s="8" t="n"/>
      <c r="AC38" s="15">
        <f>IF(AND(AA38="Yes",AB38=""),"BLOCK","OK")</f>
        <v/>
      </c>
      <c r="AD38" s="16">
        <f>'MSRP Catalog'!M38</f>
        <v/>
      </c>
      <c r="AE38" s="15">
        <f>IF(AD38="","REVIEW",IF(AD38&lt;TODAY(),"BLOCK","OK"))</f>
        <v/>
      </c>
      <c r="AF38" s="8">
        <f>'MSRP Catalog'!K38</f>
        <v/>
      </c>
      <c r="AG38" s="8">
        <f>'MSRP Catalog'!N38</f>
        <v/>
      </c>
    </row>
    <row r="39">
      <c r="A39" s="8">
        <f>'MSRP Catalog'!A39</f>
        <v/>
      </c>
      <c r="B39" s="8">
        <f>'MSRP Catalog'!B39</f>
        <v/>
      </c>
      <c r="C39" s="8">
        <f>'MSRP Catalog'!C39</f>
        <v/>
      </c>
      <c r="D39" s="8">
        <f>'MSRP Catalog'!D39</f>
        <v/>
      </c>
      <c r="E39" s="8">
        <f>'MSRP Catalog'!E39</f>
        <v/>
      </c>
      <c r="F39" s="8">
        <f>'MSRP Catalog'!F39</f>
        <v/>
      </c>
      <c r="G39" s="8">
        <f>'MSRP Catalog'!G39</f>
        <v/>
      </c>
      <c r="H39" s="9">
        <f>'MSRP Catalog'!H39</f>
        <v/>
      </c>
      <c r="I39" s="10">
        <f>'MSRP Catalog'!I39</f>
        <v/>
      </c>
      <c r="J39" s="11" t="n">
        <v>0.1</v>
      </c>
      <c r="K39" s="12">
        <f>IFERROR(I39*(1-J39),"")</f>
        <v/>
      </c>
      <c r="L39" s="12">
        <f>IFERROR(K39*(1-P39),"")</f>
        <v/>
      </c>
      <c r="M39" s="13" t="n"/>
      <c r="N39" s="12">
        <f>IFERROR(I39*(1-O39),"")</f>
        <v/>
      </c>
      <c r="O39" s="11" t="n">
        <v>0.35</v>
      </c>
      <c r="P39" s="11" t="n">
        <v>0.2</v>
      </c>
      <c r="Q39" s="14">
        <f>IFERROR(L39/I39,"")</f>
        <v/>
      </c>
      <c r="R39" s="14">
        <f>IF(OR(M39="",I39=0),"",M39/I39)</f>
        <v/>
      </c>
      <c r="S39" s="8" t="inlineStr">
        <is>
          <t>Automatic</t>
        </is>
      </c>
      <c r="T39" s="8" t="inlineStr">
        <is>
          <t>CSO</t>
        </is>
      </c>
      <c r="U39" s="15">
        <f>IF(M39="","REVIEW",IF(L39&lt;M39,"BLOCK","OK"))</f>
        <v/>
      </c>
      <c r="V39" s="15">
        <f>IF(J39&gt;O39,"BLOCK","OK")</f>
        <v/>
      </c>
      <c r="W39" s="15">
        <f>IF(P39&gt;IF(D39="Start",10%,IF(D39="Pro",15%,IF(OR(D39="Business",D39="Enterprise"),20%,30%))),"BLOCK","OK")</f>
        <v/>
      </c>
      <c r="X39" s="15">
        <f>IF(OR(M39="",R39=""),"REVIEW",IF(Q39&lt;R39,"BLOCK","OK"))</f>
        <v/>
      </c>
      <c r="Y39" s="8" t="inlineStr">
        <is>
          <t>No</t>
        </is>
      </c>
      <c r="Z39" s="15">
        <f>IF(AND(D39="Ultimate",Y39="Yes"),"BLOCK","OK")</f>
        <v/>
      </c>
      <c r="AA39" s="8" t="inlineStr">
        <is>
          <t>No</t>
        </is>
      </c>
      <c r="AB39" s="8" t="n"/>
      <c r="AC39" s="15">
        <f>IF(AND(AA39="Yes",AB39=""),"BLOCK","OK")</f>
        <v/>
      </c>
      <c r="AD39" s="16">
        <f>'MSRP Catalog'!M39</f>
        <v/>
      </c>
      <c r="AE39" s="15">
        <f>IF(AD39="","REVIEW",IF(AD39&lt;TODAY(),"BLOCK","OK"))</f>
        <v/>
      </c>
      <c r="AF39" s="8">
        <f>'MSRP Catalog'!K39</f>
        <v/>
      </c>
      <c r="AG39" s="8">
        <f>'MSRP Catalog'!N39</f>
        <v/>
      </c>
    </row>
    <row r="40">
      <c r="A40" s="8">
        <f>'MSRP Catalog'!A40</f>
        <v/>
      </c>
      <c r="B40" s="8">
        <f>'MSRP Catalog'!B40</f>
        <v/>
      </c>
      <c r="C40" s="8">
        <f>'MSRP Catalog'!C40</f>
        <v/>
      </c>
      <c r="D40" s="8">
        <f>'MSRP Catalog'!D40</f>
        <v/>
      </c>
      <c r="E40" s="8">
        <f>'MSRP Catalog'!E40</f>
        <v/>
      </c>
      <c r="F40" s="8">
        <f>'MSRP Catalog'!F40</f>
        <v/>
      </c>
      <c r="G40" s="8">
        <f>'MSRP Catalog'!G40</f>
        <v/>
      </c>
      <c r="H40" s="9">
        <f>'MSRP Catalog'!H40</f>
        <v/>
      </c>
      <c r="I40" s="10">
        <f>'MSRP Catalog'!I40</f>
        <v/>
      </c>
      <c r="J40" s="11" t="n">
        <v>0.1</v>
      </c>
      <c r="K40" s="12">
        <f>IFERROR(I40*(1-J40),"")</f>
        <v/>
      </c>
      <c r="L40" s="12">
        <f>IFERROR(K40*(1-P40),"")</f>
        <v/>
      </c>
      <c r="M40" s="13" t="n"/>
      <c r="N40" s="12">
        <f>IFERROR(I40*(1-O40),"")</f>
        <v/>
      </c>
      <c r="O40" s="11" t="n">
        <v>0.35</v>
      </c>
      <c r="P40" s="11" t="n">
        <v>0.2</v>
      </c>
      <c r="Q40" s="14">
        <f>IFERROR(L40/I40,"")</f>
        <v/>
      </c>
      <c r="R40" s="14">
        <f>IF(OR(M40="",I40=0),"",M40/I40)</f>
        <v/>
      </c>
      <c r="S40" s="8" t="inlineStr">
        <is>
          <t>Automatic</t>
        </is>
      </c>
      <c r="T40" s="8" t="inlineStr">
        <is>
          <t>CSO</t>
        </is>
      </c>
      <c r="U40" s="15">
        <f>IF(M40="","REVIEW",IF(L40&lt;M40,"BLOCK","OK"))</f>
        <v/>
      </c>
      <c r="V40" s="15">
        <f>IF(J40&gt;O40,"BLOCK","OK")</f>
        <v/>
      </c>
      <c r="W40" s="15">
        <f>IF(P40&gt;IF(D40="Start",10%,IF(D40="Pro",15%,IF(OR(D40="Business",D40="Enterprise"),20%,30%))),"BLOCK","OK")</f>
        <v/>
      </c>
      <c r="X40" s="15">
        <f>IF(OR(M40="",R40=""),"REVIEW",IF(Q40&lt;R40,"BLOCK","OK"))</f>
        <v/>
      </c>
      <c r="Y40" s="8" t="inlineStr">
        <is>
          <t>No</t>
        </is>
      </c>
      <c r="Z40" s="15">
        <f>IF(AND(D40="Ultimate",Y40="Yes"),"BLOCK","OK")</f>
        <v/>
      </c>
      <c r="AA40" s="8" t="inlineStr">
        <is>
          <t>No</t>
        </is>
      </c>
      <c r="AB40" s="8" t="n"/>
      <c r="AC40" s="15">
        <f>IF(AND(AA40="Yes",AB40=""),"BLOCK","OK")</f>
        <v/>
      </c>
      <c r="AD40" s="16">
        <f>'MSRP Catalog'!M40</f>
        <v/>
      </c>
      <c r="AE40" s="15">
        <f>IF(AD40="","REVIEW",IF(AD40&lt;TODAY(),"BLOCK","OK"))</f>
        <v/>
      </c>
      <c r="AF40" s="8">
        <f>'MSRP Catalog'!K40</f>
        <v/>
      </c>
      <c r="AG40" s="8">
        <f>'MSRP Catalog'!N40</f>
        <v/>
      </c>
    </row>
    <row r="41">
      <c r="A41" s="8">
        <f>'MSRP Catalog'!A41</f>
        <v/>
      </c>
      <c r="B41" s="8">
        <f>'MSRP Catalog'!B41</f>
        <v/>
      </c>
      <c r="C41" s="8">
        <f>'MSRP Catalog'!C41</f>
        <v/>
      </c>
      <c r="D41" s="8">
        <f>'MSRP Catalog'!D41</f>
        <v/>
      </c>
      <c r="E41" s="8">
        <f>'MSRP Catalog'!E41</f>
        <v/>
      </c>
      <c r="F41" s="8">
        <f>'MSRP Catalog'!F41</f>
        <v/>
      </c>
      <c r="G41" s="8">
        <f>'MSRP Catalog'!G41</f>
        <v/>
      </c>
      <c r="H41" s="9">
        <f>'MSRP Catalog'!H41</f>
        <v/>
      </c>
      <c r="I41" s="10">
        <f>'MSRP Catalog'!I41</f>
        <v/>
      </c>
      <c r="J41" s="11" t="n">
        <v>0.1</v>
      </c>
      <c r="K41" s="12">
        <f>IFERROR(I41*(1-J41),"")</f>
        <v/>
      </c>
      <c r="L41" s="12">
        <f>IFERROR(K41*(1-P41),"")</f>
        <v/>
      </c>
      <c r="M41" s="13" t="n"/>
      <c r="N41" s="12">
        <f>IFERROR(I41*(1-O41),"")</f>
        <v/>
      </c>
      <c r="O41" s="11" t="n">
        <v>0.35</v>
      </c>
      <c r="P41" s="11" t="n">
        <v>0.2</v>
      </c>
      <c r="Q41" s="14">
        <f>IFERROR(L41/I41,"")</f>
        <v/>
      </c>
      <c r="R41" s="14">
        <f>IF(OR(M41="",I41=0),"",M41/I41)</f>
        <v/>
      </c>
      <c r="S41" s="8" t="inlineStr">
        <is>
          <t>Automatic</t>
        </is>
      </c>
      <c r="T41" s="8" t="inlineStr">
        <is>
          <t>CSO</t>
        </is>
      </c>
      <c r="U41" s="15">
        <f>IF(M41="","REVIEW",IF(L41&lt;M41,"BLOCK","OK"))</f>
        <v/>
      </c>
      <c r="V41" s="15">
        <f>IF(J41&gt;O41,"BLOCK","OK")</f>
        <v/>
      </c>
      <c r="W41" s="15">
        <f>IF(P41&gt;IF(D41="Start",10%,IF(D41="Pro",15%,IF(OR(D41="Business",D41="Enterprise"),20%,30%))),"BLOCK","OK")</f>
        <v/>
      </c>
      <c r="X41" s="15">
        <f>IF(OR(M41="",R41=""),"REVIEW",IF(Q41&lt;R41,"BLOCK","OK"))</f>
        <v/>
      </c>
      <c r="Y41" s="8" t="inlineStr">
        <is>
          <t>No</t>
        </is>
      </c>
      <c r="Z41" s="15">
        <f>IF(AND(D41="Ultimate",Y41="Yes"),"BLOCK","OK")</f>
        <v/>
      </c>
      <c r="AA41" s="8" t="inlineStr">
        <is>
          <t>No</t>
        </is>
      </c>
      <c r="AB41" s="8" t="n"/>
      <c r="AC41" s="15">
        <f>IF(AND(AA41="Yes",AB41=""),"BLOCK","OK")</f>
        <v/>
      </c>
      <c r="AD41" s="16">
        <f>'MSRP Catalog'!M41</f>
        <v/>
      </c>
      <c r="AE41" s="15">
        <f>IF(AD41="","REVIEW",IF(AD41&lt;TODAY(),"BLOCK","OK"))</f>
        <v/>
      </c>
      <c r="AF41" s="8">
        <f>'MSRP Catalog'!K41</f>
        <v/>
      </c>
      <c r="AG41" s="8">
        <f>'MSRP Catalog'!N41</f>
        <v/>
      </c>
    </row>
    <row r="42">
      <c r="A42" s="8">
        <f>'MSRP Catalog'!A42</f>
        <v/>
      </c>
      <c r="B42" s="8">
        <f>'MSRP Catalog'!B42</f>
        <v/>
      </c>
      <c r="C42" s="8">
        <f>'MSRP Catalog'!C42</f>
        <v/>
      </c>
      <c r="D42" s="8">
        <f>'MSRP Catalog'!D42</f>
        <v/>
      </c>
      <c r="E42" s="8">
        <f>'MSRP Catalog'!E42</f>
        <v/>
      </c>
      <c r="F42" s="8">
        <f>'MSRP Catalog'!F42</f>
        <v/>
      </c>
      <c r="G42" s="8">
        <f>'MSRP Catalog'!G42</f>
        <v/>
      </c>
      <c r="H42" s="9">
        <f>'MSRP Catalog'!H42</f>
        <v/>
      </c>
      <c r="I42" s="10">
        <f>'MSRP Catalog'!I42</f>
        <v/>
      </c>
      <c r="J42" s="11" t="n">
        <v>0.1</v>
      </c>
      <c r="K42" s="12">
        <f>IFERROR(I42*(1-J42),"")</f>
        <v/>
      </c>
      <c r="L42" s="12">
        <f>IFERROR(K42*(1-P42),"")</f>
        <v/>
      </c>
      <c r="M42" s="13" t="n"/>
      <c r="N42" s="12">
        <f>IFERROR(I42*(1-O42),"")</f>
        <v/>
      </c>
      <c r="O42" s="11" t="n">
        <v>0.35</v>
      </c>
      <c r="P42" s="11" t="n">
        <v>0.2</v>
      </c>
      <c r="Q42" s="14">
        <f>IFERROR(L42/I42,"")</f>
        <v/>
      </c>
      <c r="R42" s="14">
        <f>IF(OR(M42="",I42=0),"",M42/I42)</f>
        <v/>
      </c>
      <c r="S42" s="8" t="inlineStr">
        <is>
          <t>Automatic</t>
        </is>
      </c>
      <c r="T42" s="8" t="inlineStr">
        <is>
          <t>CSO</t>
        </is>
      </c>
      <c r="U42" s="15">
        <f>IF(M42="","REVIEW",IF(L42&lt;M42,"BLOCK","OK"))</f>
        <v/>
      </c>
      <c r="V42" s="15">
        <f>IF(J42&gt;O42,"BLOCK","OK")</f>
        <v/>
      </c>
      <c r="W42" s="15">
        <f>IF(P42&gt;IF(D42="Start",10%,IF(D42="Pro",15%,IF(OR(D42="Business",D42="Enterprise"),20%,30%))),"BLOCK","OK")</f>
        <v/>
      </c>
      <c r="X42" s="15">
        <f>IF(OR(M42="",R42=""),"REVIEW",IF(Q42&lt;R42,"BLOCK","OK"))</f>
        <v/>
      </c>
      <c r="Y42" s="8" t="inlineStr">
        <is>
          <t>No</t>
        </is>
      </c>
      <c r="Z42" s="15">
        <f>IF(AND(D42="Ultimate",Y42="Yes"),"BLOCK","OK")</f>
        <v/>
      </c>
      <c r="AA42" s="8" t="inlineStr">
        <is>
          <t>No</t>
        </is>
      </c>
      <c r="AB42" s="8" t="n"/>
      <c r="AC42" s="15">
        <f>IF(AND(AA42="Yes",AB42=""),"BLOCK","OK")</f>
        <v/>
      </c>
      <c r="AD42" s="16">
        <f>'MSRP Catalog'!M42</f>
        <v/>
      </c>
      <c r="AE42" s="15">
        <f>IF(AD42="","REVIEW",IF(AD42&lt;TODAY(),"BLOCK","OK"))</f>
        <v/>
      </c>
      <c r="AF42" s="8">
        <f>'MSRP Catalog'!K42</f>
        <v/>
      </c>
      <c r="AG42" s="8">
        <f>'MSRP Catalog'!N42</f>
        <v/>
      </c>
    </row>
    <row r="43">
      <c r="A43" s="8">
        <f>'MSRP Catalog'!A43</f>
        <v/>
      </c>
      <c r="B43" s="8">
        <f>'MSRP Catalog'!B43</f>
        <v/>
      </c>
      <c r="C43" s="8">
        <f>'MSRP Catalog'!C43</f>
        <v/>
      </c>
      <c r="D43" s="8">
        <f>'MSRP Catalog'!D43</f>
        <v/>
      </c>
      <c r="E43" s="8">
        <f>'MSRP Catalog'!E43</f>
        <v/>
      </c>
      <c r="F43" s="8">
        <f>'MSRP Catalog'!F43</f>
        <v/>
      </c>
      <c r="G43" s="8">
        <f>'MSRP Catalog'!G43</f>
        <v/>
      </c>
      <c r="H43" s="9">
        <f>'MSRP Catalog'!H43</f>
        <v/>
      </c>
      <c r="I43" s="10">
        <f>'MSRP Catalog'!I43</f>
        <v/>
      </c>
      <c r="J43" s="11" t="n">
        <v>0.1</v>
      </c>
      <c r="K43" s="12">
        <f>IFERROR(I43*(1-J43),"")</f>
        <v/>
      </c>
      <c r="L43" s="12">
        <f>IFERROR(K43*(1-P43),"")</f>
        <v/>
      </c>
      <c r="M43" s="13" t="n"/>
      <c r="N43" s="12">
        <f>IFERROR(I43*(1-O43),"")</f>
        <v/>
      </c>
      <c r="O43" s="11" t="n">
        <v>0.35</v>
      </c>
      <c r="P43" s="11" t="n">
        <v>0.2</v>
      </c>
      <c r="Q43" s="14">
        <f>IFERROR(L43/I43,"")</f>
        <v/>
      </c>
      <c r="R43" s="14">
        <f>IF(OR(M43="",I43=0),"",M43/I43)</f>
        <v/>
      </c>
      <c r="S43" s="8" t="inlineStr">
        <is>
          <t>Automatic</t>
        </is>
      </c>
      <c r="T43" s="8" t="inlineStr">
        <is>
          <t>CSO</t>
        </is>
      </c>
      <c r="U43" s="15">
        <f>IF(M43="","REVIEW",IF(L43&lt;M43,"BLOCK","OK"))</f>
        <v/>
      </c>
      <c r="V43" s="15">
        <f>IF(J43&gt;O43,"BLOCK","OK")</f>
        <v/>
      </c>
      <c r="W43" s="15">
        <f>IF(P43&gt;IF(D43="Start",10%,IF(D43="Pro",15%,IF(OR(D43="Business",D43="Enterprise"),20%,30%))),"BLOCK","OK")</f>
        <v/>
      </c>
      <c r="X43" s="15">
        <f>IF(OR(M43="",R43=""),"REVIEW",IF(Q43&lt;R43,"BLOCK","OK"))</f>
        <v/>
      </c>
      <c r="Y43" s="8" t="inlineStr">
        <is>
          <t>No</t>
        </is>
      </c>
      <c r="Z43" s="15">
        <f>IF(AND(D43="Ultimate",Y43="Yes"),"BLOCK","OK")</f>
        <v/>
      </c>
      <c r="AA43" s="8" t="inlineStr">
        <is>
          <t>No</t>
        </is>
      </c>
      <c r="AB43" s="8" t="n"/>
      <c r="AC43" s="15">
        <f>IF(AND(AA43="Yes",AB43=""),"BLOCK","OK")</f>
        <v/>
      </c>
      <c r="AD43" s="16">
        <f>'MSRP Catalog'!M43</f>
        <v/>
      </c>
      <c r="AE43" s="15">
        <f>IF(AD43="","REVIEW",IF(AD43&lt;TODAY(),"BLOCK","OK"))</f>
        <v/>
      </c>
      <c r="AF43" s="8">
        <f>'MSRP Catalog'!K43</f>
        <v/>
      </c>
      <c r="AG43" s="8">
        <f>'MSRP Catalog'!N43</f>
        <v/>
      </c>
    </row>
    <row r="44">
      <c r="A44" s="8">
        <f>'MSRP Catalog'!A44</f>
        <v/>
      </c>
      <c r="B44" s="8">
        <f>'MSRP Catalog'!B44</f>
        <v/>
      </c>
      <c r="C44" s="8">
        <f>'MSRP Catalog'!C44</f>
        <v/>
      </c>
      <c r="D44" s="8">
        <f>'MSRP Catalog'!D44</f>
        <v/>
      </c>
      <c r="E44" s="8">
        <f>'MSRP Catalog'!E44</f>
        <v/>
      </c>
      <c r="F44" s="8">
        <f>'MSRP Catalog'!F44</f>
        <v/>
      </c>
      <c r="G44" s="8">
        <f>'MSRP Catalog'!G44</f>
        <v/>
      </c>
      <c r="H44" s="9">
        <f>'MSRP Catalog'!H44</f>
        <v/>
      </c>
      <c r="I44" s="10">
        <f>'MSRP Catalog'!I44</f>
        <v/>
      </c>
      <c r="J44" s="11" t="n">
        <v>0.1</v>
      </c>
      <c r="K44" s="12">
        <f>IFERROR(I44*(1-J44),"")</f>
        <v/>
      </c>
      <c r="L44" s="12">
        <f>IFERROR(K44*(1-P44),"")</f>
        <v/>
      </c>
      <c r="M44" s="13" t="n"/>
      <c r="N44" s="12">
        <f>IFERROR(I44*(1-O44),"")</f>
        <v/>
      </c>
      <c r="O44" s="11" t="n">
        <v>0.35</v>
      </c>
      <c r="P44" s="11" t="n">
        <v>0.2</v>
      </c>
      <c r="Q44" s="14">
        <f>IFERROR(L44/I44,"")</f>
        <v/>
      </c>
      <c r="R44" s="14">
        <f>IF(OR(M44="",I44=0),"",M44/I44)</f>
        <v/>
      </c>
      <c r="S44" s="8" t="inlineStr">
        <is>
          <t>Automatic</t>
        </is>
      </c>
      <c r="T44" s="8" t="inlineStr">
        <is>
          <t>CSO</t>
        </is>
      </c>
      <c r="U44" s="15">
        <f>IF(M44="","REVIEW",IF(L44&lt;M44,"BLOCK","OK"))</f>
        <v/>
      </c>
      <c r="V44" s="15">
        <f>IF(J44&gt;O44,"BLOCK","OK")</f>
        <v/>
      </c>
      <c r="W44" s="15">
        <f>IF(P44&gt;IF(D44="Start",10%,IF(D44="Pro",15%,IF(OR(D44="Business",D44="Enterprise"),20%,30%))),"BLOCK","OK")</f>
        <v/>
      </c>
      <c r="X44" s="15">
        <f>IF(OR(M44="",R44=""),"REVIEW",IF(Q44&lt;R44,"BLOCK","OK"))</f>
        <v/>
      </c>
      <c r="Y44" s="8" t="inlineStr">
        <is>
          <t>No</t>
        </is>
      </c>
      <c r="Z44" s="15">
        <f>IF(AND(D44="Ultimate",Y44="Yes"),"BLOCK","OK")</f>
        <v/>
      </c>
      <c r="AA44" s="8" t="inlineStr">
        <is>
          <t>No</t>
        </is>
      </c>
      <c r="AB44" s="8" t="n"/>
      <c r="AC44" s="15">
        <f>IF(AND(AA44="Yes",AB44=""),"BLOCK","OK")</f>
        <v/>
      </c>
      <c r="AD44" s="16">
        <f>'MSRP Catalog'!M44</f>
        <v/>
      </c>
      <c r="AE44" s="15">
        <f>IF(AD44="","REVIEW",IF(AD44&lt;TODAY(),"BLOCK","OK"))</f>
        <v/>
      </c>
      <c r="AF44" s="8">
        <f>'MSRP Catalog'!K44</f>
        <v/>
      </c>
      <c r="AG44" s="8">
        <f>'MSRP Catalog'!N44</f>
        <v/>
      </c>
    </row>
    <row r="45">
      <c r="A45" s="8">
        <f>'MSRP Catalog'!A45</f>
        <v/>
      </c>
      <c r="B45" s="8">
        <f>'MSRP Catalog'!B45</f>
        <v/>
      </c>
      <c r="C45" s="8">
        <f>'MSRP Catalog'!C45</f>
        <v/>
      </c>
      <c r="D45" s="8">
        <f>'MSRP Catalog'!D45</f>
        <v/>
      </c>
      <c r="E45" s="8">
        <f>'MSRP Catalog'!E45</f>
        <v/>
      </c>
      <c r="F45" s="8">
        <f>'MSRP Catalog'!F45</f>
        <v/>
      </c>
      <c r="G45" s="8">
        <f>'MSRP Catalog'!G45</f>
        <v/>
      </c>
      <c r="H45" s="9">
        <f>'MSRP Catalog'!H45</f>
        <v/>
      </c>
      <c r="I45" s="10">
        <f>'MSRP Catalog'!I45</f>
        <v/>
      </c>
      <c r="J45" s="11" t="n">
        <v>0.1</v>
      </c>
      <c r="K45" s="12">
        <f>IFERROR(I45*(1-J45),"")</f>
        <v/>
      </c>
      <c r="L45" s="12">
        <f>IFERROR(K45*(1-P45),"")</f>
        <v/>
      </c>
      <c r="M45" s="13" t="n"/>
      <c r="N45" s="12">
        <f>IFERROR(I45*(1-O45),"")</f>
        <v/>
      </c>
      <c r="O45" s="11" t="n">
        <v>0.35</v>
      </c>
      <c r="P45" s="11" t="n">
        <v>0.2</v>
      </c>
      <c r="Q45" s="14">
        <f>IFERROR(L45/I45,"")</f>
        <v/>
      </c>
      <c r="R45" s="14">
        <f>IF(OR(M45="",I45=0),"",M45/I45)</f>
        <v/>
      </c>
      <c r="S45" s="8" t="inlineStr">
        <is>
          <t>Automatic</t>
        </is>
      </c>
      <c r="T45" s="8" t="inlineStr">
        <is>
          <t>CSO</t>
        </is>
      </c>
      <c r="U45" s="15">
        <f>IF(M45="","REVIEW",IF(L45&lt;M45,"BLOCK","OK"))</f>
        <v/>
      </c>
      <c r="V45" s="15">
        <f>IF(J45&gt;O45,"BLOCK","OK")</f>
        <v/>
      </c>
      <c r="W45" s="15">
        <f>IF(P45&gt;IF(D45="Start",10%,IF(D45="Pro",15%,IF(OR(D45="Business",D45="Enterprise"),20%,30%))),"BLOCK","OK")</f>
        <v/>
      </c>
      <c r="X45" s="15">
        <f>IF(OR(M45="",R45=""),"REVIEW",IF(Q45&lt;R45,"BLOCK","OK"))</f>
        <v/>
      </c>
      <c r="Y45" s="8" t="inlineStr">
        <is>
          <t>No</t>
        </is>
      </c>
      <c r="Z45" s="15">
        <f>IF(AND(D45="Ultimate",Y45="Yes"),"BLOCK","OK")</f>
        <v/>
      </c>
      <c r="AA45" s="8" t="inlineStr">
        <is>
          <t>No</t>
        </is>
      </c>
      <c r="AB45" s="8" t="n"/>
      <c r="AC45" s="15">
        <f>IF(AND(AA45="Yes",AB45=""),"BLOCK","OK")</f>
        <v/>
      </c>
      <c r="AD45" s="16">
        <f>'MSRP Catalog'!M45</f>
        <v/>
      </c>
      <c r="AE45" s="15">
        <f>IF(AD45="","REVIEW",IF(AD45&lt;TODAY(),"BLOCK","OK"))</f>
        <v/>
      </c>
      <c r="AF45" s="8">
        <f>'MSRP Catalog'!K45</f>
        <v/>
      </c>
      <c r="AG45" s="8">
        <f>'MSRP Catalog'!N45</f>
        <v/>
      </c>
    </row>
    <row r="46">
      <c r="A46" s="8">
        <f>'MSRP Catalog'!A46</f>
        <v/>
      </c>
      <c r="B46" s="8">
        <f>'MSRP Catalog'!B46</f>
        <v/>
      </c>
      <c r="C46" s="8">
        <f>'MSRP Catalog'!C46</f>
        <v/>
      </c>
      <c r="D46" s="8">
        <f>'MSRP Catalog'!D46</f>
        <v/>
      </c>
      <c r="E46" s="8">
        <f>'MSRP Catalog'!E46</f>
        <v/>
      </c>
      <c r="F46" s="8">
        <f>'MSRP Catalog'!F46</f>
        <v/>
      </c>
      <c r="G46" s="8">
        <f>'MSRP Catalog'!G46</f>
        <v/>
      </c>
      <c r="H46" s="9">
        <f>'MSRP Catalog'!H46</f>
        <v/>
      </c>
      <c r="I46" s="10">
        <f>'MSRP Catalog'!I46</f>
        <v/>
      </c>
      <c r="J46" s="11" t="n">
        <v>0.1</v>
      </c>
      <c r="K46" s="12">
        <f>IFERROR(I46*(1-J46),"")</f>
        <v/>
      </c>
      <c r="L46" s="12">
        <f>IFERROR(K46*(1-P46),"")</f>
        <v/>
      </c>
      <c r="M46" s="13" t="n"/>
      <c r="N46" s="12">
        <f>IFERROR(I46*(1-O46),"")</f>
        <v/>
      </c>
      <c r="O46" s="11" t="n">
        <v>0.35</v>
      </c>
      <c r="P46" s="11" t="n">
        <v>0.2</v>
      </c>
      <c r="Q46" s="14">
        <f>IFERROR(L46/I46,"")</f>
        <v/>
      </c>
      <c r="R46" s="14">
        <f>IF(OR(M46="",I46=0),"",M46/I46)</f>
        <v/>
      </c>
      <c r="S46" s="8" t="inlineStr">
        <is>
          <t>Automatic</t>
        </is>
      </c>
      <c r="T46" s="8" t="inlineStr">
        <is>
          <t>CSO</t>
        </is>
      </c>
      <c r="U46" s="15">
        <f>IF(M46="","REVIEW",IF(L46&lt;M46,"BLOCK","OK"))</f>
        <v/>
      </c>
      <c r="V46" s="15">
        <f>IF(J46&gt;O46,"BLOCK","OK")</f>
        <v/>
      </c>
      <c r="W46" s="15">
        <f>IF(P46&gt;IF(D46="Start",10%,IF(D46="Pro",15%,IF(OR(D46="Business",D46="Enterprise"),20%,30%))),"BLOCK","OK")</f>
        <v/>
      </c>
      <c r="X46" s="15">
        <f>IF(OR(M46="",R46=""),"REVIEW",IF(Q46&lt;R46,"BLOCK","OK"))</f>
        <v/>
      </c>
      <c r="Y46" s="8" t="inlineStr">
        <is>
          <t>No</t>
        </is>
      </c>
      <c r="Z46" s="15">
        <f>IF(AND(D46="Ultimate",Y46="Yes"),"BLOCK","OK")</f>
        <v/>
      </c>
      <c r="AA46" s="8" t="inlineStr">
        <is>
          <t>No</t>
        </is>
      </c>
      <c r="AB46" s="8" t="n"/>
      <c r="AC46" s="15">
        <f>IF(AND(AA46="Yes",AB46=""),"BLOCK","OK")</f>
        <v/>
      </c>
      <c r="AD46" s="16">
        <f>'MSRP Catalog'!M46</f>
        <v/>
      </c>
      <c r="AE46" s="15">
        <f>IF(AD46="","REVIEW",IF(AD46&lt;TODAY(),"BLOCK","OK"))</f>
        <v/>
      </c>
      <c r="AF46" s="8">
        <f>'MSRP Catalog'!K46</f>
        <v/>
      </c>
      <c r="AG46" s="8">
        <f>'MSRP Catalog'!N46</f>
        <v/>
      </c>
    </row>
    <row r="47">
      <c r="A47" s="8">
        <f>'MSRP Catalog'!A47</f>
        <v/>
      </c>
      <c r="B47" s="8">
        <f>'MSRP Catalog'!B47</f>
        <v/>
      </c>
      <c r="C47" s="8">
        <f>'MSRP Catalog'!C47</f>
        <v/>
      </c>
      <c r="D47" s="8">
        <f>'MSRP Catalog'!D47</f>
        <v/>
      </c>
      <c r="E47" s="8">
        <f>'MSRP Catalog'!E47</f>
        <v/>
      </c>
      <c r="F47" s="8">
        <f>'MSRP Catalog'!F47</f>
        <v/>
      </c>
      <c r="G47" s="8">
        <f>'MSRP Catalog'!G47</f>
        <v/>
      </c>
      <c r="H47" s="9">
        <f>'MSRP Catalog'!H47</f>
        <v/>
      </c>
      <c r="I47" s="10">
        <f>'MSRP Catalog'!I47</f>
        <v/>
      </c>
      <c r="J47" s="11" t="n">
        <v>0.1</v>
      </c>
      <c r="K47" s="12">
        <f>IFERROR(I47*(1-J47),"")</f>
        <v/>
      </c>
      <c r="L47" s="12">
        <f>IFERROR(K47*(1-P47),"")</f>
        <v/>
      </c>
      <c r="M47" s="13" t="n"/>
      <c r="N47" s="12">
        <f>IFERROR(I47*(1-O47),"")</f>
        <v/>
      </c>
      <c r="O47" s="11" t="n">
        <v>0.35</v>
      </c>
      <c r="P47" s="11" t="n">
        <v>0.2</v>
      </c>
      <c r="Q47" s="14">
        <f>IFERROR(L47/I47,"")</f>
        <v/>
      </c>
      <c r="R47" s="14">
        <f>IF(OR(M47="",I47=0),"",M47/I47)</f>
        <v/>
      </c>
      <c r="S47" s="8" t="inlineStr">
        <is>
          <t>Automatic</t>
        </is>
      </c>
      <c r="T47" s="8" t="inlineStr">
        <is>
          <t>CSO</t>
        </is>
      </c>
      <c r="U47" s="15">
        <f>IF(M47="","REVIEW",IF(L47&lt;M47,"BLOCK","OK"))</f>
        <v/>
      </c>
      <c r="V47" s="15">
        <f>IF(J47&gt;O47,"BLOCK","OK")</f>
        <v/>
      </c>
      <c r="W47" s="15">
        <f>IF(P47&gt;IF(D47="Start",10%,IF(D47="Pro",15%,IF(OR(D47="Business",D47="Enterprise"),20%,30%))),"BLOCK","OK")</f>
        <v/>
      </c>
      <c r="X47" s="15">
        <f>IF(OR(M47="",R47=""),"REVIEW",IF(Q47&lt;R47,"BLOCK","OK"))</f>
        <v/>
      </c>
      <c r="Y47" s="8" t="inlineStr">
        <is>
          <t>No</t>
        </is>
      </c>
      <c r="Z47" s="15">
        <f>IF(AND(D47="Ultimate",Y47="Yes"),"BLOCK","OK")</f>
        <v/>
      </c>
      <c r="AA47" s="8" t="inlineStr">
        <is>
          <t>No</t>
        </is>
      </c>
      <c r="AB47" s="8" t="n"/>
      <c r="AC47" s="15">
        <f>IF(AND(AA47="Yes",AB47=""),"BLOCK","OK")</f>
        <v/>
      </c>
      <c r="AD47" s="16">
        <f>'MSRP Catalog'!M47</f>
        <v/>
      </c>
      <c r="AE47" s="15">
        <f>IF(AD47="","REVIEW",IF(AD47&lt;TODAY(),"BLOCK","OK"))</f>
        <v/>
      </c>
      <c r="AF47" s="8">
        <f>'MSRP Catalog'!K47</f>
        <v/>
      </c>
      <c r="AG47" s="8">
        <f>'MSRP Catalog'!N47</f>
        <v/>
      </c>
    </row>
    <row r="48">
      <c r="A48" s="8">
        <f>'MSRP Catalog'!A48</f>
        <v/>
      </c>
      <c r="B48" s="8">
        <f>'MSRP Catalog'!B48</f>
        <v/>
      </c>
      <c r="C48" s="8">
        <f>'MSRP Catalog'!C48</f>
        <v/>
      </c>
      <c r="D48" s="8">
        <f>'MSRP Catalog'!D48</f>
        <v/>
      </c>
      <c r="E48" s="8">
        <f>'MSRP Catalog'!E48</f>
        <v/>
      </c>
      <c r="F48" s="8">
        <f>'MSRP Catalog'!F48</f>
        <v/>
      </c>
      <c r="G48" s="8">
        <f>'MSRP Catalog'!G48</f>
        <v/>
      </c>
      <c r="H48" s="9">
        <f>'MSRP Catalog'!H48</f>
        <v/>
      </c>
      <c r="I48" s="10">
        <f>'MSRP Catalog'!I48</f>
        <v/>
      </c>
      <c r="J48" s="11" t="n">
        <v>0.1</v>
      </c>
      <c r="K48" s="12">
        <f>IFERROR(I48*(1-J48),"")</f>
        <v/>
      </c>
      <c r="L48" s="12">
        <f>IFERROR(K48*(1-P48),"")</f>
        <v/>
      </c>
      <c r="M48" s="13" t="n"/>
      <c r="N48" s="12">
        <f>IFERROR(I48*(1-O48),"")</f>
        <v/>
      </c>
      <c r="O48" s="11" t="n">
        <v>0.35</v>
      </c>
      <c r="P48" s="11" t="n">
        <v>0.2</v>
      </c>
      <c r="Q48" s="14">
        <f>IFERROR(L48/I48,"")</f>
        <v/>
      </c>
      <c r="R48" s="14">
        <f>IF(OR(M48="",I48=0),"",M48/I48)</f>
        <v/>
      </c>
      <c r="S48" s="8" t="inlineStr">
        <is>
          <t>Automatic</t>
        </is>
      </c>
      <c r="T48" s="8" t="inlineStr">
        <is>
          <t>CSO</t>
        </is>
      </c>
      <c r="U48" s="15">
        <f>IF(M48="","REVIEW",IF(L48&lt;M48,"BLOCK","OK"))</f>
        <v/>
      </c>
      <c r="V48" s="15">
        <f>IF(J48&gt;O48,"BLOCK","OK")</f>
        <v/>
      </c>
      <c r="W48" s="15">
        <f>IF(P48&gt;IF(D48="Start",10%,IF(D48="Pro",15%,IF(OR(D48="Business",D48="Enterprise"),20%,30%))),"BLOCK","OK")</f>
        <v/>
      </c>
      <c r="X48" s="15">
        <f>IF(OR(M48="",R48=""),"REVIEW",IF(Q48&lt;R48,"BLOCK","OK"))</f>
        <v/>
      </c>
      <c r="Y48" s="8" t="inlineStr">
        <is>
          <t>No</t>
        </is>
      </c>
      <c r="Z48" s="15">
        <f>IF(AND(D48="Ultimate",Y48="Yes"),"BLOCK","OK")</f>
        <v/>
      </c>
      <c r="AA48" s="8" t="inlineStr">
        <is>
          <t>No</t>
        </is>
      </c>
      <c r="AB48" s="8" t="n"/>
      <c r="AC48" s="15">
        <f>IF(AND(AA48="Yes",AB48=""),"BLOCK","OK")</f>
        <v/>
      </c>
      <c r="AD48" s="16">
        <f>'MSRP Catalog'!M48</f>
        <v/>
      </c>
      <c r="AE48" s="15">
        <f>IF(AD48="","REVIEW",IF(AD48&lt;TODAY(),"BLOCK","OK"))</f>
        <v/>
      </c>
      <c r="AF48" s="8">
        <f>'MSRP Catalog'!K48</f>
        <v/>
      </c>
      <c r="AG48" s="8">
        <f>'MSRP Catalog'!N48</f>
        <v/>
      </c>
    </row>
    <row r="49">
      <c r="A49" s="8">
        <f>'MSRP Catalog'!A49</f>
        <v/>
      </c>
      <c r="B49" s="8">
        <f>'MSRP Catalog'!B49</f>
        <v/>
      </c>
      <c r="C49" s="8">
        <f>'MSRP Catalog'!C49</f>
        <v/>
      </c>
      <c r="D49" s="8">
        <f>'MSRP Catalog'!D49</f>
        <v/>
      </c>
      <c r="E49" s="8">
        <f>'MSRP Catalog'!E49</f>
        <v/>
      </c>
      <c r="F49" s="8">
        <f>'MSRP Catalog'!F49</f>
        <v/>
      </c>
      <c r="G49" s="8">
        <f>'MSRP Catalog'!G49</f>
        <v/>
      </c>
      <c r="H49" s="9">
        <f>'MSRP Catalog'!H49</f>
        <v/>
      </c>
      <c r="I49" s="10">
        <f>'MSRP Catalog'!I49</f>
        <v/>
      </c>
      <c r="J49" s="11" t="n">
        <v>0.1</v>
      </c>
      <c r="K49" s="12">
        <f>IFERROR(I49*(1-J49),"")</f>
        <v/>
      </c>
      <c r="L49" s="12">
        <f>IFERROR(K49*(1-P49),"")</f>
        <v/>
      </c>
      <c r="M49" s="13" t="n"/>
      <c r="N49" s="12">
        <f>IFERROR(I49*(1-O49),"")</f>
        <v/>
      </c>
      <c r="O49" s="11" t="n">
        <v>0.35</v>
      </c>
      <c r="P49" s="11" t="n">
        <v>0.2</v>
      </c>
      <c r="Q49" s="14">
        <f>IFERROR(L49/I49,"")</f>
        <v/>
      </c>
      <c r="R49" s="14">
        <f>IF(OR(M49="",I49=0),"",M49/I49)</f>
        <v/>
      </c>
      <c r="S49" s="8" t="inlineStr">
        <is>
          <t>Automatic</t>
        </is>
      </c>
      <c r="T49" s="8" t="inlineStr">
        <is>
          <t>CSO</t>
        </is>
      </c>
      <c r="U49" s="15">
        <f>IF(M49="","REVIEW",IF(L49&lt;M49,"BLOCK","OK"))</f>
        <v/>
      </c>
      <c r="V49" s="15">
        <f>IF(J49&gt;O49,"BLOCK","OK")</f>
        <v/>
      </c>
      <c r="W49" s="15">
        <f>IF(P49&gt;IF(D49="Start",10%,IF(D49="Pro",15%,IF(OR(D49="Business",D49="Enterprise"),20%,30%))),"BLOCK","OK")</f>
        <v/>
      </c>
      <c r="X49" s="15">
        <f>IF(OR(M49="",R49=""),"REVIEW",IF(Q49&lt;R49,"BLOCK","OK"))</f>
        <v/>
      </c>
      <c r="Y49" s="8" t="inlineStr">
        <is>
          <t>No</t>
        </is>
      </c>
      <c r="Z49" s="15">
        <f>IF(AND(D49="Ultimate",Y49="Yes"),"BLOCK","OK")</f>
        <v/>
      </c>
      <c r="AA49" s="8" t="inlineStr">
        <is>
          <t>No</t>
        </is>
      </c>
      <c r="AB49" s="8" t="n"/>
      <c r="AC49" s="15">
        <f>IF(AND(AA49="Yes",AB49=""),"BLOCK","OK")</f>
        <v/>
      </c>
      <c r="AD49" s="16">
        <f>'MSRP Catalog'!M49</f>
        <v/>
      </c>
      <c r="AE49" s="15">
        <f>IF(AD49="","REVIEW",IF(AD49&lt;TODAY(),"BLOCK","OK"))</f>
        <v/>
      </c>
      <c r="AF49" s="8">
        <f>'MSRP Catalog'!K49</f>
        <v/>
      </c>
      <c r="AG49" s="8">
        <f>'MSRP Catalog'!N49</f>
        <v/>
      </c>
    </row>
    <row r="50">
      <c r="A50" s="8">
        <f>'MSRP Catalog'!A50</f>
        <v/>
      </c>
      <c r="B50" s="8">
        <f>'MSRP Catalog'!B50</f>
        <v/>
      </c>
      <c r="C50" s="8">
        <f>'MSRP Catalog'!C50</f>
        <v/>
      </c>
      <c r="D50" s="8">
        <f>'MSRP Catalog'!D50</f>
        <v/>
      </c>
      <c r="E50" s="8">
        <f>'MSRP Catalog'!E50</f>
        <v/>
      </c>
      <c r="F50" s="8">
        <f>'MSRP Catalog'!F50</f>
        <v/>
      </c>
      <c r="G50" s="8">
        <f>'MSRP Catalog'!G50</f>
        <v/>
      </c>
      <c r="H50" s="9">
        <f>'MSRP Catalog'!H50</f>
        <v/>
      </c>
      <c r="I50" s="10">
        <f>'MSRP Catalog'!I50</f>
        <v/>
      </c>
      <c r="J50" s="11" t="n">
        <v>0.1</v>
      </c>
      <c r="K50" s="12">
        <f>IFERROR(I50*(1-J50),"")</f>
        <v/>
      </c>
      <c r="L50" s="12">
        <f>IFERROR(K50*(1-P50),"")</f>
        <v/>
      </c>
      <c r="M50" s="13" t="n"/>
      <c r="N50" s="12">
        <f>IFERROR(I50*(1-O50),"")</f>
        <v/>
      </c>
      <c r="O50" s="11" t="n">
        <v>0.35</v>
      </c>
      <c r="P50" s="11" t="n">
        <v>0.2</v>
      </c>
      <c r="Q50" s="14">
        <f>IFERROR(L50/I50,"")</f>
        <v/>
      </c>
      <c r="R50" s="14">
        <f>IF(OR(M50="",I50=0),"",M50/I50)</f>
        <v/>
      </c>
      <c r="S50" s="8" t="inlineStr">
        <is>
          <t>Automatic</t>
        </is>
      </c>
      <c r="T50" s="8" t="inlineStr">
        <is>
          <t>CSO</t>
        </is>
      </c>
      <c r="U50" s="15">
        <f>IF(M50="","REVIEW",IF(L50&lt;M50,"BLOCK","OK"))</f>
        <v/>
      </c>
      <c r="V50" s="15">
        <f>IF(J50&gt;O50,"BLOCK","OK")</f>
        <v/>
      </c>
      <c r="W50" s="15">
        <f>IF(P50&gt;IF(D50="Start",10%,IF(D50="Pro",15%,IF(OR(D50="Business",D50="Enterprise"),20%,30%))),"BLOCK","OK")</f>
        <v/>
      </c>
      <c r="X50" s="15">
        <f>IF(OR(M50="",R50=""),"REVIEW",IF(Q50&lt;R50,"BLOCK","OK"))</f>
        <v/>
      </c>
      <c r="Y50" s="8" t="inlineStr">
        <is>
          <t>No</t>
        </is>
      </c>
      <c r="Z50" s="15">
        <f>IF(AND(D50="Ultimate",Y50="Yes"),"BLOCK","OK")</f>
        <v/>
      </c>
      <c r="AA50" s="8" t="inlineStr">
        <is>
          <t>No</t>
        </is>
      </c>
      <c r="AB50" s="8" t="n"/>
      <c r="AC50" s="15">
        <f>IF(AND(AA50="Yes",AB50=""),"BLOCK","OK")</f>
        <v/>
      </c>
      <c r="AD50" s="16">
        <f>'MSRP Catalog'!M50</f>
        <v/>
      </c>
      <c r="AE50" s="15">
        <f>IF(AD50="","REVIEW",IF(AD50&lt;TODAY(),"BLOCK","OK"))</f>
        <v/>
      </c>
      <c r="AF50" s="8">
        <f>'MSRP Catalog'!K50</f>
        <v/>
      </c>
      <c r="AG50" s="8">
        <f>'MSRP Catalog'!N50</f>
        <v/>
      </c>
    </row>
    <row r="51">
      <c r="A51" s="8">
        <f>'MSRP Catalog'!A51</f>
        <v/>
      </c>
      <c r="B51" s="8">
        <f>'MSRP Catalog'!B51</f>
        <v/>
      </c>
      <c r="C51" s="8">
        <f>'MSRP Catalog'!C51</f>
        <v/>
      </c>
      <c r="D51" s="8">
        <f>'MSRP Catalog'!D51</f>
        <v/>
      </c>
      <c r="E51" s="8">
        <f>'MSRP Catalog'!E51</f>
        <v/>
      </c>
      <c r="F51" s="8">
        <f>'MSRP Catalog'!F51</f>
        <v/>
      </c>
      <c r="G51" s="8">
        <f>'MSRP Catalog'!G51</f>
        <v/>
      </c>
      <c r="H51" s="9">
        <f>'MSRP Catalog'!H51</f>
        <v/>
      </c>
      <c r="I51" s="10">
        <f>'MSRP Catalog'!I51</f>
        <v/>
      </c>
      <c r="J51" s="11" t="n">
        <v>0.1</v>
      </c>
      <c r="K51" s="12">
        <f>IFERROR(I51*(1-J51),"")</f>
        <v/>
      </c>
      <c r="L51" s="12">
        <f>IFERROR(K51*(1-P51),"")</f>
        <v/>
      </c>
      <c r="M51" s="13" t="n"/>
      <c r="N51" s="12">
        <f>IFERROR(I51*(1-O51),"")</f>
        <v/>
      </c>
      <c r="O51" s="11" t="n">
        <v>0.35</v>
      </c>
      <c r="P51" s="11" t="n">
        <v>0.2</v>
      </c>
      <c r="Q51" s="14">
        <f>IFERROR(L51/I51,"")</f>
        <v/>
      </c>
      <c r="R51" s="14">
        <f>IF(OR(M51="",I51=0),"",M51/I51)</f>
        <v/>
      </c>
      <c r="S51" s="8" t="inlineStr">
        <is>
          <t>Automatic</t>
        </is>
      </c>
      <c r="T51" s="8" t="inlineStr">
        <is>
          <t>CSO</t>
        </is>
      </c>
      <c r="U51" s="15">
        <f>IF(M51="","REVIEW",IF(L51&lt;M51,"BLOCK","OK"))</f>
        <v/>
      </c>
      <c r="V51" s="15">
        <f>IF(J51&gt;O51,"BLOCK","OK")</f>
        <v/>
      </c>
      <c r="W51" s="15">
        <f>IF(P51&gt;IF(D51="Start",10%,IF(D51="Pro",15%,IF(OR(D51="Business",D51="Enterprise"),20%,30%))),"BLOCK","OK")</f>
        <v/>
      </c>
      <c r="X51" s="15">
        <f>IF(OR(M51="",R51=""),"REVIEW",IF(Q51&lt;R51,"BLOCK","OK"))</f>
        <v/>
      </c>
      <c r="Y51" s="8" t="inlineStr">
        <is>
          <t>No</t>
        </is>
      </c>
      <c r="Z51" s="15">
        <f>IF(AND(D51="Ultimate",Y51="Yes"),"BLOCK","OK")</f>
        <v/>
      </c>
      <c r="AA51" s="8" t="inlineStr">
        <is>
          <t>No</t>
        </is>
      </c>
      <c r="AB51" s="8" t="n"/>
      <c r="AC51" s="15">
        <f>IF(AND(AA51="Yes",AB51=""),"BLOCK","OK")</f>
        <v/>
      </c>
      <c r="AD51" s="16">
        <f>'MSRP Catalog'!M51</f>
        <v/>
      </c>
      <c r="AE51" s="15">
        <f>IF(AD51="","REVIEW",IF(AD51&lt;TODAY(),"BLOCK","OK"))</f>
        <v/>
      </c>
      <c r="AF51" s="8">
        <f>'MSRP Catalog'!K51</f>
        <v/>
      </c>
      <c r="AG51" s="8">
        <f>'MSRP Catalog'!N51</f>
        <v/>
      </c>
    </row>
    <row r="52">
      <c r="A52" s="8">
        <f>'MSRP Catalog'!A52</f>
        <v/>
      </c>
      <c r="B52" s="8">
        <f>'MSRP Catalog'!B52</f>
        <v/>
      </c>
      <c r="C52" s="8">
        <f>'MSRP Catalog'!C52</f>
        <v/>
      </c>
      <c r="D52" s="8">
        <f>'MSRP Catalog'!D52</f>
        <v/>
      </c>
      <c r="E52" s="8">
        <f>'MSRP Catalog'!E52</f>
        <v/>
      </c>
      <c r="F52" s="8">
        <f>'MSRP Catalog'!F52</f>
        <v/>
      </c>
      <c r="G52" s="8">
        <f>'MSRP Catalog'!G52</f>
        <v/>
      </c>
      <c r="H52" s="9">
        <f>'MSRP Catalog'!H52</f>
        <v/>
      </c>
      <c r="I52" s="10">
        <f>'MSRP Catalog'!I52</f>
        <v/>
      </c>
      <c r="J52" s="11" t="n">
        <v>0.1</v>
      </c>
      <c r="K52" s="12">
        <f>IFERROR(I52*(1-J52),"")</f>
        <v/>
      </c>
      <c r="L52" s="12">
        <f>IFERROR(K52*(1-P52),"")</f>
        <v/>
      </c>
      <c r="M52" s="13" t="n"/>
      <c r="N52" s="12">
        <f>IFERROR(I52*(1-O52),"")</f>
        <v/>
      </c>
      <c r="O52" s="11" t="n">
        <v>0.35</v>
      </c>
      <c r="P52" s="11" t="n">
        <v>0.2</v>
      </c>
      <c r="Q52" s="14">
        <f>IFERROR(L52/I52,"")</f>
        <v/>
      </c>
      <c r="R52" s="14">
        <f>IF(OR(M52="",I52=0),"",M52/I52)</f>
        <v/>
      </c>
      <c r="S52" s="8" t="inlineStr">
        <is>
          <t>Automatic</t>
        </is>
      </c>
      <c r="T52" s="8" t="inlineStr">
        <is>
          <t>CSO</t>
        </is>
      </c>
      <c r="U52" s="15">
        <f>IF(M52="","REVIEW",IF(L52&lt;M52,"BLOCK","OK"))</f>
        <v/>
      </c>
      <c r="V52" s="15">
        <f>IF(J52&gt;O52,"BLOCK","OK")</f>
        <v/>
      </c>
      <c r="W52" s="15">
        <f>IF(P52&gt;IF(D52="Start",10%,IF(D52="Pro",15%,IF(OR(D52="Business",D52="Enterprise"),20%,30%))),"BLOCK","OK")</f>
        <v/>
      </c>
      <c r="X52" s="15">
        <f>IF(OR(M52="",R52=""),"REVIEW",IF(Q52&lt;R52,"BLOCK","OK"))</f>
        <v/>
      </c>
      <c r="Y52" s="8" t="inlineStr">
        <is>
          <t>No</t>
        </is>
      </c>
      <c r="Z52" s="15">
        <f>IF(AND(D52="Ultimate",Y52="Yes"),"BLOCK","OK")</f>
        <v/>
      </c>
      <c r="AA52" s="8" t="inlineStr">
        <is>
          <t>No</t>
        </is>
      </c>
      <c r="AB52" s="8" t="n"/>
      <c r="AC52" s="15">
        <f>IF(AND(AA52="Yes",AB52=""),"BLOCK","OK")</f>
        <v/>
      </c>
      <c r="AD52" s="16">
        <f>'MSRP Catalog'!M52</f>
        <v/>
      </c>
      <c r="AE52" s="15">
        <f>IF(AD52="","REVIEW",IF(AD52&lt;TODAY(),"BLOCK","OK"))</f>
        <v/>
      </c>
      <c r="AF52" s="8">
        <f>'MSRP Catalog'!K52</f>
        <v/>
      </c>
      <c r="AG52" s="8">
        <f>'MSRP Catalog'!N52</f>
        <v/>
      </c>
    </row>
    <row r="53">
      <c r="A53" s="8">
        <f>'MSRP Catalog'!A53</f>
        <v/>
      </c>
      <c r="B53" s="8">
        <f>'MSRP Catalog'!B53</f>
        <v/>
      </c>
      <c r="C53" s="8">
        <f>'MSRP Catalog'!C53</f>
        <v/>
      </c>
      <c r="D53" s="8">
        <f>'MSRP Catalog'!D53</f>
        <v/>
      </c>
      <c r="E53" s="8">
        <f>'MSRP Catalog'!E53</f>
        <v/>
      </c>
      <c r="F53" s="8">
        <f>'MSRP Catalog'!F53</f>
        <v/>
      </c>
      <c r="G53" s="8">
        <f>'MSRP Catalog'!G53</f>
        <v/>
      </c>
      <c r="H53" s="9">
        <f>'MSRP Catalog'!H53</f>
        <v/>
      </c>
      <c r="I53" s="10">
        <f>'MSRP Catalog'!I53</f>
        <v/>
      </c>
      <c r="J53" s="11" t="n">
        <v>0.1</v>
      </c>
      <c r="K53" s="12">
        <f>IFERROR(I53*(1-J53),"")</f>
        <v/>
      </c>
      <c r="L53" s="12">
        <f>IFERROR(K53*(1-P53),"")</f>
        <v/>
      </c>
      <c r="M53" s="13" t="n"/>
      <c r="N53" s="12">
        <f>IFERROR(I53*(1-O53),"")</f>
        <v/>
      </c>
      <c r="O53" s="11" t="n">
        <v>0.35</v>
      </c>
      <c r="P53" s="11" t="n">
        <v>0.2</v>
      </c>
      <c r="Q53" s="14">
        <f>IFERROR(L53/I53,"")</f>
        <v/>
      </c>
      <c r="R53" s="14">
        <f>IF(OR(M53="",I53=0),"",M53/I53)</f>
        <v/>
      </c>
      <c r="S53" s="8" t="inlineStr">
        <is>
          <t>Automatic</t>
        </is>
      </c>
      <c r="T53" s="8" t="inlineStr">
        <is>
          <t>CSO</t>
        </is>
      </c>
      <c r="U53" s="15">
        <f>IF(M53="","REVIEW",IF(L53&lt;M53,"BLOCK","OK"))</f>
        <v/>
      </c>
      <c r="V53" s="15">
        <f>IF(J53&gt;O53,"BLOCK","OK")</f>
        <v/>
      </c>
      <c r="W53" s="15">
        <f>IF(P53&gt;IF(D53="Start",10%,IF(D53="Pro",15%,IF(OR(D53="Business",D53="Enterprise"),20%,30%))),"BLOCK","OK")</f>
        <v/>
      </c>
      <c r="X53" s="15">
        <f>IF(OR(M53="",R53=""),"REVIEW",IF(Q53&lt;R53,"BLOCK","OK"))</f>
        <v/>
      </c>
      <c r="Y53" s="8" t="inlineStr">
        <is>
          <t>No</t>
        </is>
      </c>
      <c r="Z53" s="15">
        <f>IF(AND(D53="Ultimate",Y53="Yes"),"BLOCK","OK")</f>
        <v/>
      </c>
      <c r="AA53" s="8" t="inlineStr">
        <is>
          <t>No</t>
        </is>
      </c>
      <c r="AB53" s="8" t="n"/>
      <c r="AC53" s="15">
        <f>IF(AND(AA53="Yes",AB53=""),"BLOCK","OK")</f>
        <v/>
      </c>
      <c r="AD53" s="16">
        <f>'MSRP Catalog'!M53</f>
        <v/>
      </c>
      <c r="AE53" s="15">
        <f>IF(AD53="","REVIEW",IF(AD53&lt;TODAY(),"BLOCK","OK"))</f>
        <v/>
      </c>
      <c r="AF53" s="8">
        <f>'MSRP Catalog'!K53</f>
        <v/>
      </c>
      <c r="AG53" s="8">
        <f>'MSRP Catalog'!N53</f>
        <v/>
      </c>
    </row>
    <row r="54">
      <c r="A54" s="8">
        <f>'MSRP Catalog'!A54</f>
        <v/>
      </c>
      <c r="B54" s="8">
        <f>'MSRP Catalog'!B54</f>
        <v/>
      </c>
      <c r="C54" s="8">
        <f>'MSRP Catalog'!C54</f>
        <v/>
      </c>
      <c r="D54" s="8">
        <f>'MSRP Catalog'!D54</f>
        <v/>
      </c>
      <c r="E54" s="8">
        <f>'MSRP Catalog'!E54</f>
        <v/>
      </c>
      <c r="F54" s="8">
        <f>'MSRP Catalog'!F54</f>
        <v/>
      </c>
      <c r="G54" s="8">
        <f>'MSRP Catalog'!G54</f>
        <v/>
      </c>
      <c r="H54" s="9">
        <f>'MSRP Catalog'!H54</f>
        <v/>
      </c>
      <c r="I54" s="10">
        <f>'MSRP Catalog'!I54</f>
        <v/>
      </c>
      <c r="J54" s="11" t="n">
        <v>0.1</v>
      </c>
      <c r="K54" s="12">
        <f>IFERROR(I54*(1-J54),"")</f>
        <v/>
      </c>
      <c r="L54" s="12">
        <f>IFERROR(K54*(1-P54),"")</f>
        <v/>
      </c>
      <c r="M54" s="13" t="n"/>
      <c r="N54" s="12">
        <f>IFERROR(I54*(1-O54),"")</f>
        <v/>
      </c>
      <c r="O54" s="11" t="n">
        <v>0.35</v>
      </c>
      <c r="P54" s="11" t="n">
        <v>0.2</v>
      </c>
      <c r="Q54" s="14">
        <f>IFERROR(L54/I54,"")</f>
        <v/>
      </c>
      <c r="R54" s="14">
        <f>IF(OR(M54="",I54=0),"",M54/I54)</f>
        <v/>
      </c>
      <c r="S54" s="8" t="inlineStr">
        <is>
          <t>Automatic</t>
        </is>
      </c>
      <c r="T54" s="8" t="inlineStr">
        <is>
          <t>CSO</t>
        </is>
      </c>
      <c r="U54" s="15">
        <f>IF(M54="","REVIEW",IF(L54&lt;M54,"BLOCK","OK"))</f>
        <v/>
      </c>
      <c r="V54" s="15">
        <f>IF(J54&gt;O54,"BLOCK","OK")</f>
        <v/>
      </c>
      <c r="W54" s="15">
        <f>IF(P54&gt;IF(D54="Start",10%,IF(D54="Pro",15%,IF(OR(D54="Business",D54="Enterprise"),20%,30%))),"BLOCK","OK")</f>
        <v/>
      </c>
      <c r="X54" s="15">
        <f>IF(OR(M54="",R54=""),"REVIEW",IF(Q54&lt;R54,"BLOCK","OK"))</f>
        <v/>
      </c>
      <c r="Y54" s="8" t="inlineStr">
        <is>
          <t>No</t>
        </is>
      </c>
      <c r="Z54" s="15">
        <f>IF(AND(D54="Ultimate",Y54="Yes"),"BLOCK","OK")</f>
        <v/>
      </c>
      <c r="AA54" s="8" t="inlineStr">
        <is>
          <t>No</t>
        </is>
      </c>
      <c r="AB54" s="8" t="n"/>
      <c r="AC54" s="15">
        <f>IF(AND(AA54="Yes",AB54=""),"BLOCK","OK")</f>
        <v/>
      </c>
      <c r="AD54" s="16">
        <f>'MSRP Catalog'!M54</f>
        <v/>
      </c>
      <c r="AE54" s="15">
        <f>IF(AD54="","REVIEW",IF(AD54&lt;TODAY(),"BLOCK","OK"))</f>
        <v/>
      </c>
      <c r="AF54" s="8">
        <f>'MSRP Catalog'!K54</f>
        <v/>
      </c>
      <c r="AG54" s="8">
        <f>'MSRP Catalog'!N54</f>
        <v/>
      </c>
    </row>
    <row r="55">
      <c r="A55" s="8">
        <f>'MSRP Catalog'!A55</f>
        <v/>
      </c>
      <c r="B55" s="8">
        <f>'MSRP Catalog'!B55</f>
        <v/>
      </c>
      <c r="C55" s="8">
        <f>'MSRP Catalog'!C55</f>
        <v/>
      </c>
      <c r="D55" s="8">
        <f>'MSRP Catalog'!D55</f>
        <v/>
      </c>
      <c r="E55" s="8">
        <f>'MSRP Catalog'!E55</f>
        <v/>
      </c>
      <c r="F55" s="8">
        <f>'MSRP Catalog'!F55</f>
        <v/>
      </c>
      <c r="G55" s="8">
        <f>'MSRP Catalog'!G55</f>
        <v/>
      </c>
      <c r="H55" s="9">
        <f>'MSRP Catalog'!H55</f>
        <v/>
      </c>
      <c r="I55" s="10">
        <f>'MSRP Catalog'!I55</f>
        <v/>
      </c>
      <c r="J55" s="11" t="n">
        <v>0.1</v>
      </c>
      <c r="K55" s="12">
        <f>IFERROR(I55*(1-J55),"")</f>
        <v/>
      </c>
      <c r="L55" s="12">
        <f>IFERROR(K55*(1-P55),"")</f>
        <v/>
      </c>
      <c r="M55" s="13" t="n"/>
      <c r="N55" s="12">
        <f>IFERROR(I55*(1-O55),"")</f>
        <v/>
      </c>
      <c r="O55" s="11" t="n">
        <v>0.35</v>
      </c>
      <c r="P55" s="11" t="n">
        <v>0.2</v>
      </c>
      <c r="Q55" s="14">
        <f>IFERROR(L55/I55,"")</f>
        <v/>
      </c>
      <c r="R55" s="14">
        <f>IF(OR(M55="",I55=0),"",M55/I55)</f>
        <v/>
      </c>
      <c r="S55" s="8" t="inlineStr">
        <is>
          <t>Automatic</t>
        </is>
      </c>
      <c r="T55" s="8" t="inlineStr">
        <is>
          <t>CSO</t>
        </is>
      </c>
      <c r="U55" s="15">
        <f>IF(M55="","REVIEW",IF(L55&lt;M55,"BLOCK","OK"))</f>
        <v/>
      </c>
      <c r="V55" s="15">
        <f>IF(J55&gt;O55,"BLOCK","OK")</f>
        <v/>
      </c>
      <c r="W55" s="15">
        <f>IF(P55&gt;IF(D55="Start",10%,IF(D55="Pro",15%,IF(OR(D55="Business",D55="Enterprise"),20%,30%))),"BLOCK","OK")</f>
        <v/>
      </c>
      <c r="X55" s="15">
        <f>IF(OR(M55="",R55=""),"REVIEW",IF(Q55&lt;R55,"BLOCK","OK"))</f>
        <v/>
      </c>
      <c r="Y55" s="8" t="inlineStr">
        <is>
          <t>No</t>
        </is>
      </c>
      <c r="Z55" s="15">
        <f>IF(AND(D55="Ultimate",Y55="Yes"),"BLOCK","OK")</f>
        <v/>
      </c>
      <c r="AA55" s="8" t="inlineStr">
        <is>
          <t>No</t>
        </is>
      </c>
      <c r="AB55" s="8" t="n"/>
      <c r="AC55" s="15">
        <f>IF(AND(AA55="Yes",AB55=""),"BLOCK","OK")</f>
        <v/>
      </c>
      <c r="AD55" s="16">
        <f>'MSRP Catalog'!M55</f>
        <v/>
      </c>
      <c r="AE55" s="15">
        <f>IF(AD55="","REVIEW",IF(AD55&lt;TODAY(),"BLOCK","OK"))</f>
        <v/>
      </c>
      <c r="AF55" s="8">
        <f>'MSRP Catalog'!K55</f>
        <v/>
      </c>
      <c r="AG55" s="8">
        <f>'MSRP Catalog'!N55</f>
        <v/>
      </c>
    </row>
    <row r="56">
      <c r="A56" s="8">
        <f>'MSRP Catalog'!A56</f>
        <v/>
      </c>
      <c r="B56" s="8">
        <f>'MSRP Catalog'!B56</f>
        <v/>
      </c>
      <c r="C56" s="8">
        <f>'MSRP Catalog'!C56</f>
        <v/>
      </c>
      <c r="D56" s="8">
        <f>'MSRP Catalog'!D56</f>
        <v/>
      </c>
      <c r="E56" s="8">
        <f>'MSRP Catalog'!E56</f>
        <v/>
      </c>
      <c r="F56" s="8">
        <f>'MSRP Catalog'!F56</f>
        <v/>
      </c>
      <c r="G56" s="8">
        <f>'MSRP Catalog'!G56</f>
        <v/>
      </c>
      <c r="H56" s="9">
        <f>'MSRP Catalog'!H56</f>
        <v/>
      </c>
      <c r="I56" s="10">
        <f>'MSRP Catalog'!I56</f>
        <v/>
      </c>
      <c r="J56" s="11" t="n">
        <v>0.1</v>
      </c>
      <c r="K56" s="12">
        <f>IFERROR(I56*(1-J56),"")</f>
        <v/>
      </c>
      <c r="L56" s="12">
        <f>IFERROR(K56*(1-P56),"")</f>
        <v/>
      </c>
      <c r="M56" s="13" t="n"/>
      <c r="N56" s="12">
        <f>IFERROR(I56*(1-O56),"")</f>
        <v/>
      </c>
      <c r="O56" s="11" t="n">
        <v>0.35</v>
      </c>
      <c r="P56" s="11" t="n">
        <v>0.2</v>
      </c>
      <c r="Q56" s="14">
        <f>IFERROR(L56/I56,"")</f>
        <v/>
      </c>
      <c r="R56" s="14">
        <f>IF(OR(M56="",I56=0),"",M56/I56)</f>
        <v/>
      </c>
      <c r="S56" s="8" t="inlineStr">
        <is>
          <t>Automatic</t>
        </is>
      </c>
      <c r="T56" s="8" t="inlineStr">
        <is>
          <t>CSO</t>
        </is>
      </c>
      <c r="U56" s="15">
        <f>IF(M56="","REVIEW",IF(L56&lt;M56,"BLOCK","OK"))</f>
        <v/>
      </c>
      <c r="V56" s="15">
        <f>IF(J56&gt;O56,"BLOCK","OK")</f>
        <v/>
      </c>
      <c r="W56" s="15">
        <f>IF(P56&gt;IF(D56="Start",10%,IF(D56="Pro",15%,IF(OR(D56="Business",D56="Enterprise"),20%,30%))),"BLOCK","OK")</f>
        <v/>
      </c>
      <c r="X56" s="15">
        <f>IF(OR(M56="",R56=""),"REVIEW",IF(Q56&lt;R56,"BLOCK","OK"))</f>
        <v/>
      </c>
      <c r="Y56" s="8" t="inlineStr">
        <is>
          <t>No</t>
        </is>
      </c>
      <c r="Z56" s="15">
        <f>IF(AND(D56="Ultimate",Y56="Yes"),"BLOCK","OK")</f>
        <v/>
      </c>
      <c r="AA56" s="8" t="inlineStr">
        <is>
          <t>No</t>
        </is>
      </c>
      <c r="AB56" s="8" t="n"/>
      <c r="AC56" s="15">
        <f>IF(AND(AA56="Yes",AB56=""),"BLOCK","OK")</f>
        <v/>
      </c>
      <c r="AD56" s="16">
        <f>'MSRP Catalog'!M56</f>
        <v/>
      </c>
      <c r="AE56" s="15">
        <f>IF(AD56="","REVIEW",IF(AD56&lt;TODAY(),"BLOCK","OK"))</f>
        <v/>
      </c>
      <c r="AF56" s="8">
        <f>'MSRP Catalog'!K56</f>
        <v/>
      </c>
      <c r="AG56" s="8">
        <f>'MSRP Catalog'!N56</f>
        <v/>
      </c>
    </row>
    <row r="57">
      <c r="A57" s="8">
        <f>'MSRP Catalog'!A57</f>
        <v/>
      </c>
      <c r="B57" s="8">
        <f>'MSRP Catalog'!B57</f>
        <v/>
      </c>
      <c r="C57" s="8">
        <f>'MSRP Catalog'!C57</f>
        <v/>
      </c>
      <c r="D57" s="8">
        <f>'MSRP Catalog'!D57</f>
        <v/>
      </c>
      <c r="E57" s="8">
        <f>'MSRP Catalog'!E57</f>
        <v/>
      </c>
      <c r="F57" s="8">
        <f>'MSRP Catalog'!F57</f>
        <v/>
      </c>
      <c r="G57" s="8">
        <f>'MSRP Catalog'!G57</f>
        <v/>
      </c>
      <c r="H57" s="9">
        <f>'MSRP Catalog'!H57</f>
        <v/>
      </c>
      <c r="I57" s="10">
        <f>'MSRP Catalog'!I57</f>
        <v/>
      </c>
      <c r="J57" s="11" t="n">
        <v>0.1</v>
      </c>
      <c r="K57" s="12">
        <f>IFERROR(I57*(1-J57),"")</f>
        <v/>
      </c>
      <c r="L57" s="12">
        <f>IFERROR(K57*(1-P57),"")</f>
        <v/>
      </c>
      <c r="M57" s="13" t="n"/>
      <c r="N57" s="12">
        <f>IFERROR(I57*(1-O57),"")</f>
        <v/>
      </c>
      <c r="O57" s="11" t="n">
        <v>0.35</v>
      </c>
      <c r="P57" s="11" t="n">
        <v>0.2</v>
      </c>
      <c r="Q57" s="14">
        <f>IFERROR(L57/I57,"")</f>
        <v/>
      </c>
      <c r="R57" s="14">
        <f>IF(OR(M57="",I57=0),"",M57/I57)</f>
        <v/>
      </c>
      <c r="S57" s="8" t="inlineStr">
        <is>
          <t>Automatic</t>
        </is>
      </c>
      <c r="T57" s="8" t="inlineStr">
        <is>
          <t>CSO</t>
        </is>
      </c>
      <c r="U57" s="15">
        <f>IF(M57="","REVIEW",IF(L57&lt;M57,"BLOCK","OK"))</f>
        <v/>
      </c>
      <c r="V57" s="15">
        <f>IF(J57&gt;O57,"BLOCK","OK")</f>
        <v/>
      </c>
      <c r="W57" s="15">
        <f>IF(P57&gt;IF(D57="Start",10%,IF(D57="Pro",15%,IF(OR(D57="Business",D57="Enterprise"),20%,30%))),"BLOCK","OK")</f>
        <v/>
      </c>
      <c r="X57" s="15">
        <f>IF(OR(M57="",R57=""),"REVIEW",IF(Q57&lt;R57,"BLOCK","OK"))</f>
        <v/>
      </c>
      <c r="Y57" s="8" t="inlineStr">
        <is>
          <t>No</t>
        </is>
      </c>
      <c r="Z57" s="15">
        <f>IF(AND(D57="Ultimate",Y57="Yes"),"BLOCK","OK")</f>
        <v/>
      </c>
      <c r="AA57" s="8" t="inlineStr">
        <is>
          <t>No</t>
        </is>
      </c>
      <c r="AB57" s="8" t="n"/>
      <c r="AC57" s="15">
        <f>IF(AND(AA57="Yes",AB57=""),"BLOCK","OK")</f>
        <v/>
      </c>
      <c r="AD57" s="16">
        <f>'MSRP Catalog'!M57</f>
        <v/>
      </c>
      <c r="AE57" s="15">
        <f>IF(AD57="","REVIEW",IF(AD57&lt;TODAY(),"BLOCK","OK"))</f>
        <v/>
      </c>
      <c r="AF57" s="8">
        <f>'MSRP Catalog'!K57</f>
        <v/>
      </c>
      <c r="AG57" s="8">
        <f>'MSRP Catalog'!N57</f>
        <v/>
      </c>
    </row>
    <row r="58">
      <c r="A58" s="8">
        <f>'MSRP Catalog'!A58</f>
        <v/>
      </c>
      <c r="B58" s="8">
        <f>'MSRP Catalog'!B58</f>
        <v/>
      </c>
      <c r="C58" s="8">
        <f>'MSRP Catalog'!C58</f>
        <v/>
      </c>
      <c r="D58" s="8">
        <f>'MSRP Catalog'!D58</f>
        <v/>
      </c>
      <c r="E58" s="8">
        <f>'MSRP Catalog'!E58</f>
        <v/>
      </c>
      <c r="F58" s="8">
        <f>'MSRP Catalog'!F58</f>
        <v/>
      </c>
      <c r="G58" s="8">
        <f>'MSRP Catalog'!G58</f>
        <v/>
      </c>
      <c r="H58" s="9">
        <f>'MSRP Catalog'!H58</f>
        <v/>
      </c>
      <c r="I58" s="10">
        <f>'MSRP Catalog'!I58</f>
        <v/>
      </c>
      <c r="J58" s="11" t="n">
        <v>0.1</v>
      </c>
      <c r="K58" s="12">
        <f>IFERROR(I58*(1-J58),"")</f>
        <v/>
      </c>
      <c r="L58" s="12">
        <f>IFERROR(K58*(1-P58),"")</f>
        <v/>
      </c>
      <c r="M58" s="13" t="n"/>
      <c r="N58" s="12">
        <f>IFERROR(I58*(1-O58),"")</f>
        <v/>
      </c>
      <c r="O58" s="11" t="n">
        <v>0.35</v>
      </c>
      <c r="P58" s="11" t="n">
        <v>0.2</v>
      </c>
      <c r="Q58" s="14">
        <f>IFERROR(L58/I58,"")</f>
        <v/>
      </c>
      <c r="R58" s="14">
        <f>IF(OR(M58="",I58=0),"",M58/I58)</f>
        <v/>
      </c>
      <c r="S58" s="8" t="inlineStr">
        <is>
          <t>Automatic</t>
        </is>
      </c>
      <c r="T58" s="8" t="inlineStr">
        <is>
          <t>CSO</t>
        </is>
      </c>
      <c r="U58" s="15">
        <f>IF(M58="","REVIEW",IF(L58&lt;M58,"BLOCK","OK"))</f>
        <v/>
      </c>
      <c r="V58" s="15">
        <f>IF(J58&gt;O58,"BLOCK","OK")</f>
        <v/>
      </c>
      <c r="W58" s="15">
        <f>IF(P58&gt;IF(D58="Start",10%,IF(D58="Pro",15%,IF(OR(D58="Business",D58="Enterprise"),20%,30%))),"BLOCK","OK")</f>
        <v/>
      </c>
      <c r="X58" s="15">
        <f>IF(OR(M58="",R58=""),"REVIEW",IF(Q58&lt;R58,"BLOCK","OK"))</f>
        <v/>
      </c>
      <c r="Y58" s="8" t="inlineStr">
        <is>
          <t>No</t>
        </is>
      </c>
      <c r="Z58" s="15">
        <f>IF(AND(D58="Ultimate",Y58="Yes"),"BLOCK","OK")</f>
        <v/>
      </c>
      <c r="AA58" s="8" t="inlineStr">
        <is>
          <t>No</t>
        </is>
      </c>
      <c r="AB58" s="8" t="n"/>
      <c r="AC58" s="15">
        <f>IF(AND(AA58="Yes",AB58=""),"BLOCK","OK")</f>
        <v/>
      </c>
      <c r="AD58" s="16">
        <f>'MSRP Catalog'!M58</f>
        <v/>
      </c>
      <c r="AE58" s="15">
        <f>IF(AD58="","REVIEW",IF(AD58&lt;TODAY(),"BLOCK","OK"))</f>
        <v/>
      </c>
      <c r="AF58" s="8">
        <f>'MSRP Catalog'!K58</f>
        <v/>
      </c>
      <c r="AG58" s="8">
        <f>'MSRP Catalog'!N58</f>
        <v/>
      </c>
    </row>
    <row r="59">
      <c r="A59" s="8">
        <f>'MSRP Catalog'!A59</f>
        <v/>
      </c>
      <c r="B59" s="8">
        <f>'MSRP Catalog'!B59</f>
        <v/>
      </c>
      <c r="C59" s="8">
        <f>'MSRP Catalog'!C59</f>
        <v/>
      </c>
      <c r="D59" s="8">
        <f>'MSRP Catalog'!D59</f>
        <v/>
      </c>
      <c r="E59" s="8">
        <f>'MSRP Catalog'!E59</f>
        <v/>
      </c>
      <c r="F59" s="8">
        <f>'MSRP Catalog'!F59</f>
        <v/>
      </c>
      <c r="G59" s="8">
        <f>'MSRP Catalog'!G59</f>
        <v/>
      </c>
      <c r="H59" s="9">
        <f>'MSRP Catalog'!H59</f>
        <v/>
      </c>
      <c r="I59" s="10">
        <f>'MSRP Catalog'!I59</f>
        <v/>
      </c>
      <c r="J59" s="11" t="n">
        <v>0.1</v>
      </c>
      <c r="K59" s="12">
        <f>IFERROR(I59*(1-J59),"")</f>
        <v/>
      </c>
      <c r="L59" s="12">
        <f>IFERROR(K59*(1-P59),"")</f>
        <v/>
      </c>
      <c r="M59" s="13" t="n"/>
      <c r="N59" s="12">
        <f>IFERROR(I59*(1-O59),"")</f>
        <v/>
      </c>
      <c r="O59" s="11" t="n">
        <v>0.35</v>
      </c>
      <c r="P59" s="11" t="n">
        <v>0.2</v>
      </c>
      <c r="Q59" s="14">
        <f>IFERROR(L59/I59,"")</f>
        <v/>
      </c>
      <c r="R59" s="14">
        <f>IF(OR(M59="",I59=0),"",M59/I59)</f>
        <v/>
      </c>
      <c r="S59" s="8" t="inlineStr">
        <is>
          <t>Automatic</t>
        </is>
      </c>
      <c r="T59" s="8" t="inlineStr">
        <is>
          <t>CSO</t>
        </is>
      </c>
      <c r="U59" s="15">
        <f>IF(M59="","REVIEW",IF(L59&lt;M59,"BLOCK","OK"))</f>
        <v/>
      </c>
      <c r="V59" s="15">
        <f>IF(J59&gt;O59,"BLOCK","OK")</f>
        <v/>
      </c>
      <c r="W59" s="15">
        <f>IF(P59&gt;IF(D59="Start",10%,IF(D59="Pro",15%,IF(OR(D59="Business",D59="Enterprise"),20%,30%))),"BLOCK","OK")</f>
        <v/>
      </c>
      <c r="X59" s="15">
        <f>IF(OR(M59="",R59=""),"REVIEW",IF(Q59&lt;R59,"BLOCK","OK"))</f>
        <v/>
      </c>
      <c r="Y59" s="8" t="inlineStr">
        <is>
          <t>No</t>
        </is>
      </c>
      <c r="Z59" s="15">
        <f>IF(AND(D59="Ultimate",Y59="Yes"),"BLOCK","OK")</f>
        <v/>
      </c>
      <c r="AA59" s="8" t="inlineStr">
        <is>
          <t>No</t>
        </is>
      </c>
      <c r="AB59" s="8" t="n"/>
      <c r="AC59" s="15">
        <f>IF(AND(AA59="Yes",AB59=""),"BLOCK","OK")</f>
        <v/>
      </c>
      <c r="AD59" s="16">
        <f>'MSRP Catalog'!M59</f>
        <v/>
      </c>
      <c r="AE59" s="15">
        <f>IF(AD59="","REVIEW",IF(AD59&lt;TODAY(),"BLOCK","OK"))</f>
        <v/>
      </c>
      <c r="AF59" s="8">
        <f>'MSRP Catalog'!K59</f>
        <v/>
      </c>
      <c r="AG59" s="8">
        <f>'MSRP Catalog'!N59</f>
        <v/>
      </c>
    </row>
    <row r="60">
      <c r="A60" s="8">
        <f>'MSRP Catalog'!A60</f>
        <v/>
      </c>
      <c r="B60" s="8">
        <f>'MSRP Catalog'!B60</f>
        <v/>
      </c>
      <c r="C60" s="8">
        <f>'MSRP Catalog'!C60</f>
        <v/>
      </c>
      <c r="D60" s="8">
        <f>'MSRP Catalog'!D60</f>
        <v/>
      </c>
      <c r="E60" s="8">
        <f>'MSRP Catalog'!E60</f>
        <v/>
      </c>
      <c r="F60" s="8">
        <f>'MSRP Catalog'!F60</f>
        <v/>
      </c>
      <c r="G60" s="8">
        <f>'MSRP Catalog'!G60</f>
        <v/>
      </c>
      <c r="H60" s="9">
        <f>'MSRP Catalog'!H60</f>
        <v/>
      </c>
      <c r="I60" s="10">
        <f>'MSRP Catalog'!I60</f>
        <v/>
      </c>
      <c r="J60" s="11" t="n">
        <v>0.1</v>
      </c>
      <c r="K60" s="12">
        <f>IFERROR(I60*(1-J60),"")</f>
        <v/>
      </c>
      <c r="L60" s="12">
        <f>IFERROR(K60*(1-P60),"")</f>
        <v/>
      </c>
      <c r="M60" s="13" t="n"/>
      <c r="N60" s="12">
        <f>IFERROR(I60*(1-O60),"")</f>
        <v/>
      </c>
      <c r="O60" s="11" t="n">
        <v>0.35</v>
      </c>
      <c r="P60" s="11" t="n">
        <v>0.2</v>
      </c>
      <c r="Q60" s="14">
        <f>IFERROR(L60/I60,"")</f>
        <v/>
      </c>
      <c r="R60" s="14">
        <f>IF(OR(M60="",I60=0),"",M60/I60)</f>
        <v/>
      </c>
      <c r="S60" s="8" t="inlineStr">
        <is>
          <t>Automatic</t>
        </is>
      </c>
      <c r="T60" s="8" t="inlineStr">
        <is>
          <t>CSO</t>
        </is>
      </c>
      <c r="U60" s="15">
        <f>IF(M60="","REVIEW",IF(L60&lt;M60,"BLOCK","OK"))</f>
        <v/>
      </c>
      <c r="V60" s="15">
        <f>IF(J60&gt;O60,"BLOCK","OK")</f>
        <v/>
      </c>
      <c r="W60" s="15">
        <f>IF(P60&gt;IF(D60="Start",10%,IF(D60="Pro",15%,IF(OR(D60="Business",D60="Enterprise"),20%,30%))),"BLOCK","OK")</f>
        <v/>
      </c>
      <c r="X60" s="15">
        <f>IF(OR(M60="",R60=""),"REVIEW",IF(Q60&lt;R60,"BLOCK","OK"))</f>
        <v/>
      </c>
      <c r="Y60" s="8" t="inlineStr">
        <is>
          <t>No</t>
        </is>
      </c>
      <c r="Z60" s="15">
        <f>IF(AND(D60="Ultimate",Y60="Yes"),"BLOCK","OK")</f>
        <v/>
      </c>
      <c r="AA60" s="8" t="inlineStr">
        <is>
          <t>No</t>
        </is>
      </c>
      <c r="AB60" s="8" t="n"/>
      <c r="AC60" s="15">
        <f>IF(AND(AA60="Yes",AB60=""),"BLOCK","OK")</f>
        <v/>
      </c>
      <c r="AD60" s="16">
        <f>'MSRP Catalog'!M60</f>
        <v/>
      </c>
      <c r="AE60" s="15">
        <f>IF(AD60="","REVIEW",IF(AD60&lt;TODAY(),"BLOCK","OK"))</f>
        <v/>
      </c>
      <c r="AF60" s="8">
        <f>'MSRP Catalog'!K60</f>
        <v/>
      </c>
      <c r="AG60" s="8">
        <f>'MSRP Catalog'!N60</f>
        <v/>
      </c>
    </row>
    <row r="61">
      <c r="A61" s="8">
        <f>'MSRP Catalog'!A61</f>
        <v/>
      </c>
      <c r="B61" s="8">
        <f>'MSRP Catalog'!B61</f>
        <v/>
      </c>
      <c r="C61" s="8">
        <f>'MSRP Catalog'!C61</f>
        <v/>
      </c>
      <c r="D61" s="8">
        <f>'MSRP Catalog'!D61</f>
        <v/>
      </c>
      <c r="E61" s="8">
        <f>'MSRP Catalog'!E61</f>
        <v/>
      </c>
      <c r="F61" s="8">
        <f>'MSRP Catalog'!F61</f>
        <v/>
      </c>
      <c r="G61" s="8">
        <f>'MSRP Catalog'!G61</f>
        <v/>
      </c>
      <c r="H61" s="9">
        <f>'MSRP Catalog'!H61</f>
        <v/>
      </c>
      <c r="I61" s="10">
        <f>'MSRP Catalog'!I61</f>
        <v/>
      </c>
      <c r="J61" s="11" t="n">
        <v>0.1</v>
      </c>
      <c r="K61" s="12">
        <f>IFERROR(I61*(1-J61),"")</f>
        <v/>
      </c>
      <c r="L61" s="12">
        <f>IFERROR(K61*(1-P61),"")</f>
        <v/>
      </c>
      <c r="M61" s="13" t="n"/>
      <c r="N61" s="12">
        <f>IFERROR(I61*(1-O61),"")</f>
        <v/>
      </c>
      <c r="O61" s="11" t="n">
        <v>0.35</v>
      </c>
      <c r="P61" s="11" t="n">
        <v>0.3</v>
      </c>
      <c r="Q61" s="14">
        <f>IFERROR(L61/I61,"")</f>
        <v/>
      </c>
      <c r="R61" s="14">
        <f>IF(OR(M61="",I61=0),"",M61/I61)</f>
        <v/>
      </c>
      <c r="S61" s="8" t="inlineStr">
        <is>
          <t>Automatic</t>
        </is>
      </c>
      <c r="T61" s="8" t="inlineStr">
        <is>
          <t>CSO</t>
        </is>
      </c>
      <c r="U61" s="15">
        <f>IF(M61="","REVIEW",IF(L61&lt;M61,"BLOCK","OK"))</f>
        <v/>
      </c>
      <c r="V61" s="15">
        <f>IF(J61&gt;O61,"BLOCK","OK")</f>
        <v/>
      </c>
      <c r="W61" s="15">
        <f>IF(P61&gt;IF(D61="Start",10%,IF(D61="Pro",15%,IF(OR(D61="Business",D61="Enterprise"),20%,30%))),"BLOCK","OK")</f>
        <v/>
      </c>
      <c r="X61" s="15">
        <f>IF(OR(M61="",R61=""),"REVIEW",IF(Q61&lt;R61,"BLOCK","OK"))</f>
        <v/>
      </c>
      <c r="Y61" s="8" t="inlineStr">
        <is>
          <t>No</t>
        </is>
      </c>
      <c r="Z61" s="15">
        <f>IF(AND(D61="Ultimate",Y61="Yes"),"BLOCK","OK")</f>
        <v/>
      </c>
      <c r="AA61" s="8" t="inlineStr">
        <is>
          <t>No</t>
        </is>
      </c>
      <c r="AB61" s="8" t="n"/>
      <c r="AC61" s="15">
        <f>IF(AND(AA61="Yes",AB61=""),"BLOCK","OK")</f>
        <v/>
      </c>
      <c r="AD61" s="16">
        <f>'MSRP Catalog'!M61</f>
        <v/>
      </c>
      <c r="AE61" s="15">
        <f>IF(AD61="","REVIEW",IF(AD61&lt;TODAY(),"BLOCK","OK"))</f>
        <v/>
      </c>
      <c r="AF61" s="8">
        <f>'MSRP Catalog'!K61</f>
        <v/>
      </c>
      <c r="AG61" s="8">
        <f>'MSRP Catalog'!N61</f>
        <v/>
      </c>
    </row>
    <row r="62">
      <c r="A62" s="8">
        <f>'MSRP Catalog'!A62</f>
        <v/>
      </c>
      <c r="B62" s="8">
        <f>'MSRP Catalog'!B62</f>
        <v/>
      </c>
      <c r="C62" s="8">
        <f>'MSRP Catalog'!C62</f>
        <v/>
      </c>
      <c r="D62" s="8">
        <f>'MSRP Catalog'!D62</f>
        <v/>
      </c>
      <c r="E62" s="8">
        <f>'MSRP Catalog'!E62</f>
        <v/>
      </c>
      <c r="F62" s="8">
        <f>'MSRP Catalog'!F62</f>
        <v/>
      </c>
      <c r="G62" s="8">
        <f>'MSRP Catalog'!G62</f>
        <v/>
      </c>
      <c r="H62" s="9">
        <f>'MSRP Catalog'!H62</f>
        <v/>
      </c>
      <c r="I62" s="10">
        <f>'MSRP Catalog'!I62</f>
        <v/>
      </c>
      <c r="J62" s="11" t="n">
        <v>0.1</v>
      </c>
      <c r="K62" s="12">
        <f>IFERROR(I62*(1-J62),"")</f>
        <v/>
      </c>
      <c r="L62" s="12">
        <f>IFERROR(K62*(1-P62),"")</f>
        <v/>
      </c>
      <c r="M62" s="13" t="n"/>
      <c r="N62" s="12">
        <f>IFERROR(I62*(1-O62),"")</f>
        <v/>
      </c>
      <c r="O62" s="11" t="n">
        <v>0.35</v>
      </c>
      <c r="P62" s="11" t="n">
        <v>0.3</v>
      </c>
      <c r="Q62" s="14">
        <f>IFERROR(L62/I62,"")</f>
        <v/>
      </c>
      <c r="R62" s="14">
        <f>IF(OR(M62="",I62=0),"",M62/I62)</f>
        <v/>
      </c>
      <c r="S62" s="8" t="inlineStr">
        <is>
          <t>Automatic</t>
        </is>
      </c>
      <c r="T62" s="8" t="inlineStr">
        <is>
          <t>CSO</t>
        </is>
      </c>
      <c r="U62" s="15">
        <f>IF(M62="","REVIEW",IF(L62&lt;M62,"BLOCK","OK"))</f>
        <v/>
      </c>
      <c r="V62" s="15">
        <f>IF(J62&gt;O62,"BLOCK","OK")</f>
        <v/>
      </c>
      <c r="W62" s="15">
        <f>IF(P62&gt;IF(D62="Start",10%,IF(D62="Pro",15%,IF(OR(D62="Business",D62="Enterprise"),20%,30%))),"BLOCK","OK")</f>
        <v/>
      </c>
      <c r="X62" s="15">
        <f>IF(OR(M62="",R62=""),"REVIEW",IF(Q62&lt;R62,"BLOCK","OK"))</f>
        <v/>
      </c>
      <c r="Y62" s="8" t="inlineStr">
        <is>
          <t>No</t>
        </is>
      </c>
      <c r="Z62" s="15">
        <f>IF(AND(D62="Ultimate",Y62="Yes"),"BLOCK","OK")</f>
        <v/>
      </c>
      <c r="AA62" s="8" t="inlineStr">
        <is>
          <t>No</t>
        </is>
      </c>
      <c r="AB62" s="8" t="n"/>
      <c r="AC62" s="15">
        <f>IF(AND(AA62="Yes",AB62=""),"BLOCK","OK")</f>
        <v/>
      </c>
      <c r="AD62" s="16">
        <f>'MSRP Catalog'!M62</f>
        <v/>
      </c>
      <c r="AE62" s="15">
        <f>IF(AD62="","REVIEW",IF(AD62&lt;TODAY(),"BLOCK","OK"))</f>
        <v/>
      </c>
      <c r="AF62" s="8">
        <f>'MSRP Catalog'!K62</f>
        <v/>
      </c>
      <c r="AG62" s="8">
        <f>'MSRP Catalog'!N62</f>
        <v/>
      </c>
    </row>
    <row r="63">
      <c r="A63" s="8">
        <f>'MSRP Catalog'!A63</f>
        <v/>
      </c>
      <c r="B63" s="8">
        <f>'MSRP Catalog'!B63</f>
        <v/>
      </c>
      <c r="C63" s="8">
        <f>'MSRP Catalog'!C63</f>
        <v/>
      </c>
      <c r="D63" s="8">
        <f>'MSRP Catalog'!D63</f>
        <v/>
      </c>
      <c r="E63" s="8">
        <f>'MSRP Catalog'!E63</f>
        <v/>
      </c>
      <c r="F63" s="8">
        <f>'MSRP Catalog'!F63</f>
        <v/>
      </c>
      <c r="G63" s="8">
        <f>'MSRP Catalog'!G63</f>
        <v/>
      </c>
      <c r="H63" s="9">
        <f>'MSRP Catalog'!H63</f>
        <v/>
      </c>
      <c r="I63" s="10">
        <f>'MSRP Catalog'!I63</f>
        <v/>
      </c>
      <c r="J63" s="11" t="n">
        <v>0.1</v>
      </c>
      <c r="K63" s="12">
        <f>IFERROR(I63*(1-J63),"")</f>
        <v/>
      </c>
      <c r="L63" s="12">
        <f>IFERROR(K63*(1-P63),"")</f>
        <v/>
      </c>
      <c r="M63" s="13" t="n"/>
      <c r="N63" s="12">
        <f>IFERROR(I63*(1-O63),"")</f>
        <v/>
      </c>
      <c r="O63" s="11" t="n">
        <v>0.35</v>
      </c>
      <c r="P63" s="11" t="n">
        <v>0.3</v>
      </c>
      <c r="Q63" s="14">
        <f>IFERROR(L63/I63,"")</f>
        <v/>
      </c>
      <c r="R63" s="14">
        <f>IF(OR(M63="",I63=0),"",M63/I63)</f>
        <v/>
      </c>
      <c r="S63" s="8" t="inlineStr">
        <is>
          <t>Automatic</t>
        </is>
      </c>
      <c r="T63" s="8" t="inlineStr">
        <is>
          <t>CSO</t>
        </is>
      </c>
      <c r="U63" s="15">
        <f>IF(M63="","REVIEW",IF(L63&lt;M63,"BLOCK","OK"))</f>
        <v/>
      </c>
      <c r="V63" s="15">
        <f>IF(J63&gt;O63,"BLOCK","OK")</f>
        <v/>
      </c>
      <c r="W63" s="15">
        <f>IF(P63&gt;IF(D63="Start",10%,IF(D63="Pro",15%,IF(OR(D63="Business",D63="Enterprise"),20%,30%))),"BLOCK","OK")</f>
        <v/>
      </c>
      <c r="X63" s="15">
        <f>IF(OR(M63="",R63=""),"REVIEW",IF(Q63&lt;R63,"BLOCK","OK"))</f>
        <v/>
      </c>
      <c r="Y63" s="8" t="inlineStr">
        <is>
          <t>No</t>
        </is>
      </c>
      <c r="Z63" s="15">
        <f>IF(AND(D63="Ultimate",Y63="Yes"),"BLOCK","OK")</f>
        <v/>
      </c>
      <c r="AA63" s="8" t="inlineStr">
        <is>
          <t>No</t>
        </is>
      </c>
      <c r="AB63" s="8" t="n"/>
      <c r="AC63" s="15">
        <f>IF(AND(AA63="Yes",AB63=""),"BLOCK","OK")</f>
        <v/>
      </c>
      <c r="AD63" s="16">
        <f>'MSRP Catalog'!M63</f>
        <v/>
      </c>
      <c r="AE63" s="15">
        <f>IF(AD63="","REVIEW",IF(AD63&lt;TODAY(),"BLOCK","OK"))</f>
        <v/>
      </c>
      <c r="AF63" s="8">
        <f>'MSRP Catalog'!K63</f>
        <v/>
      </c>
      <c r="AG63" s="8">
        <f>'MSRP Catalog'!N63</f>
        <v/>
      </c>
    </row>
    <row r="64">
      <c r="A64" s="8">
        <f>'MSRP Catalog'!A64</f>
        <v/>
      </c>
      <c r="B64" s="8">
        <f>'MSRP Catalog'!B64</f>
        <v/>
      </c>
      <c r="C64" s="8">
        <f>'MSRP Catalog'!C64</f>
        <v/>
      </c>
      <c r="D64" s="8">
        <f>'MSRP Catalog'!D64</f>
        <v/>
      </c>
      <c r="E64" s="8">
        <f>'MSRP Catalog'!E64</f>
        <v/>
      </c>
      <c r="F64" s="8">
        <f>'MSRP Catalog'!F64</f>
        <v/>
      </c>
      <c r="G64" s="8">
        <f>'MSRP Catalog'!G64</f>
        <v/>
      </c>
      <c r="H64" s="9">
        <f>'MSRP Catalog'!H64</f>
        <v/>
      </c>
      <c r="I64" s="10">
        <f>'MSRP Catalog'!I64</f>
        <v/>
      </c>
      <c r="J64" s="11" t="n">
        <v>0.1</v>
      </c>
      <c r="K64" s="12">
        <f>IFERROR(I64*(1-J64),"")</f>
        <v/>
      </c>
      <c r="L64" s="12">
        <f>IFERROR(K64*(1-P64),"")</f>
        <v/>
      </c>
      <c r="M64" s="13" t="n"/>
      <c r="N64" s="12">
        <f>IFERROR(I64*(1-O64),"")</f>
        <v/>
      </c>
      <c r="O64" s="11" t="n">
        <v>0.35</v>
      </c>
      <c r="P64" s="11" t="n">
        <v>0.3</v>
      </c>
      <c r="Q64" s="14">
        <f>IFERROR(L64/I64,"")</f>
        <v/>
      </c>
      <c r="R64" s="14">
        <f>IF(OR(M64="",I64=0),"",M64/I64)</f>
        <v/>
      </c>
      <c r="S64" s="8" t="inlineStr">
        <is>
          <t>Automatic</t>
        </is>
      </c>
      <c r="T64" s="8" t="inlineStr">
        <is>
          <t>CSO</t>
        </is>
      </c>
      <c r="U64" s="15">
        <f>IF(M64="","REVIEW",IF(L64&lt;M64,"BLOCK","OK"))</f>
        <v/>
      </c>
      <c r="V64" s="15">
        <f>IF(J64&gt;O64,"BLOCK","OK")</f>
        <v/>
      </c>
      <c r="W64" s="15">
        <f>IF(P64&gt;IF(D64="Start",10%,IF(D64="Pro",15%,IF(OR(D64="Business",D64="Enterprise"),20%,30%))),"BLOCK","OK")</f>
        <v/>
      </c>
      <c r="X64" s="15">
        <f>IF(OR(M64="",R64=""),"REVIEW",IF(Q64&lt;R64,"BLOCK","OK"))</f>
        <v/>
      </c>
      <c r="Y64" s="8" t="inlineStr">
        <is>
          <t>No</t>
        </is>
      </c>
      <c r="Z64" s="15">
        <f>IF(AND(D64="Ultimate",Y64="Yes"),"BLOCK","OK")</f>
        <v/>
      </c>
      <c r="AA64" s="8" t="inlineStr">
        <is>
          <t>No</t>
        </is>
      </c>
      <c r="AB64" s="8" t="n"/>
      <c r="AC64" s="15">
        <f>IF(AND(AA64="Yes",AB64=""),"BLOCK","OK")</f>
        <v/>
      </c>
      <c r="AD64" s="16">
        <f>'MSRP Catalog'!M64</f>
        <v/>
      </c>
      <c r="AE64" s="15">
        <f>IF(AD64="","REVIEW",IF(AD64&lt;TODAY(),"BLOCK","OK"))</f>
        <v/>
      </c>
      <c r="AF64" s="8">
        <f>'MSRP Catalog'!K64</f>
        <v/>
      </c>
      <c r="AG64" s="8">
        <f>'MSRP Catalog'!N64</f>
        <v/>
      </c>
    </row>
    <row r="65">
      <c r="A65" s="8">
        <f>'MSRP Catalog'!A65</f>
        <v/>
      </c>
      <c r="B65" s="8">
        <f>'MSRP Catalog'!B65</f>
        <v/>
      </c>
      <c r="C65" s="8">
        <f>'MSRP Catalog'!C65</f>
        <v/>
      </c>
      <c r="D65" s="8">
        <f>'MSRP Catalog'!D65</f>
        <v/>
      </c>
      <c r="E65" s="8">
        <f>'MSRP Catalog'!E65</f>
        <v/>
      </c>
      <c r="F65" s="8">
        <f>'MSRP Catalog'!F65</f>
        <v/>
      </c>
      <c r="G65" s="8">
        <f>'MSRP Catalog'!G65</f>
        <v/>
      </c>
      <c r="H65" s="9">
        <f>'MSRP Catalog'!H65</f>
        <v/>
      </c>
      <c r="I65" s="10">
        <f>'MSRP Catalog'!I65</f>
        <v/>
      </c>
      <c r="J65" s="11" t="n">
        <v>0.1</v>
      </c>
      <c r="K65" s="12">
        <f>IFERROR(I65*(1-J65),"")</f>
        <v/>
      </c>
      <c r="L65" s="12">
        <f>IFERROR(K65*(1-P65),"")</f>
        <v/>
      </c>
      <c r="M65" s="13" t="n"/>
      <c r="N65" s="12">
        <f>IFERROR(I65*(1-O65),"")</f>
        <v/>
      </c>
      <c r="O65" s="11" t="n">
        <v>0.35</v>
      </c>
      <c r="P65" s="11" t="n">
        <v>0.3</v>
      </c>
      <c r="Q65" s="14">
        <f>IFERROR(L65/I65,"")</f>
        <v/>
      </c>
      <c r="R65" s="14">
        <f>IF(OR(M65="",I65=0),"",M65/I65)</f>
        <v/>
      </c>
      <c r="S65" s="8" t="inlineStr">
        <is>
          <t>Automatic</t>
        </is>
      </c>
      <c r="T65" s="8" t="inlineStr">
        <is>
          <t>CSO</t>
        </is>
      </c>
      <c r="U65" s="15">
        <f>IF(M65="","REVIEW",IF(L65&lt;M65,"BLOCK","OK"))</f>
        <v/>
      </c>
      <c r="V65" s="15">
        <f>IF(J65&gt;O65,"BLOCK","OK")</f>
        <v/>
      </c>
      <c r="W65" s="15">
        <f>IF(P65&gt;IF(D65="Start",10%,IF(D65="Pro",15%,IF(OR(D65="Business",D65="Enterprise"),20%,30%))),"BLOCK","OK")</f>
        <v/>
      </c>
      <c r="X65" s="15">
        <f>IF(OR(M65="",R65=""),"REVIEW",IF(Q65&lt;R65,"BLOCK","OK"))</f>
        <v/>
      </c>
      <c r="Y65" s="8" t="inlineStr">
        <is>
          <t>No</t>
        </is>
      </c>
      <c r="Z65" s="15">
        <f>IF(AND(D65="Ultimate",Y65="Yes"),"BLOCK","OK")</f>
        <v/>
      </c>
      <c r="AA65" s="8" t="inlineStr">
        <is>
          <t>No</t>
        </is>
      </c>
      <c r="AB65" s="8" t="n"/>
      <c r="AC65" s="15">
        <f>IF(AND(AA65="Yes",AB65=""),"BLOCK","OK")</f>
        <v/>
      </c>
      <c r="AD65" s="16">
        <f>'MSRP Catalog'!M65</f>
        <v/>
      </c>
      <c r="AE65" s="15">
        <f>IF(AD65="","REVIEW",IF(AD65&lt;TODAY(),"BLOCK","OK"))</f>
        <v/>
      </c>
      <c r="AF65" s="8">
        <f>'MSRP Catalog'!K65</f>
        <v/>
      </c>
      <c r="AG65" s="8">
        <f>'MSRP Catalog'!N65</f>
        <v/>
      </c>
    </row>
    <row r="66">
      <c r="A66" s="8">
        <f>'MSRP Catalog'!A66</f>
        <v/>
      </c>
      <c r="B66" s="8">
        <f>'MSRP Catalog'!B66</f>
        <v/>
      </c>
      <c r="C66" s="8">
        <f>'MSRP Catalog'!C66</f>
        <v/>
      </c>
      <c r="D66" s="8">
        <f>'MSRP Catalog'!D66</f>
        <v/>
      </c>
      <c r="E66" s="8">
        <f>'MSRP Catalog'!E66</f>
        <v/>
      </c>
      <c r="F66" s="8">
        <f>'MSRP Catalog'!F66</f>
        <v/>
      </c>
      <c r="G66" s="8">
        <f>'MSRP Catalog'!G66</f>
        <v/>
      </c>
      <c r="H66" s="9">
        <f>'MSRP Catalog'!H66</f>
        <v/>
      </c>
      <c r="I66" s="10">
        <f>'MSRP Catalog'!I66</f>
        <v/>
      </c>
      <c r="J66" s="11" t="n">
        <v>0.1</v>
      </c>
      <c r="K66" s="12">
        <f>IFERROR(I66*(1-J66),"")</f>
        <v/>
      </c>
      <c r="L66" s="12">
        <f>IFERROR(K66*(1-P66),"")</f>
        <v/>
      </c>
      <c r="M66" s="13" t="n"/>
      <c r="N66" s="12">
        <f>IFERROR(I66*(1-O66),"")</f>
        <v/>
      </c>
      <c r="O66" s="11" t="n">
        <v>0.35</v>
      </c>
      <c r="P66" s="11" t="n">
        <v>0.3</v>
      </c>
      <c r="Q66" s="14">
        <f>IFERROR(L66/I66,"")</f>
        <v/>
      </c>
      <c r="R66" s="14">
        <f>IF(OR(M66="",I66=0),"",M66/I66)</f>
        <v/>
      </c>
      <c r="S66" s="8" t="inlineStr">
        <is>
          <t>Automatic</t>
        </is>
      </c>
      <c r="T66" s="8" t="inlineStr">
        <is>
          <t>CSO</t>
        </is>
      </c>
      <c r="U66" s="15">
        <f>IF(M66="","REVIEW",IF(L66&lt;M66,"BLOCK","OK"))</f>
        <v/>
      </c>
      <c r="V66" s="15">
        <f>IF(J66&gt;O66,"BLOCK","OK")</f>
        <v/>
      </c>
      <c r="W66" s="15">
        <f>IF(P66&gt;IF(D66="Start",10%,IF(D66="Pro",15%,IF(OR(D66="Business",D66="Enterprise"),20%,30%))),"BLOCK","OK")</f>
        <v/>
      </c>
      <c r="X66" s="15">
        <f>IF(OR(M66="",R66=""),"REVIEW",IF(Q66&lt;R66,"BLOCK","OK"))</f>
        <v/>
      </c>
      <c r="Y66" s="8" t="inlineStr">
        <is>
          <t>No</t>
        </is>
      </c>
      <c r="Z66" s="15">
        <f>IF(AND(D66="Ultimate",Y66="Yes"),"BLOCK","OK")</f>
        <v/>
      </c>
      <c r="AA66" s="8" t="inlineStr">
        <is>
          <t>No</t>
        </is>
      </c>
      <c r="AB66" s="8" t="n"/>
      <c r="AC66" s="15">
        <f>IF(AND(AA66="Yes",AB66=""),"BLOCK","OK")</f>
        <v/>
      </c>
      <c r="AD66" s="16">
        <f>'MSRP Catalog'!M66</f>
        <v/>
      </c>
      <c r="AE66" s="15">
        <f>IF(AD66="","REVIEW",IF(AD66&lt;TODAY(),"BLOCK","OK"))</f>
        <v/>
      </c>
      <c r="AF66" s="8">
        <f>'MSRP Catalog'!K66</f>
        <v/>
      </c>
      <c r="AG66" s="8">
        <f>'MSRP Catalog'!N66</f>
        <v/>
      </c>
    </row>
    <row r="67">
      <c r="A67" s="8">
        <f>'MSRP Catalog'!A67</f>
        <v/>
      </c>
      <c r="B67" s="8">
        <f>'MSRP Catalog'!B67</f>
        <v/>
      </c>
      <c r="C67" s="8">
        <f>'MSRP Catalog'!C67</f>
        <v/>
      </c>
      <c r="D67" s="8">
        <f>'MSRP Catalog'!D67</f>
        <v/>
      </c>
      <c r="E67" s="8">
        <f>'MSRP Catalog'!E67</f>
        <v/>
      </c>
      <c r="F67" s="8">
        <f>'MSRP Catalog'!F67</f>
        <v/>
      </c>
      <c r="G67" s="8">
        <f>'MSRP Catalog'!G67</f>
        <v/>
      </c>
      <c r="H67" s="9">
        <f>'MSRP Catalog'!H67</f>
        <v/>
      </c>
      <c r="I67" s="10">
        <f>'MSRP Catalog'!I67</f>
        <v/>
      </c>
      <c r="J67" s="11" t="n">
        <v>0.1</v>
      </c>
      <c r="K67" s="12">
        <f>IFERROR(I67*(1-J67),"")</f>
        <v/>
      </c>
      <c r="L67" s="12">
        <f>IFERROR(K67*(1-P67),"")</f>
        <v/>
      </c>
      <c r="M67" s="13" t="n"/>
      <c r="N67" s="12">
        <f>IFERROR(I67*(1-O67),"")</f>
        <v/>
      </c>
      <c r="O67" s="11" t="n">
        <v>0.35</v>
      </c>
      <c r="P67" s="11" t="n">
        <v>0.3</v>
      </c>
      <c r="Q67" s="14">
        <f>IFERROR(L67/I67,"")</f>
        <v/>
      </c>
      <c r="R67" s="14">
        <f>IF(OR(M67="",I67=0),"",M67/I67)</f>
        <v/>
      </c>
      <c r="S67" s="8" t="inlineStr">
        <is>
          <t>Automatic</t>
        </is>
      </c>
      <c r="T67" s="8" t="inlineStr">
        <is>
          <t>CSO</t>
        </is>
      </c>
      <c r="U67" s="15">
        <f>IF(M67="","REVIEW",IF(L67&lt;M67,"BLOCK","OK"))</f>
        <v/>
      </c>
      <c r="V67" s="15">
        <f>IF(J67&gt;O67,"BLOCK","OK")</f>
        <v/>
      </c>
      <c r="W67" s="15">
        <f>IF(P67&gt;IF(D67="Start",10%,IF(D67="Pro",15%,IF(OR(D67="Business",D67="Enterprise"),20%,30%))),"BLOCK","OK")</f>
        <v/>
      </c>
      <c r="X67" s="15">
        <f>IF(OR(M67="",R67=""),"REVIEW",IF(Q67&lt;R67,"BLOCK","OK"))</f>
        <v/>
      </c>
      <c r="Y67" s="8" t="inlineStr">
        <is>
          <t>No</t>
        </is>
      </c>
      <c r="Z67" s="15">
        <f>IF(AND(D67="Ultimate",Y67="Yes"),"BLOCK","OK")</f>
        <v/>
      </c>
      <c r="AA67" s="8" t="inlineStr">
        <is>
          <t>No</t>
        </is>
      </c>
      <c r="AB67" s="8" t="n"/>
      <c r="AC67" s="15">
        <f>IF(AND(AA67="Yes",AB67=""),"BLOCK","OK")</f>
        <v/>
      </c>
      <c r="AD67" s="16">
        <f>'MSRP Catalog'!M67</f>
        <v/>
      </c>
      <c r="AE67" s="15">
        <f>IF(AD67="","REVIEW",IF(AD67&lt;TODAY(),"BLOCK","OK"))</f>
        <v/>
      </c>
      <c r="AF67" s="8">
        <f>'MSRP Catalog'!K67</f>
        <v/>
      </c>
      <c r="AG67" s="8">
        <f>'MSRP Catalog'!N67</f>
        <v/>
      </c>
    </row>
    <row r="68">
      <c r="A68" s="8">
        <f>'MSRP Catalog'!A68</f>
        <v/>
      </c>
      <c r="B68" s="8">
        <f>'MSRP Catalog'!B68</f>
        <v/>
      </c>
      <c r="C68" s="8">
        <f>'MSRP Catalog'!C68</f>
        <v/>
      </c>
      <c r="D68" s="8">
        <f>'MSRP Catalog'!D68</f>
        <v/>
      </c>
      <c r="E68" s="8">
        <f>'MSRP Catalog'!E68</f>
        <v/>
      </c>
      <c r="F68" s="8">
        <f>'MSRP Catalog'!F68</f>
        <v/>
      </c>
      <c r="G68" s="8">
        <f>'MSRP Catalog'!G68</f>
        <v/>
      </c>
      <c r="H68" s="9">
        <f>'MSRP Catalog'!H68</f>
        <v/>
      </c>
      <c r="I68" s="10">
        <f>'MSRP Catalog'!I68</f>
        <v/>
      </c>
      <c r="J68" s="11" t="n">
        <v>0.1</v>
      </c>
      <c r="K68" s="12">
        <f>IFERROR(I68*(1-J68),"")</f>
        <v/>
      </c>
      <c r="L68" s="12">
        <f>IFERROR(K68*(1-P68),"")</f>
        <v/>
      </c>
      <c r="M68" s="13" t="n"/>
      <c r="N68" s="12">
        <f>IFERROR(I68*(1-O68),"")</f>
        <v/>
      </c>
      <c r="O68" s="11" t="n">
        <v>0.35</v>
      </c>
      <c r="P68" s="11" t="n">
        <v>0.2</v>
      </c>
      <c r="Q68" s="14">
        <f>IFERROR(L68/I68,"")</f>
        <v/>
      </c>
      <c r="R68" s="14">
        <f>IF(OR(M68="",I68=0),"",M68/I68)</f>
        <v/>
      </c>
      <c r="S68" s="8" t="inlineStr">
        <is>
          <t>Automatic</t>
        </is>
      </c>
      <c r="T68" s="8" t="inlineStr">
        <is>
          <t>CSO</t>
        </is>
      </c>
      <c r="U68" s="15">
        <f>IF(M68="","REVIEW",IF(L68&lt;M68,"BLOCK","OK"))</f>
        <v/>
      </c>
      <c r="V68" s="15">
        <f>IF(J68&gt;O68,"BLOCK","OK")</f>
        <v/>
      </c>
      <c r="W68" s="15">
        <f>IF(P68&gt;IF(D68="Start",10%,IF(D68="Pro",15%,IF(OR(D68="Business",D68="Enterprise"),20%,30%))),"BLOCK","OK")</f>
        <v/>
      </c>
      <c r="X68" s="15">
        <f>IF(OR(M68="",R68=""),"REVIEW",IF(Q68&lt;R68,"BLOCK","OK"))</f>
        <v/>
      </c>
      <c r="Y68" s="8" t="inlineStr">
        <is>
          <t>No</t>
        </is>
      </c>
      <c r="Z68" s="15">
        <f>IF(AND(D68="Ultimate",Y68="Yes"),"BLOCK","OK")</f>
        <v/>
      </c>
      <c r="AA68" s="8" t="inlineStr">
        <is>
          <t>No</t>
        </is>
      </c>
      <c r="AB68" s="8" t="n"/>
      <c r="AC68" s="15">
        <f>IF(AND(AA68="Yes",AB68=""),"BLOCK","OK")</f>
        <v/>
      </c>
      <c r="AD68" s="16">
        <f>'MSRP Catalog'!M68</f>
        <v/>
      </c>
      <c r="AE68" s="15">
        <f>IF(AD68="","REVIEW",IF(AD68&lt;TODAY(),"BLOCK","OK"))</f>
        <v/>
      </c>
      <c r="AF68" s="8">
        <f>'MSRP Catalog'!K68</f>
        <v/>
      </c>
      <c r="AG68" s="8">
        <f>'MSRP Catalog'!N68</f>
        <v/>
      </c>
    </row>
    <row r="69">
      <c r="A69" s="8">
        <f>'MSRP Catalog'!A69</f>
        <v/>
      </c>
      <c r="B69" s="8">
        <f>'MSRP Catalog'!B69</f>
        <v/>
      </c>
      <c r="C69" s="8">
        <f>'MSRP Catalog'!C69</f>
        <v/>
      </c>
      <c r="D69" s="8">
        <f>'MSRP Catalog'!D69</f>
        <v/>
      </c>
      <c r="E69" s="8">
        <f>'MSRP Catalog'!E69</f>
        <v/>
      </c>
      <c r="F69" s="8">
        <f>'MSRP Catalog'!F69</f>
        <v/>
      </c>
      <c r="G69" s="8">
        <f>'MSRP Catalog'!G69</f>
        <v/>
      </c>
      <c r="H69" s="9">
        <f>'MSRP Catalog'!H69</f>
        <v/>
      </c>
      <c r="I69" s="10">
        <f>'MSRP Catalog'!I69</f>
        <v/>
      </c>
      <c r="J69" s="11" t="n">
        <v>0.1</v>
      </c>
      <c r="K69" s="12">
        <f>IFERROR(I69*(1-J69),"")</f>
        <v/>
      </c>
      <c r="L69" s="12">
        <f>IFERROR(K69*(1-P69),"")</f>
        <v/>
      </c>
      <c r="M69" s="13" t="n"/>
      <c r="N69" s="12">
        <f>IFERROR(I69*(1-O69),"")</f>
        <v/>
      </c>
      <c r="O69" s="11" t="n">
        <v>0.2</v>
      </c>
      <c r="P69" s="11" t="n">
        <v>0.15</v>
      </c>
      <c r="Q69" s="14">
        <f>IFERROR(L69/I69,"")</f>
        <v/>
      </c>
      <c r="R69" s="14">
        <f>IF(OR(M69="",I69=0),"",M69/I69)</f>
        <v/>
      </c>
      <c r="S69" s="8" t="inlineStr">
        <is>
          <t>Automatic</t>
        </is>
      </c>
      <c r="T69" s="8" t="inlineStr">
        <is>
          <t>CSO</t>
        </is>
      </c>
      <c r="U69" s="15">
        <f>IF(M69="","REVIEW",IF(L69&lt;M69,"BLOCK","OK"))</f>
        <v/>
      </c>
      <c r="V69" s="15">
        <f>IF(J69&gt;O69,"BLOCK","OK")</f>
        <v/>
      </c>
      <c r="W69" s="15">
        <f>IF(P69&gt;IF(D69="Start",10%,IF(D69="Pro",15%,IF(OR(D69="Business",D69="Enterprise"),20%,30%))),"BLOCK","OK")</f>
        <v/>
      </c>
      <c r="X69" s="15">
        <f>IF(OR(M69="",R69=""),"REVIEW",IF(Q69&lt;R69,"BLOCK","OK"))</f>
        <v/>
      </c>
      <c r="Y69" s="8" t="inlineStr">
        <is>
          <t>No</t>
        </is>
      </c>
      <c r="Z69" s="15">
        <f>IF(AND(D69="Ultimate",Y69="Yes"),"BLOCK","OK")</f>
        <v/>
      </c>
      <c r="AA69" s="8" t="inlineStr">
        <is>
          <t>No</t>
        </is>
      </c>
      <c r="AB69" s="8" t="n"/>
      <c r="AC69" s="15">
        <f>IF(AND(AA69="Yes",AB69=""),"BLOCK","OK")</f>
        <v/>
      </c>
      <c r="AD69" s="16">
        <f>'MSRP Catalog'!M69</f>
        <v/>
      </c>
      <c r="AE69" s="15">
        <f>IF(AD69="","REVIEW",IF(AD69&lt;TODAY(),"BLOCK","OK"))</f>
        <v/>
      </c>
      <c r="AF69" s="8">
        <f>'MSRP Catalog'!K69</f>
        <v/>
      </c>
      <c r="AG69" s="8">
        <f>'MSRP Catalog'!N69</f>
        <v/>
      </c>
    </row>
    <row r="70">
      <c r="A70" s="8">
        <f>'MSRP Catalog'!A70</f>
        <v/>
      </c>
      <c r="B70" s="8">
        <f>'MSRP Catalog'!B70</f>
        <v/>
      </c>
      <c r="C70" s="8">
        <f>'MSRP Catalog'!C70</f>
        <v/>
      </c>
      <c r="D70" s="8">
        <f>'MSRP Catalog'!D70</f>
        <v/>
      </c>
      <c r="E70" s="8">
        <f>'MSRP Catalog'!E70</f>
        <v/>
      </c>
      <c r="F70" s="8">
        <f>'MSRP Catalog'!F70</f>
        <v/>
      </c>
      <c r="G70" s="8">
        <f>'MSRP Catalog'!G70</f>
        <v/>
      </c>
      <c r="H70" s="9">
        <f>'MSRP Catalog'!H70</f>
        <v/>
      </c>
      <c r="I70" s="10">
        <f>'MSRP Catalog'!I70</f>
        <v/>
      </c>
      <c r="J70" s="11" t="n">
        <v>0.1</v>
      </c>
      <c r="K70" s="12">
        <f>IFERROR(I70*(1-J70),"")</f>
        <v/>
      </c>
      <c r="L70" s="12">
        <f>IFERROR(K70*(1-P70),"")</f>
        <v/>
      </c>
      <c r="M70" s="13" t="n"/>
      <c r="N70" s="12">
        <f>IFERROR(I70*(1-O70),"")</f>
        <v/>
      </c>
      <c r="O70" s="11" t="n">
        <v>0.35</v>
      </c>
      <c r="P70" s="11" t="n">
        <v>0.3</v>
      </c>
      <c r="Q70" s="14">
        <f>IFERROR(L70/I70,"")</f>
        <v/>
      </c>
      <c r="R70" s="14">
        <f>IF(OR(M70="",I70=0),"",M70/I70)</f>
        <v/>
      </c>
      <c r="S70" s="8" t="inlineStr">
        <is>
          <t>Automatic</t>
        </is>
      </c>
      <c r="T70" s="8" t="inlineStr">
        <is>
          <t>CSO</t>
        </is>
      </c>
      <c r="U70" s="15">
        <f>IF(M70="","REVIEW",IF(L70&lt;M70,"BLOCK","OK"))</f>
        <v/>
      </c>
      <c r="V70" s="15">
        <f>IF(J70&gt;O70,"BLOCK","OK")</f>
        <v/>
      </c>
      <c r="W70" s="15">
        <f>IF(P70&gt;IF(D70="Start",10%,IF(D70="Pro",15%,IF(OR(D70="Business",D70="Enterprise"),20%,30%))),"BLOCK","OK")</f>
        <v/>
      </c>
      <c r="X70" s="15">
        <f>IF(OR(M70="",R70=""),"REVIEW",IF(Q70&lt;R70,"BLOCK","OK"))</f>
        <v/>
      </c>
      <c r="Y70" s="8" t="inlineStr">
        <is>
          <t>No</t>
        </is>
      </c>
      <c r="Z70" s="15">
        <f>IF(AND(D70="Ultimate",Y70="Yes"),"BLOCK","OK")</f>
        <v/>
      </c>
      <c r="AA70" s="8" t="inlineStr">
        <is>
          <t>No</t>
        </is>
      </c>
      <c r="AB70" s="8" t="n"/>
      <c r="AC70" s="15">
        <f>IF(AND(AA70="Yes",AB70=""),"BLOCK","OK")</f>
        <v/>
      </c>
      <c r="AD70" s="16">
        <f>'MSRP Catalog'!M70</f>
        <v/>
      </c>
      <c r="AE70" s="15">
        <f>IF(AD70="","REVIEW",IF(AD70&lt;TODAY(),"BLOCK","OK"))</f>
        <v/>
      </c>
      <c r="AF70" s="8">
        <f>'MSRP Catalog'!K70</f>
        <v/>
      </c>
      <c r="AG70" s="8">
        <f>'MSRP Catalog'!N70</f>
        <v/>
      </c>
    </row>
    <row r="71">
      <c r="A71" s="8">
        <f>'MSRP Catalog'!A71</f>
        <v/>
      </c>
      <c r="B71" s="8">
        <f>'MSRP Catalog'!B71</f>
        <v/>
      </c>
      <c r="C71" s="8">
        <f>'MSRP Catalog'!C71</f>
        <v/>
      </c>
      <c r="D71" s="8">
        <f>'MSRP Catalog'!D71</f>
        <v/>
      </c>
      <c r="E71" s="8">
        <f>'MSRP Catalog'!E71</f>
        <v/>
      </c>
      <c r="F71" s="8">
        <f>'MSRP Catalog'!F71</f>
        <v/>
      </c>
      <c r="G71" s="8">
        <f>'MSRP Catalog'!G71</f>
        <v/>
      </c>
      <c r="H71" s="9">
        <f>'MSRP Catalog'!H71</f>
        <v/>
      </c>
      <c r="I71" s="10">
        <f>'MSRP Catalog'!I71</f>
        <v/>
      </c>
      <c r="J71" s="11" t="n">
        <v>0.1</v>
      </c>
      <c r="K71" s="12">
        <f>IFERROR(I71*(1-J71),"")</f>
        <v/>
      </c>
      <c r="L71" s="12">
        <f>IFERROR(K71*(1-P71),"")</f>
        <v/>
      </c>
      <c r="M71" s="13" t="n"/>
      <c r="N71" s="12">
        <f>IFERROR(I71*(1-O71),"")</f>
        <v/>
      </c>
      <c r="O71" s="11" t="n">
        <v>0.35</v>
      </c>
      <c r="P71" s="11" t="n">
        <v>0.3</v>
      </c>
      <c r="Q71" s="14">
        <f>IFERROR(L71/I71,"")</f>
        <v/>
      </c>
      <c r="R71" s="14">
        <f>IF(OR(M71="",I71=0),"",M71/I71)</f>
        <v/>
      </c>
      <c r="S71" s="8" t="inlineStr">
        <is>
          <t>Automatic</t>
        </is>
      </c>
      <c r="T71" s="8" t="inlineStr">
        <is>
          <t>CSO</t>
        </is>
      </c>
      <c r="U71" s="15">
        <f>IF(M71="","REVIEW",IF(L71&lt;M71,"BLOCK","OK"))</f>
        <v/>
      </c>
      <c r="V71" s="15">
        <f>IF(J71&gt;O71,"BLOCK","OK")</f>
        <v/>
      </c>
      <c r="W71" s="15">
        <f>IF(P71&gt;IF(D71="Start",10%,IF(D71="Pro",15%,IF(OR(D71="Business",D71="Enterprise"),20%,30%))),"BLOCK","OK")</f>
        <v/>
      </c>
      <c r="X71" s="15">
        <f>IF(OR(M71="",R71=""),"REVIEW",IF(Q71&lt;R71,"BLOCK","OK"))</f>
        <v/>
      </c>
      <c r="Y71" s="8" t="inlineStr">
        <is>
          <t>No</t>
        </is>
      </c>
      <c r="Z71" s="15">
        <f>IF(AND(D71="Ultimate",Y71="Yes"),"BLOCK","OK")</f>
        <v/>
      </c>
      <c r="AA71" s="8" t="inlineStr">
        <is>
          <t>No</t>
        </is>
      </c>
      <c r="AB71" s="8" t="n"/>
      <c r="AC71" s="15">
        <f>IF(AND(AA71="Yes",AB71=""),"BLOCK","OK")</f>
        <v/>
      </c>
      <c r="AD71" s="16">
        <f>'MSRP Catalog'!M71</f>
        <v/>
      </c>
      <c r="AE71" s="15">
        <f>IF(AD71="","REVIEW",IF(AD71&lt;TODAY(),"BLOCK","OK"))</f>
        <v/>
      </c>
      <c r="AF71" s="8">
        <f>'MSRP Catalog'!K71</f>
        <v/>
      </c>
      <c r="AG71" s="8">
        <f>'MSRP Catalog'!N71</f>
        <v/>
      </c>
    </row>
    <row r="72">
      <c r="A72" s="8">
        <f>'MSRP Catalog'!A72</f>
        <v/>
      </c>
      <c r="B72" s="8">
        <f>'MSRP Catalog'!B72</f>
        <v/>
      </c>
      <c r="C72" s="8">
        <f>'MSRP Catalog'!C72</f>
        <v/>
      </c>
      <c r="D72" s="8">
        <f>'MSRP Catalog'!D72</f>
        <v/>
      </c>
      <c r="E72" s="8">
        <f>'MSRP Catalog'!E72</f>
        <v/>
      </c>
      <c r="F72" s="8">
        <f>'MSRP Catalog'!F72</f>
        <v/>
      </c>
      <c r="G72" s="8">
        <f>'MSRP Catalog'!G72</f>
        <v/>
      </c>
      <c r="H72" s="9">
        <f>'MSRP Catalog'!H72</f>
        <v/>
      </c>
      <c r="I72" s="10">
        <f>'MSRP Catalog'!I72</f>
        <v/>
      </c>
      <c r="J72" s="11" t="n">
        <v>0.1</v>
      </c>
      <c r="K72" s="12">
        <f>IFERROR(I72*(1-J72),"")</f>
        <v/>
      </c>
      <c r="L72" s="12">
        <f>IFERROR(K72*(1-P72),"")</f>
        <v/>
      </c>
      <c r="M72" s="13" t="n"/>
      <c r="N72" s="12">
        <f>IFERROR(I72*(1-O72),"")</f>
        <v/>
      </c>
      <c r="O72" s="11" t="n">
        <v>0.35</v>
      </c>
      <c r="P72" s="11" t="n">
        <v>0.3</v>
      </c>
      <c r="Q72" s="14">
        <f>IFERROR(L72/I72,"")</f>
        <v/>
      </c>
      <c r="R72" s="14">
        <f>IF(OR(M72="",I72=0),"",M72/I72)</f>
        <v/>
      </c>
      <c r="S72" s="8" t="inlineStr">
        <is>
          <t>Automatic</t>
        </is>
      </c>
      <c r="T72" s="8" t="inlineStr">
        <is>
          <t>CSO</t>
        </is>
      </c>
      <c r="U72" s="15">
        <f>IF(M72="","REVIEW",IF(L72&lt;M72,"BLOCK","OK"))</f>
        <v/>
      </c>
      <c r="V72" s="15">
        <f>IF(J72&gt;O72,"BLOCK","OK")</f>
        <v/>
      </c>
      <c r="W72" s="15">
        <f>IF(P72&gt;IF(D72="Start",10%,IF(D72="Pro",15%,IF(OR(D72="Business",D72="Enterprise"),20%,30%))),"BLOCK","OK")</f>
        <v/>
      </c>
      <c r="X72" s="15">
        <f>IF(OR(M72="",R72=""),"REVIEW",IF(Q72&lt;R72,"BLOCK","OK"))</f>
        <v/>
      </c>
      <c r="Y72" s="8" t="inlineStr">
        <is>
          <t>No</t>
        </is>
      </c>
      <c r="Z72" s="15">
        <f>IF(AND(D72="Ultimate",Y72="Yes"),"BLOCK","OK")</f>
        <v/>
      </c>
      <c r="AA72" s="8" t="inlineStr">
        <is>
          <t>No</t>
        </is>
      </c>
      <c r="AB72" s="8" t="n"/>
      <c r="AC72" s="15">
        <f>IF(AND(AA72="Yes",AB72=""),"BLOCK","OK")</f>
        <v/>
      </c>
      <c r="AD72" s="16">
        <f>'MSRP Catalog'!M72</f>
        <v/>
      </c>
      <c r="AE72" s="15">
        <f>IF(AD72="","REVIEW",IF(AD72&lt;TODAY(),"BLOCK","OK"))</f>
        <v/>
      </c>
      <c r="AF72" s="8">
        <f>'MSRP Catalog'!K72</f>
        <v/>
      </c>
      <c r="AG72" s="8">
        <f>'MSRP Catalog'!N72</f>
        <v/>
      </c>
    </row>
    <row r="73">
      <c r="A73" s="8">
        <f>'MSRP Catalog'!A73</f>
        <v/>
      </c>
      <c r="B73" s="8">
        <f>'MSRP Catalog'!B73</f>
        <v/>
      </c>
      <c r="C73" s="8">
        <f>'MSRP Catalog'!C73</f>
        <v/>
      </c>
      <c r="D73" s="8">
        <f>'MSRP Catalog'!D73</f>
        <v/>
      </c>
      <c r="E73" s="8">
        <f>'MSRP Catalog'!E73</f>
        <v/>
      </c>
      <c r="F73" s="8">
        <f>'MSRP Catalog'!F73</f>
        <v/>
      </c>
      <c r="G73" s="8">
        <f>'MSRP Catalog'!G73</f>
        <v/>
      </c>
      <c r="H73" s="9">
        <f>'MSRP Catalog'!H73</f>
        <v/>
      </c>
      <c r="I73" s="10">
        <f>'MSRP Catalog'!I73</f>
        <v/>
      </c>
      <c r="J73" s="11" t="n">
        <v>0.1</v>
      </c>
      <c r="K73" s="12">
        <f>IFERROR(I73*(1-J73),"")</f>
        <v/>
      </c>
      <c r="L73" s="12">
        <f>IFERROR(K73*(1-P73),"")</f>
        <v/>
      </c>
      <c r="M73" s="13" t="n"/>
      <c r="N73" s="12">
        <f>IFERROR(I73*(1-O73),"")</f>
        <v/>
      </c>
      <c r="O73" s="11" t="n">
        <v>0.35</v>
      </c>
      <c r="P73" s="11" t="n">
        <v>0.3</v>
      </c>
      <c r="Q73" s="14">
        <f>IFERROR(L73/I73,"")</f>
        <v/>
      </c>
      <c r="R73" s="14">
        <f>IF(OR(M73="",I73=0),"",M73/I73)</f>
        <v/>
      </c>
      <c r="S73" s="8" t="inlineStr">
        <is>
          <t>Automatic</t>
        </is>
      </c>
      <c r="T73" s="8" t="inlineStr">
        <is>
          <t>CSO</t>
        </is>
      </c>
      <c r="U73" s="15">
        <f>IF(M73="","REVIEW",IF(L73&lt;M73,"BLOCK","OK"))</f>
        <v/>
      </c>
      <c r="V73" s="15">
        <f>IF(J73&gt;O73,"BLOCK","OK")</f>
        <v/>
      </c>
      <c r="W73" s="15">
        <f>IF(P73&gt;IF(D73="Start",10%,IF(D73="Pro",15%,IF(OR(D73="Business",D73="Enterprise"),20%,30%))),"BLOCK","OK")</f>
        <v/>
      </c>
      <c r="X73" s="15">
        <f>IF(OR(M73="",R73=""),"REVIEW",IF(Q73&lt;R73,"BLOCK","OK"))</f>
        <v/>
      </c>
      <c r="Y73" s="8" t="inlineStr">
        <is>
          <t>No</t>
        </is>
      </c>
      <c r="Z73" s="15">
        <f>IF(AND(D73="Ultimate",Y73="Yes"),"BLOCK","OK")</f>
        <v/>
      </c>
      <c r="AA73" s="8" t="inlineStr">
        <is>
          <t>No</t>
        </is>
      </c>
      <c r="AB73" s="8" t="n"/>
      <c r="AC73" s="15">
        <f>IF(AND(AA73="Yes",AB73=""),"BLOCK","OK")</f>
        <v/>
      </c>
      <c r="AD73" s="16">
        <f>'MSRP Catalog'!M73</f>
        <v/>
      </c>
      <c r="AE73" s="15">
        <f>IF(AD73="","REVIEW",IF(AD73&lt;TODAY(),"BLOCK","OK"))</f>
        <v/>
      </c>
      <c r="AF73" s="8">
        <f>'MSRP Catalog'!K73</f>
        <v/>
      </c>
      <c r="AG73" s="8">
        <f>'MSRP Catalog'!N73</f>
        <v/>
      </c>
    </row>
    <row r="74">
      <c r="A74" s="8">
        <f>'MSRP Catalog'!A74</f>
        <v/>
      </c>
      <c r="B74" s="8">
        <f>'MSRP Catalog'!B74</f>
        <v/>
      </c>
      <c r="C74" s="8">
        <f>'MSRP Catalog'!C74</f>
        <v/>
      </c>
      <c r="D74" s="8">
        <f>'MSRP Catalog'!D74</f>
        <v/>
      </c>
      <c r="E74" s="8">
        <f>'MSRP Catalog'!E74</f>
        <v/>
      </c>
      <c r="F74" s="8">
        <f>'MSRP Catalog'!F74</f>
        <v/>
      </c>
      <c r="G74" s="8">
        <f>'MSRP Catalog'!G74</f>
        <v/>
      </c>
      <c r="H74" s="9">
        <f>'MSRP Catalog'!H74</f>
        <v/>
      </c>
      <c r="I74" s="10">
        <f>'MSRP Catalog'!I74</f>
        <v/>
      </c>
      <c r="J74" s="11" t="n">
        <v>0.1</v>
      </c>
      <c r="K74" s="12">
        <f>IFERROR(I74*(1-J74),"")</f>
        <v/>
      </c>
      <c r="L74" s="12">
        <f>IFERROR(K74*(1-P74),"")</f>
        <v/>
      </c>
      <c r="M74" s="13" t="n"/>
      <c r="N74" s="12">
        <f>IFERROR(I74*(1-O74),"")</f>
        <v/>
      </c>
      <c r="O74" s="11" t="n">
        <v>0.35</v>
      </c>
      <c r="P74" s="11" t="n">
        <v>0.3</v>
      </c>
      <c r="Q74" s="14">
        <f>IFERROR(L74/I74,"")</f>
        <v/>
      </c>
      <c r="R74" s="14">
        <f>IF(OR(M74="",I74=0),"",M74/I74)</f>
        <v/>
      </c>
      <c r="S74" s="8" t="inlineStr">
        <is>
          <t>Automatic</t>
        </is>
      </c>
      <c r="T74" s="8" t="inlineStr">
        <is>
          <t>CSO</t>
        </is>
      </c>
      <c r="U74" s="15">
        <f>IF(M74="","REVIEW",IF(L74&lt;M74,"BLOCK","OK"))</f>
        <v/>
      </c>
      <c r="V74" s="15">
        <f>IF(J74&gt;O74,"BLOCK","OK")</f>
        <v/>
      </c>
      <c r="W74" s="15">
        <f>IF(P74&gt;IF(D74="Start",10%,IF(D74="Pro",15%,IF(OR(D74="Business",D74="Enterprise"),20%,30%))),"BLOCK","OK")</f>
        <v/>
      </c>
      <c r="X74" s="15">
        <f>IF(OR(M74="",R74=""),"REVIEW",IF(Q74&lt;R74,"BLOCK","OK"))</f>
        <v/>
      </c>
      <c r="Y74" s="8" t="inlineStr">
        <is>
          <t>No</t>
        </is>
      </c>
      <c r="Z74" s="15">
        <f>IF(AND(D74="Ultimate",Y74="Yes"),"BLOCK","OK")</f>
        <v/>
      </c>
      <c r="AA74" s="8" t="inlineStr">
        <is>
          <t>No</t>
        </is>
      </c>
      <c r="AB74" s="8" t="n"/>
      <c r="AC74" s="15">
        <f>IF(AND(AA74="Yes",AB74=""),"BLOCK","OK")</f>
        <v/>
      </c>
      <c r="AD74" s="16">
        <f>'MSRP Catalog'!M74</f>
        <v/>
      </c>
      <c r="AE74" s="15">
        <f>IF(AD74="","REVIEW",IF(AD74&lt;TODAY(),"BLOCK","OK"))</f>
        <v/>
      </c>
      <c r="AF74" s="8">
        <f>'MSRP Catalog'!K74</f>
        <v/>
      </c>
      <c r="AG74" s="8">
        <f>'MSRP Catalog'!N74</f>
        <v/>
      </c>
    </row>
    <row r="75">
      <c r="A75" s="8">
        <f>'MSRP Catalog'!A75</f>
        <v/>
      </c>
      <c r="B75" s="8">
        <f>'MSRP Catalog'!B75</f>
        <v/>
      </c>
      <c r="C75" s="8">
        <f>'MSRP Catalog'!C75</f>
        <v/>
      </c>
      <c r="D75" s="8">
        <f>'MSRP Catalog'!D75</f>
        <v/>
      </c>
      <c r="E75" s="8">
        <f>'MSRP Catalog'!E75</f>
        <v/>
      </c>
      <c r="F75" s="8">
        <f>'MSRP Catalog'!F75</f>
        <v/>
      </c>
      <c r="G75" s="8">
        <f>'MSRP Catalog'!G75</f>
        <v/>
      </c>
      <c r="H75" s="9">
        <f>'MSRP Catalog'!H75</f>
        <v/>
      </c>
      <c r="I75" s="10">
        <f>'MSRP Catalog'!I75</f>
        <v/>
      </c>
      <c r="J75" s="11" t="n">
        <v>0.1</v>
      </c>
      <c r="K75" s="12">
        <f>IFERROR(I75*(1-J75),"")</f>
        <v/>
      </c>
      <c r="L75" s="12">
        <f>IFERROR(K75*(1-P75),"")</f>
        <v/>
      </c>
      <c r="M75" s="13" t="n"/>
      <c r="N75" s="12">
        <f>IFERROR(I75*(1-O75),"")</f>
        <v/>
      </c>
      <c r="O75" s="11" t="n">
        <v>0.35</v>
      </c>
      <c r="P75" s="11" t="n">
        <v>0.3</v>
      </c>
      <c r="Q75" s="14">
        <f>IFERROR(L75/I75,"")</f>
        <v/>
      </c>
      <c r="R75" s="14">
        <f>IF(OR(M75="",I75=0),"",M75/I75)</f>
        <v/>
      </c>
      <c r="S75" s="8" t="inlineStr">
        <is>
          <t>Automatic</t>
        </is>
      </c>
      <c r="T75" s="8" t="inlineStr">
        <is>
          <t>CSO</t>
        </is>
      </c>
      <c r="U75" s="15">
        <f>IF(M75="","REVIEW",IF(L75&lt;M75,"BLOCK","OK"))</f>
        <v/>
      </c>
      <c r="V75" s="15">
        <f>IF(J75&gt;O75,"BLOCK","OK")</f>
        <v/>
      </c>
      <c r="W75" s="15">
        <f>IF(P75&gt;IF(D75="Start",10%,IF(D75="Pro",15%,IF(OR(D75="Business",D75="Enterprise"),20%,30%))),"BLOCK","OK")</f>
        <v/>
      </c>
      <c r="X75" s="15">
        <f>IF(OR(M75="",R75=""),"REVIEW",IF(Q75&lt;R75,"BLOCK","OK"))</f>
        <v/>
      </c>
      <c r="Y75" s="8" t="inlineStr">
        <is>
          <t>No</t>
        </is>
      </c>
      <c r="Z75" s="15">
        <f>IF(AND(D75="Ultimate",Y75="Yes"),"BLOCK","OK")</f>
        <v/>
      </c>
      <c r="AA75" s="8" t="inlineStr">
        <is>
          <t>No</t>
        </is>
      </c>
      <c r="AB75" s="8" t="n"/>
      <c r="AC75" s="15">
        <f>IF(AND(AA75="Yes",AB75=""),"BLOCK","OK")</f>
        <v/>
      </c>
      <c r="AD75" s="16">
        <f>'MSRP Catalog'!M75</f>
        <v/>
      </c>
      <c r="AE75" s="15">
        <f>IF(AD75="","REVIEW",IF(AD75&lt;TODAY(),"BLOCK","OK"))</f>
        <v/>
      </c>
      <c r="AF75" s="8">
        <f>'MSRP Catalog'!K75</f>
        <v/>
      </c>
      <c r="AG75" s="8">
        <f>'MSRP Catalog'!N75</f>
        <v/>
      </c>
    </row>
    <row r="76">
      <c r="A76" s="8">
        <f>'MSRP Catalog'!A76</f>
        <v/>
      </c>
      <c r="B76" s="8">
        <f>'MSRP Catalog'!B76</f>
        <v/>
      </c>
      <c r="C76" s="8">
        <f>'MSRP Catalog'!C76</f>
        <v/>
      </c>
      <c r="D76" s="8">
        <f>'MSRP Catalog'!D76</f>
        <v/>
      </c>
      <c r="E76" s="8">
        <f>'MSRP Catalog'!E76</f>
        <v/>
      </c>
      <c r="F76" s="8">
        <f>'MSRP Catalog'!F76</f>
        <v/>
      </c>
      <c r="G76" s="8">
        <f>'MSRP Catalog'!G76</f>
        <v/>
      </c>
      <c r="H76" s="9">
        <f>'MSRP Catalog'!H76</f>
        <v/>
      </c>
      <c r="I76" s="10">
        <f>'MSRP Catalog'!I76</f>
        <v/>
      </c>
      <c r="J76" s="11" t="n">
        <v>0.1</v>
      </c>
      <c r="K76" s="12">
        <f>IFERROR(I76*(1-J76),"")</f>
        <v/>
      </c>
      <c r="L76" s="12">
        <f>IFERROR(K76*(1-P76),"")</f>
        <v/>
      </c>
      <c r="M76" s="13" t="n"/>
      <c r="N76" s="12">
        <f>IFERROR(I76*(1-O76),"")</f>
        <v/>
      </c>
      <c r="O76" s="11" t="n">
        <v>0.35</v>
      </c>
      <c r="P76" s="11" t="n">
        <v>0.3</v>
      </c>
      <c r="Q76" s="14">
        <f>IFERROR(L76/I76,"")</f>
        <v/>
      </c>
      <c r="R76" s="14">
        <f>IF(OR(M76="",I76=0),"",M76/I76)</f>
        <v/>
      </c>
      <c r="S76" s="8" t="inlineStr">
        <is>
          <t>Automatic</t>
        </is>
      </c>
      <c r="T76" s="8" t="inlineStr">
        <is>
          <t>CSO</t>
        </is>
      </c>
      <c r="U76" s="15">
        <f>IF(M76="","REVIEW",IF(L76&lt;M76,"BLOCK","OK"))</f>
        <v/>
      </c>
      <c r="V76" s="15">
        <f>IF(J76&gt;O76,"BLOCK","OK")</f>
        <v/>
      </c>
      <c r="W76" s="15">
        <f>IF(P76&gt;IF(D76="Start",10%,IF(D76="Pro",15%,IF(OR(D76="Business",D76="Enterprise"),20%,30%))),"BLOCK","OK")</f>
        <v/>
      </c>
      <c r="X76" s="15">
        <f>IF(OR(M76="",R76=""),"REVIEW",IF(Q76&lt;R76,"BLOCK","OK"))</f>
        <v/>
      </c>
      <c r="Y76" s="8" t="inlineStr">
        <is>
          <t>No</t>
        </is>
      </c>
      <c r="Z76" s="15">
        <f>IF(AND(D76="Ultimate",Y76="Yes"),"BLOCK","OK")</f>
        <v/>
      </c>
      <c r="AA76" s="8" t="inlineStr">
        <is>
          <t>No</t>
        </is>
      </c>
      <c r="AB76" s="8" t="n"/>
      <c r="AC76" s="15">
        <f>IF(AND(AA76="Yes",AB76=""),"BLOCK","OK")</f>
        <v/>
      </c>
      <c r="AD76" s="16">
        <f>'MSRP Catalog'!M76</f>
        <v/>
      </c>
      <c r="AE76" s="15">
        <f>IF(AD76="","REVIEW",IF(AD76&lt;TODAY(),"BLOCK","OK"))</f>
        <v/>
      </c>
      <c r="AF76" s="8">
        <f>'MSRP Catalog'!K76</f>
        <v/>
      </c>
      <c r="AG76" s="8">
        <f>'MSRP Catalog'!N76</f>
        <v/>
      </c>
    </row>
    <row r="77">
      <c r="A77" s="8">
        <f>'MSRP Catalog'!A77</f>
        <v/>
      </c>
      <c r="B77" s="8">
        <f>'MSRP Catalog'!B77</f>
        <v/>
      </c>
      <c r="C77" s="8">
        <f>'MSRP Catalog'!C77</f>
        <v/>
      </c>
      <c r="D77" s="8">
        <f>'MSRP Catalog'!D77</f>
        <v/>
      </c>
      <c r="E77" s="8">
        <f>'MSRP Catalog'!E77</f>
        <v/>
      </c>
      <c r="F77" s="8">
        <f>'MSRP Catalog'!F77</f>
        <v/>
      </c>
      <c r="G77" s="8">
        <f>'MSRP Catalog'!G77</f>
        <v/>
      </c>
      <c r="H77" s="9">
        <f>'MSRP Catalog'!H77</f>
        <v/>
      </c>
      <c r="I77" s="10">
        <f>'MSRP Catalog'!I77</f>
        <v/>
      </c>
      <c r="J77" s="11" t="n">
        <v>0.1</v>
      </c>
      <c r="K77" s="12">
        <f>IFERROR(I77*(1-J77),"")</f>
        <v/>
      </c>
      <c r="L77" s="12">
        <f>IFERROR(K77*(1-P77),"")</f>
        <v/>
      </c>
      <c r="M77" s="13" t="n"/>
      <c r="N77" s="12">
        <f>IFERROR(I77*(1-O77),"")</f>
        <v/>
      </c>
      <c r="O77" s="11" t="n">
        <v>0.35</v>
      </c>
      <c r="P77" s="11" t="n">
        <v>0.3</v>
      </c>
      <c r="Q77" s="14">
        <f>IFERROR(L77/I77,"")</f>
        <v/>
      </c>
      <c r="R77" s="14">
        <f>IF(OR(M77="",I77=0),"",M77/I77)</f>
        <v/>
      </c>
      <c r="S77" s="8" t="inlineStr">
        <is>
          <t>Automatic</t>
        </is>
      </c>
      <c r="T77" s="8" t="inlineStr">
        <is>
          <t>CSO</t>
        </is>
      </c>
      <c r="U77" s="15">
        <f>IF(M77="","REVIEW",IF(L77&lt;M77,"BLOCK","OK"))</f>
        <v/>
      </c>
      <c r="V77" s="15">
        <f>IF(J77&gt;O77,"BLOCK","OK")</f>
        <v/>
      </c>
      <c r="W77" s="15">
        <f>IF(P77&gt;IF(D77="Start",10%,IF(D77="Pro",15%,IF(OR(D77="Business",D77="Enterprise"),20%,30%))),"BLOCK","OK")</f>
        <v/>
      </c>
      <c r="X77" s="15">
        <f>IF(OR(M77="",R77=""),"REVIEW",IF(Q77&lt;R77,"BLOCK","OK"))</f>
        <v/>
      </c>
      <c r="Y77" s="8" t="inlineStr">
        <is>
          <t>No</t>
        </is>
      </c>
      <c r="Z77" s="15">
        <f>IF(AND(D77="Ultimate",Y77="Yes"),"BLOCK","OK")</f>
        <v/>
      </c>
      <c r="AA77" s="8" t="inlineStr">
        <is>
          <t>No</t>
        </is>
      </c>
      <c r="AB77" s="8" t="n"/>
      <c r="AC77" s="15">
        <f>IF(AND(AA77="Yes",AB77=""),"BLOCK","OK")</f>
        <v/>
      </c>
      <c r="AD77" s="16">
        <f>'MSRP Catalog'!M77</f>
        <v/>
      </c>
      <c r="AE77" s="15">
        <f>IF(AD77="","REVIEW",IF(AD77&lt;TODAY(),"BLOCK","OK"))</f>
        <v/>
      </c>
      <c r="AF77" s="8">
        <f>'MSRP Catalog'!K77</f>
        <v/>
      </c>
      <c r="AG77" s="8">
        <f>'MSRP Catalog'!N77</f>
        <v/>
      </c>
    </row>
    <row r="78">
      <c r="A78" s="8">
        <f>'MSRP Catalog'!A78</f>
        <v/>
      </c>
      <c r="B78" s="8">
        <f>'MSRP Catalog'!B78</f>
        <v/>
      </c>
      <c r="C78" s="8">
        <f>'MSRP Catalog'!C78</f>
        <v/>
      </c>
      <c r="D78" s="8">
        <f>'MSRP Catalog'!D78</f>
        <v/>
      </c>
      <c r="E78" s="8">
        <f>'MSRP Catalog'!E78</f>
        <v/>
      </c>
      <c r="F78" s="8">
        <f>'MSRP Catalog'!F78</f>
        <v/>
      </c>
      <c r="G78" s="8">
        <f>'MSRP Catalog'!G78</f>
        <v/>
      </c>
      <c r="H78" s="9">
        <f>'MSRP Catalog'!H78</f>
        <v/>
      </c>
      <c r="I78" s="10">
        <f>'MSRP Catalog'!I78</f>
        <v/>
      </c>
      <c r="J78" s="11" t="n">
        <v>0.1</v>
      </c>
      <c r="K78" s="12">
        <f>IFERROR(I78*(1-J78),"")</f>
        <v/>
      </c>
      <c r="L78" s="12">
        <f>IFERROR(K78*(1-P78),"")</f>
        <v/>
      </c>
      <c r="M78" s="13" t="n"/>
      <c r="N78" s="12">
        <f>IFERROR(I78*(1-O78),"")</f>
        <v/>
      </c>
      <c r="O78" s="11" t="n">
        <v>0.2</v>
      </c>
      <c r="P78" s="11" t="n">
        <v>0.15</v>
      </c>
      <c r="Q78" s="14">
        <f>IFERROR(L78/I78,"")</f>
        <v/>
      </c>
      <c r="R78" s="14">
        <f>IF(OR(M78="",I78=0),"",M78/I78)</f>
        <v/>
      </c>
      <c r="S78" s="8" t="inlineStr">
        <is>
          <t>Automatic</t>
        </is>
      </c>
      <c r="T78" s="8" t="inlineStr">
        <is>
          <t>CSO</t>
        </is>
      </c>
      <c r="U78" s="15">
        <f>IF(M78="","REVIEW",IF(L78&lt;M78,"BLOCK","OK"))</f>
        <v/>
      </c>
      <c r="V78" s="15">
        <f>IF(J78&gt;O78,"BLOCK","OK")</f>
        <v/>
      </c>
      <c r="W78" s="15">
        <f>IF(P78&gt;IF(D78="Start",10%,IF(D78="Pro",15%,IF(OR(D78="Business",D78="Enterprise"),20%,30%))),"BLOCK","OK")</f>
        <v/>
      </c>
      <c r="X78" s="15">
        <f>IF(OR(M78="",R78=""),"REVIEW",IF(Q78&lt;R78,"BLOCK","OK"))</f>
        <v/>
      </c>
      <c r="Y78" s="8" t="inlineStr">
        <is>
          <t>No</t>
        </is>
      </c>
      <c r="Z78" s="15">
        <f>IF(AND(D78="Ultimate",Y78="Yes"),"BLOCK","OK")</f>
        <v/>
      </c>
      <c r="AA78" s="8" t="inlineStr">
        <is>
          <t>No</t>
        </is>
      </c>
      <c r="AB78" s="8" t="n"/>
      <c r="AC78" s="15">
        <f>IF(AND(AA78="Yes",AB78=""),"BLOCK","OK")</f>
        <v/>
      </c>
      <c r="AD78" s="16">
        <f>'MSRP Catalog'!M78</f>
        <v/>
      </c>
      <c r="AE78" s="15">
        <f>IF(AD78="","REVIEW",IF(AD78&lt;TODAY(),"BLOCK","OK"))</f>
        <v/>
      </c>
      <c r="AF78" s="8">
        <f>'MSRP Catalog'!K78</f>
        <v/>
      </c>
      <c r="AG78" s="8">
        <f>'MSRP Catalog'!N78</f>
        <v/>
      </c>
    </row>
    <row r="79">
      <c r="A79" s="8">
        <f>'MSRP Catalog'!A79</f>
        <v/>
      </c>
      <c r="B79" s="8">
        <f>'MSRP Catalog'!B79</f>
        <v/>
      </c>
      <c r="C79" s="8">
        <f>'MSRP Catalog'!C79</f>
        <v/>
      </c>
      <c r="D79" s="8">
        <f>'MSRP Catalog'!D79</f>
        <v/>
      </c>
      <c r="E79" s="8">
        <f>'MSRP Catalog'!E79</f>
        <v/>
      </c>
      <c r="F79" s="8">
        <f>'MSRP Catalog'!F79</f>
        <v/>
      </c>
      <c r="G79" s="8">
        <f>'MSRP Catalog'!G79</f>
        <v/>
      </c>
      <c r="H79" s="9">
        <f>'MSRP Catalog'!H79</f>
        <v/>
      </c>
      <c r="I79" s="10">
        <f>'MSRP Catalog'!I79</f>
        <v/>
      </c>
      <c r="J79" s="11" t="n">
        <v>0.1</v>
      </c>
      <c r="K79" s="12">
        <f>IFERROR(I79*(1-J79),"")</f>
        <v/>
      </c>
      <c r="L79" s="12">
        <f>IFERROR(K79*(1-P79),"")</f>
        <v/>
      </c>
      <c r="M79" s="13" t="n"/>
      <c r="N79" s="12">
        <f>IFERROR(I79*(1-O79),"")</f>
        <v/>
      </c>
      <c r="O79" s="11" t="n">
        <v>0.2</v>
      </c>
      <c r="P79" s="11" t="n">
        <v>0.15</v>
      </c>
      <c r="Q79" s="14">
        <f>IFERROR(L79/I79,"")</f>
        <v/>
      </c>
      <c r="R79" s="14">
        <f>IF(OR(M79="",I79=0),"",M79/I79)</f>
        <v/>
      </c>
      <c r="S79" s="8" t="inlineStr">
        <is>
          <t>Automatic</t>
        </is>
      </c>
      <c r="T79" s="8" t="inlineStr">
        <is>
          <t>CSO</t>
        </is>
      </c>
      <c r="U79" s="15">
        <f>IF(M79="","REVIEW",IF(L79&lt;M79,"BLOCK","OK"))</f>
        <v/>
      </c>
      <c r="V79" s="15">
        <f>IF(J79&gt;O79,"BLOCK","OK")</f>
        <v/>
      </c>
      <c r="W79" s="15">
        <f>IF(P79&gt;IF(D79="Start",10%,IF(D79="Pro",15%,IF(OR(D79="Business",D79="Enterprise"),20%,30%))),"BLOCK","OK")</f>
        <v/>
      </c>
      <c r="X79" s="15">
        <f>IF(OR(M79="",R79=""),"REVIEW",IF(Q79&lt;R79,"BLOCK","OK"))</f>
        <v/>
      </c>
      <c r="Y79" s="8" t="inlineStr">
        <is>
          <t>No</t>
        </is>
      </c>
      <c r="Z79" s="15">
        <f>IF(AND(D79="Ultimate",Y79="Yes"),"BLOCK","OK")</f>
        <v/>
      </c>
      <c r="AA79" s="8" t="inlineStr">
        <is>
          <t>No</t>
        </is>
      </c>
      <c r="AB79" s="8" t="n"/>
      <c r="AC79" s="15">
        <f>IF(AND(AA79="Yes",AB79=""),"BLOCK","OK")</f>
        <v/>
      </c>
      <c r="AD79" s="16">
        <f>'MSRP Catalog'!M79</f>
        <v/>
      </c>
      <c r="AE79" s="15">
        <f>IF(AD79="","REVIEW",IF(AD79&lt;TODAY(),"BLOCK","OK"))</f>
        <v/>
      </c>
      <c r="AF79" s="8">
        <f>'MSRP Catalog'!K79</f>
        <v/>
      </c>
      <c r="AG79" s="8">
        <f>'MSRP Catalog'!N79</f>
        <v/>
      </c>
    </row>
    <row r="80">
      <c r="A80" s="8">
        <f>'MSRP Catalog'!A80</f>
        <v/>
      </c>
      <c r="B80" s="8">
        <f>'MSRP Catalog'!B80</f>
        <v/>
      </c>
      <c r="C80" s="8">
        <f>'MSRP Catalog'!C80</f>
        <v/>
      </c>
      <c r="D80" s="8">
        <f>'MSRP Catalog'!D80</f>
        <v/>
      </c>
      <c r="E80" s="8">
        <f>'MSRP Catalog'!E80</f>
        <v/>
      </c>
      <c r="F80" s="8">
        <f>'MSRP Catalog'!F80</f>
        <v/>
      </c>
      <c r="G80" s="8">
        <f>'MSRP Catalog'!G80</f>
        <v/>
      </c>
      <c r="H80" s="9">
        <f>'MSRP Catalog'!H80</f>
        <v/>
      </c>
      <c r="I80" s="10">
        <f>'MSRP Catalog'!I80</f>
        <v/>
      </c>
      <c r="J80" s="11" t="n">
        <v>0.1</v>
      </c>
      <c r="K80" s="12">
        <f>IFERROR(I80*(1-J80),"")</f>
        <v/>
      </c>
      <c r="L80" s="12">
        <f>IFERROR(K80*(1-P80),"")</f>
        <v/>
      </c>
      <c r="M80" s="13" t="n"/>
      <c r="N80" s="12">
        <f>IFERROR(I80*(1-O80),"")</f>
        <v/>
      </c>
      <c r="O80" s="11" t="n">
        <v>0.2</v>
      </c>
      <c r="P80" s="11" t="n">
        <v>0.15</v>
      </c>
      <c r="Q80" s="14">
        <f>IFERROR(L80/I80,"")</f>
        <v/>
      </c>
      <c r="R80" s="14">
        <f>IF(OR(M80="",I80=0),"",M80/I80)</f>
        <v/>
      </c>
      <c r="S80" s="8" t="inlineStr">
        <is>
          <t>Automatic</t>
        </is>
      </c>
      <c r="T80" s="8" t="inlineStr">
        <is>
          <t>CSO</t>
        </is>
      </c>
      <c r="U80" s="15">
        <f>IF(M80="","REVIEW",IF(L80&lt;M80,"BLOCK","OK"))</f>
        <v/>
      </c>
      <c r="V80" s="15">
        <f>IF(J80&gt;O80,"BLOCK","OK")</f>
        <v/>
      </c>
      <c r="W80" s="15">
        <f>IF(P80&gt;IF(D80="Start",10%,IF(D80="Pro",15%,IF(OR(D80="Business",D80="Enterprise"),20%,30%))),"BLOCK","OK")</f>
        <v/>
      </c>
      <c r="X80" s="15">
        <f>IF(OR(M80="",R80=""),"REVIEW",IF(Q80&lt;R80,"BLOCK","OK"))</f>
        <v/>
      </c>
      <c r="Y80" s="8" t="inlineStr">
        <is>
          <t>No</t>
        </is>
      </c>
      <c r="Z80" s="15">
        <f>IF(AND(D80="Ultimate",Y80="Yes"),"BLOCK","OK")</f>
        <v/>
      </c>
      <c r="AA80" s="8" t="inlineStr">
        <is>
          <t>No</t>
        </is>
      </c>
      <c r="AB80" s="8" t="n"/>
      <c r="AC80" s="15">
        <f>IF(AND(AA80="Yes",AB80=""),"BLOCK","OK")</f>
        <v/>
      </c>
      <c r="AD80" s="16">
        <f>'MSRP Catalog'!M80</f>
        <v/>
      </c>
      <c r="AE80" s="15">
        <f>IF(AD80="","REVIEW",IF(AD80&lt;TODAY(),"BLOCK","OK"))</f>
        <v/>
      </c>
      <c r="AF80" s="8">
        <f>'MSRP Catalog'!K80</f>
        <v/>
      </c>
      <c r="AG80" s="8">
        <f>'MSRP Catalog'!N80</f>
        <v/>
      </c>
    </row>
    <row r="81">
      <c r="A81" s="8">
        <f>'MSRP Catalog'!A81</f>
        <v/>
      </c>
      <c r="B81" s="8">
        <f>'MSRP Catalog'!B81</f>
        <v/>
      </c>
      <c r="C81" s="8">
        <f>'MSRP Catalog'!C81</f>
        <v/>
      </c>
      <c r="D81" s="8">
        <f>'MSRP Catalog'!D81</f>
        <v/>
      </c>
      <c r="E81" s="8">
        <f>'MSRP Catalog'!E81</f>
        <v/>
      </c>
      <c r="F81" s="8">
        <f>'MSRP Catalog'!F81</f>
        <v/>
      </c>
      <c r="G81" s="8">
        <f>'MSRP Catalog'!G81</f>
        <v/>
      </c>
      <c r="H81" s="9">
        <f>'MSRP Catalog'!H81</f>
        <v/>
      </c>
      <c r="I81" s="10">
        <f>'MSRP Catalog'!I81</f>
        <v/>
      </c>
      <c r="J81" s="11" t="n">
        <v>0.1</v>
      </c>
      <c r="K81" s="12">
        <f>IFERROR(I81*(1-J81),"")</f>
        <v/>
      </c>
      <c r="L81" s="12">
        <f>IFERROR(K81*(1-P81),"")</f>
        <v/>
      </c>
      <c r="M81" s="13" t="n"/>
      <c r="N81" s="12">
        <f>IFERROR(I81*(1-O81),"")</f>
        <v/>
      </c>
      <c r="O81" s="11" t="n">
        <v>0.2</v>
      </c>
      <c r="P81" s="11" t="n">
        <v>0.15</v>
      </c>
      <c r="Q81" s="14">
        <f>IFERROR(L81/I81,"")</f>
        <v/>
      </c>
      <c r="R81" s="14">
        <f>IF(OR(M81="",I81=0),"",M81/I81)</f>
        <v/>
      </c>
      <c r="S81" s="8" t="inlineStr">
        <is>
          <t>Automatic</t>
        </is>
      </c>
      <c r="T81" s="8" t="inlineStr">
        <is>
          <t>CSO</t>
        </is>
      </c>
      <c r="U81" s="15">
        <f>IF(M81="","REVIEW",IF(L81&lt;M81,"BLOCK","OK"))</f>
        <v/>
      </c>
      <c r="V81" s="15">
        <f>IF(J81&gt;O81,"BLOCK","OK")</f>
        <v/>
      </c>
      <c r="W81" s="15">
        <f>IF(P81&gt;IF(D81="Start",10%,IF(D81="Pro",15%,IF(OR(D81="Business",D81="Enterprise"),20%,30%))),"BLOCK","OK")</f>
        <v/>
      </c>
      <c r="X81" s="15">
        <f>IF(OR(M81="",R81=""),"REVIEW",IF(Q81&lt;R81,"BLOCK","OK"))</f>
        <v/>
      </c>
      <c r="Y81" s="8" t="inlineStr">
        <is>
          <t>No</t>
        </is>
      </c>
      <c r="Z81" s="15">
        <f>IF(AND(D81="Ultimate",Y81="Yes"),"BLOCK","OK")</f>
        <v/>
      </c>
      <c r="AA81" s="8" t="inlineStr">
        <is>
          <t>No</t>
        </is>
      </c>
      <c r="AB81" s="8" t="n"/>
      <c r="AC81" s="15">
        <f>IF(AND(AA81="Yes",AB81=""),"BLOCK","OK")</f>
        <v/>
      </c>
      <c r="AD81" s="16">
        <f>'MSRP Catalog'!M81</f>
        <v/>
      </c>
      <c r="AE81" s="15">
        <f>IF(AD81="","REVIEW",IF(AD81&lt;TODAY(),"BLOCK","OK"))</f>
        <v/>
      </c>
      <c r="AF81" s="8">
        <f>'MSRP Catalog'!K81</f>
        <v/>
      </c>
      <c r="AG81" s="8">
        <f>'MSRP Catalog'!N81</f>
        <v/>
      </c>
    </row>
    <row r="82">
      <c r="A82" s="8">
        <f>'MSRP Catalog'!A82</f>
        <v/>
      </c>
      <c r="B82" s="8">
        <f>'MSRP Catalog'!B82</f>
        <v/>
      </c>
      <c r="C82" s="8">
        <f>'MSRP Catalog'!C82</f>
        <v/>
      </c>
      <c r="D82" s="8">
        <f>'MSRP Catalog'!D82</f>
        <v/>
      </c>
      <c r="E82" s="8">
        <f>'MSRP Catalog'!E82</f>
        <v/>
      </c>
      <c r="F82" s="8">
        <f>'MSRP Catalog'!F82</f>
        <v/>
      </c>
      <c r="G82" s="8">
        <f>'MSRP Catalog'!G82</f>
        <v/>
      </c>
      <c r="H82" s="9">
        <f>'MSRP Catalog'!H82</f>
        <v/>
      </c>
      <c r="I82" s="10">
        <f>'MSRP Catalog'!I82</f>
        <v/>
      </c>
      <c r="J82" s="11" t="n">
        <v>0.1</v>
      </c>
      <c r="K82" s="12">
        <f>IFERROR(I82*(1-J82),"")</f>
        <v/>
      </c>
      <c r="L82" s="12">
        <f>IFERROR(K82*(1-P82),"")</f>
        <v/>
      </c>
      <c r="M82" s="13" t="n"/>
      <c r="N82" s="12">
        <f>IFERROR(I82*(1-O82),"")</f>
        <v/>
      </c>
      <c r="O82" s="11" t="n">
        <v>0.2</v>
      </c>
      <c r="P82" s="11" t="n">
        <v>0.15</v>
      </c>
      <c r="Q82" s="14">
        <f>IFERROR(L82/I82,"")</f>
        <v/>
      </c>
      <c r="R82" s="14">
        <f>IF(OR(M82="",I82=0),"",M82/I82)</f>
        <v/>
      </c>
      <c r="S82" s="8" t="inlineStr">
        <is>
          <t>Automatic</t>
        </is>
      </c>
      <c r="T82" s="8" t="inlineStr">
        <is>
          <t>CSO</t>
        </is>
      </c>
      <c r="U82" s="15">
        <f>IF(M82="","REVIEW",IF(L82&lt;M82,"BLOCK","OK"))</f>
        <v/>
      </c>
      <c r="V82" s="15">
        <f>IF(J82&gt;O82,"BLOCK","OK")</f>
        <v/>
      </c>
      <c r="W82" s="15">
        <f>IF(P82&gt;IF(D82="Start",10%,IF(D82="Pro",15%,IF(OR(D82="Business",D82="Enterprise"),20%,30%))),"BLOCK","OK")</f>
        <v/>
      </c>
      <c r="X82" s="15">
        <f>IF(OR(M82="",R82=""),"REVIEW",IF(Q82&lt;R82,"BLOCK","OK"))</f>
        <v/>
      </c>
      <c r="Y82" s="8" t="inlineStr">
        <is>
          <t>No</t>
        </is>
      </c>
      <c r="Z82" s="15">
        <f>IF(AND(D82="Ultimate",Y82="Yes"),"BLOCK","OK")</f>
        <v/>
      </c>
      <c r="AA82" s="8" t="inlineStr">
        <is>
          <t>No</t>
        </is>
      </c>
      <c r="AB82" s="8" t="n"/>
      <c r="AC82" s="15">
        <f>IF(AND(AA82="Yes",AB82=""),"BLOCK","OK")</f>
        <v/>
      </c>
      <c r="AD82" s="16">
        <f>'MSRP Catalog'!M82</f>
        <v/>
      </c>
      <c r="AE82" s="15">
        <f>IF(AD82="","REVIEW",IF(AD82&lt;TODAY(),"BLOCK","OK"))</f>
        <v/>
      </c>
      <c r="AF82" s="8">
        <f>'MSRP Catalog'!K82</f>
        <v/>
      </c>
      <c r="AG82" s="8">
        <f>'MSRP Catalog'!N82</f>
        <v/>
      </c>
    </row>
    <row r="83">
      <c r="A83" s="8">
        <f>'MSRP Catalog'!A83</f>
        <v/>
      </c>
      <c r="B83" s="8">
        <f>'MSRP Catalog'!B83</f>
        <v/>
      </c>
      <c r="C83" s="8">
        <f>'MSRP Catalog'!C83</f>
        <v/>
      </c>
      <c r="D83" s="8">
        <f>'MSRP Catalog'!D83</f>
        <v/>
      </c>
      <c r="E83" s="8">
        <f>'MSRP Catalog'!E83</f>
        <v/>
      </c>
      <c r="F83" s="8">
        <f>'MSRP Catalog'!F83</f>
        <v/>
      </c>
      <c r="G83" s="8">
        <f>'MSRP Catalog'!G83</f>
        <v/>
      </c>
      <c r="H83" s="9">
        <f>'MSRP Catalog'!H83</f>
        <v/>
      </c>
      <c r="I83" s="10">
        <f>'MSRP Catalog'!I83</f>
        <v/>
      </c>
      <c r="J83" s="11" t="n">
        <v>0.1</v>
      </c>
      <c r="K83" s="12">
        <f>IFERROR(I83*(1-J83),"")</f>
        <v/>
      </c>
      <c r="L83" s="12">
        <f>IFERROR(K83*(1-P83),"")</f>
        <v/>
      </c>
      <c r="M83" s="13" t="n"/>
      <c r="N83" s="12">
        <f>IFERROR(I83*(1-O83),"")</f>
        <v/>
      </c>
      <c r="O83" s="11" t="n">
        <v>0.2</v>
      </c>
      <c r="P83" s="11" t="n">
        <v>0.15</v>
      </c>
      <c r="Q83" s="14">
        <f>IFERROR(L83/I83,"")</f>
        <v/>
      </c>
      <c r="R83" s="14">
        <f>IF(OR(M83="",I83=0),"",M83/I83)</f>
        <v/>
      </c>
      <c r="S83" s="8" t="inlineStr">
        <is>
          <t>Automatic</t>
        </is>
      </c>
      <c r="T83" s="8" t="inlineStr">
        <is>
          <t>CSO</t>
        </is>
      </c>
      <c r="U83" s="15">
        <f>IF(M83="","REVIEW",IF(L83&lt;M83,"BLOCK","OK"))</f>
        <v/>
      </c>
      <c r="V83" s="15">
        <f>IF(J83&gt;O83,"BLOCK","OK")</f>
        <v/>
      </c>
      <c r="W83" s="15">
        <f>IF(P83&gt;IF(D83="Start",10%,IF(D83="Pro",15%,IF(OR(D83="Business",D83="Enterprise"),20%,30%))),"BLOCK","OK")</f>
        <v/>
      </c>
      <c r="X83" s="15">
        <f>IF(OR(M83="",R83=""),"REVIEW",IF(Q83&lt;R83,"BLOCK","OK"))</f>
        <v/>
      </c>
      <c r="Y83" s="8" t="inlineStr">
        <is>
          <t>No</t>
        </is>
      </c>
      <c r="Z83" s="15">
        <f>IF(AND(D83="Ultimate",Y83="Yes"),"BLOCK","OK")</f>
        <v/>
      </c>
      <c r="AA83" s="8" t="inlineStr">
        <is>
          <t>No</t>
        </is>
      </c>
      <c r="AB83" s="8" t="n"/>
      <c r="AC83" s="15">
        <f>IF(AND(AA83="Yes",AB83=""),"BLOCK","OK")</f>
        <v/>
      </c>
      <c r="AD83" s="16">
        <f>'MSRP Catalog'!M83</f>
        <v/>
      </c>
      <c r="AE83" s="15">
        <f>IF(AD83="","REVIEW",IF(AD83&lt;TODAY(),"BLOCK","OK"))</f>
        <v/>
      </c>
      <c r="AF83" s="8">
        <f>'MSRP Catalog'!K83</f>
        <v/>
      </c>
      <c r="AG83" s="8">
        <f>'MSRP Catalog'!N83</f>
        <v/>
      </c>
    </row>
    <row r="84">
      <c r="A84" s="8">
        <f>'MSRP Catalog'!A84</f>
        <v/>
      </c>
      <c r="B84" s="8">
        <f>'MSRP Catalog'!B84</f>
        <v/>
      </c>
      <c r="C84" s="8">
        <f>'MSRP Catalog'!C84</f>
        <v/>
      </c>
      <c r="D84" s="8">
        <f>'MSRP Catalog'!D84</f>
        <v/>
      </c>
      <c r="E84" s="8">
        <f>'MSRP Catalog'!E84</f>
        <v/>
      </c>
      <c r="F84" s="8">
        <f>'MSRP Catalog'!F84</f>
        <v/>
      </c>
      <c r="G84" s="8">
        <f>'MSRP Catalog'!G84</f>
        <v/>
      </c>
      <c r="H84" s="9">
        <f>'MSRP Catalog'!H84</f>
        <v/>
      </c>
      <c r="I84" s="10">
        <f>'MSRP Catalog'!I84</f>
        <v/>
      </c>
      <c r="J84" s="11" t="n">
        <v>0.1</v>
      </c>
      <c r="K84" s="12">
        <f>IFERROR(I84*(1-J84),"")</f>
        <v/>
      </c>
      <c r="L84" s="12">
        <f>IFERROR(K84*(1-P84),"")</f>
        <v/>
      </c>
      <c r="M84" s="13" t="n"/>
      <c r="N84" s="12">
        <f>IFERROR(I84*(1-O84),"")</f>
        <v/>
      </c>
      <c r="O84" s="11" t="n">
        <v>0.2</v>
      </c>
      <c r="P84" s="11" t="n">
        <v>0.15</v>
      </c>
      <c r="Q84" s="14">
        <f>IFERROR(L84/I84,"")</f>
        <v/>
      </c>
      <c r="R84" s="14">
        <f>IF(OR(M84="",I84=0),"",M84/I84)</f>
        <v/>
      </c>
      <c r="S84" s="8" t="inlineStr">
        <is>
          <t>Automatic</t>
        </is>
      </c>
      <c r="T84" s="8" t="inlineStr">
        <is>
          <t>CSO</t>
        </is>
      </c>
      <c r="U84" s="15">
        <f>IF(M84="","REVIEW",IF(L84&lt;M84,"BLOCK","OK"))</f>
        <v/>
      </c>
      <c r="V84" s="15">
        <f>IF(J84&gt;O84,"BLOCK","OK")</f>
        <v/>
      </c>
      <c r="W84" s="15">
        <f>IF(P84&gt;IF(D84="Start",10%,IF(D84="Pro",15%,IF(OR(D84="Business",D84="Enterprise"),20%,30%))),"BLOCK","OK")</f>
        <v/>
      </c>
      <c r="X84" s="15">
        <f>IF(OR(M84="",R84=""),"REVIEW",IF(Q84&lt;R84,"BLOCK","OK"))</f>
        <v/>
      </c>
      <c r="Y84" s="8" t="inlineStr">
        <is>
          <t>No</t>
        </is>
      </c>
      <c r="Z84" s="15">
        <f>IF(AND(D84="Ultimate",Y84="Yes"),"BLOCK","OK")</f>
        <v/>
      </c>
      <c r="AA84" s="8" t="inlineStr">
        <is>
          <t>No</t>
        </is>
      </c>
      <c r="AB84" s="8" t="n"/>
      <c r="AC84" s="15">
        <f>IF(AND(AA84="Yes",AB84=""),"BLOCK","OK")</f>
        <v/>
      </c>
      <c r="AD84" s="16">
        <f>'MSRP Catalog'!M84</f>
        <v/>
      </c>
      <c r="AE84" s="15">
        <f>IF(AD84="","REVIEW",IF(AD84&lt;TODAY(),"BLOCK","OK"))</f>
        <v/>
      </c>
      <c r="AF84" s="8">
        <f>'MSRP Catalog'!K84</f>
        <v/>
      </c>
      <c r="AG84" s="8">
        <f>'MSRP Catalog'!N84</f>
        <v/>
      </c>
    </row>
    <row r="85">
      <c r="A85" s="8">
        <f>'MSRP Catalog'!A85</f>
        <v/>
      </c>
      <c r="B85" s="8">
        <f>'MSRP Catalog'!B85</f>
        <v/>
      </c>
      <c r="C85" s="8">
        <f>'MSRP Catalog'!C85</f>
        <v/>
      </c>
      <c r="D85" s="8">
        <f>'MSRP Catalog'!D85</f>
        <v/>
      </c>
      <c r="E85" s="8">
        <f>'MSRP Catalog'!E85</f>
        <v/>
      </c>
      <c r="F85" s="8">
        <f>'MSRP Catalog'!F85</f>
        <v/>
      </c>
      <c r="G85" s="8">
        <f>'MSRP Catalog'!G85</f>
        <v/>
      </c>
      <c r="H85" s="9">
        <f>'MSRP Catalog'!H85</f>
        <v/>
      </c>
      <c r="I85" s="10">
        <f>'MSRP Catalog'!I85</f>
        <v/>
      </c>
      <c r="J85" s="11" t="n">
        <v>0.1</v>
      </c>
      <c r="K85" s="12">
        <f>IFERROR(I85*(1-J85),"")</f>
        <v/>
      </c>
      <c r="L85" s="12">
        <f>IFERROR(K85*(1-P85),"")</f>
        <v/>
      </c>
      <c r="M85" s="13" t="n"/>
      <c r="N85" s="12">
        <f>IFERROR(I85*(1-O85),"")</f>
        <v/>
      </c>
      <c r="O85" s="11" t="n">
        <v>0.2</v>
      </c>
      <c r="P85" s="11" t="n">
        <v>0.15</v>
      </c>
      <c r="Q85" s="14">
        <f>IFERROR(L85/I85,"")</f>
        <v/>
      </c>
      <c r="R85" s="14">
        <f>IF(OR(M85="",I85=0),"",M85/I85)</f>
        <v/>
      </c>
      <c r="S85" s="8" t="inlineStr">
        <is>
          <t>Automatic</t>
        </is>
      </c>
      <c r="T85" s="8" t="inlineStr">
        <is>
          <t>CSO</t>
        </is>
      </c>
      <c r="U85" s="15">
        <f>IF(M85="","REVIEW",IF(L85&lt;M85,"BLOCK","OK"))</f>
        <v/>
      </c>
      <c r="V85" s="15">
        <f>IF(J85&gt;O85,"BLOCK","OK")</f>
        <v/>
      </c>
      <c r="W85" s="15">
        <f>IF(P85&gt;IF(D85="Start",10%,IF(D85="Pro",15%,IF(OR(D85="Business",D85="Enterprise"),20%,30%))),"BLOCK","OK")</f>
        <v/>
      </c>
      <c r="X85" s="15">
        <f>IF(OR(M85="",R85=""),"REVIEW",IF(Q85&lt;R85,"BLOCK","OK"))</f>
        <v/>
      </c>
      <c r="Y85" s="8" t="inlineStr">
        <is>
          <t>No</t>
        </is>
      </c>
      <c r="Z85" s="15">
        <f>IF(AND(D85="Ultimate",Y85="Yes"),"BLOCK","OK")</f>
        <v/>
      </c>
      <c r="AA85" s="8" t="inlineStr">
        <is>
          <t>No</t>
        </is>
      </c>
      <c r="AB85" s="8" t="n"/>
      <c r="AC85" s="15">
        <f>IF(AND(AA85="Yes",AB85=""),"BLOCK","OK")</f>
        <v/>
      </c>
      <c r="AD85" s="16">
        <f>'MSRP Catalog'!M85</f>
        <v/>
      </c>
      <c r="AE85" s="15">
        <f>IF(AD85="","REVIEW",IF(AD85&lt;TODAY(),"BLOCK","OK"))</f>
        <v/>
      </c>
      <c r="AF85" s="8">
        <f>'MSRP Catalog'!K85</f>
        <v/>
      </c>
      <c r="AG85" s="8">
        <f>'MSRP Catalog'!N85</f>
        <v/>
      </c>
    </row>
    <row r="86">
      <c r="A86" s="8">
        <f>'MSRP Catalog'!A86</f>
        <v/>
      </c>
      <c r="B86" s="8">
        <f>'MSRP Catalog'!B86</f>
        <v/>
      </c>
      <c r="C86" s="8">
        <f>'MSRP Catalog'!C86</f>
        <v/>
      </c>
      <c r="D86" s="8">
        <f>'MSRP Catalog'!D86</f>
        <v/>
      </c>
      <c r="E86" s="8">
        <f>'MSRP Catalog'!E86</f>
        <v/>
      </c>
      <c r="F86" s="8">
        <f>'MSRP Catalog'!F86</f>
        <v/>
      </c>
      <c r="G86" s="8">
        <f>'MSRP Catalog'!G86</f>
        <v/>
      </c>
      <c r="H86" s="9">
        <f>'MSRP Catalog'!H86</f>
        <v/>
      </c>
      <c r="I86" s="10">
        <f>'MSRP Catalog'!I86</f>
        <v/>
      </c>
      <c r="J86" s="11" t="n">
        <v>0.1</v>
      </c>
      <c r="K86" s="12">
        <f>IFERROR(I86*(1-J86),"")</f>
        <v/>
      </c>
      <c r="L86" s="12">
        <f>IFERROR(K86*(1-P86),"")</f>
        <v/>
      </c>
      <c r="M86" s="13" t="n"/>
      <c r="N86" s="12">
        <f>IFERROR(I86*(1-O86),"")</f>
        <v/>
      </c>
      <c r="O86" s="11" t="n">
        <v>0.2</v>
      </c>
      <c r="P86" s="11" t="n">
        <v>0.15</v>
      </c>
      <c r="Q86" s="14">
        <f>IFERROR(L86/I86,"")</f>
        <v/>
      </c>
      <c r="R86" s="14">
        <f>IF(OR(M86="",I86=0),"",M86/I86)</f>
        <v/>
      </c>
      <c r="S86" s="8" t="inlineStr">
        <is>
          <t>Automatic</t>
        </is>
      </c>
      <c r="T86" s="8" t="inlineStr">
        <is>
          <t>CSO</t>
        </is>
      </c>
      <c r="U86" s="15">
        <f>IF(M86="","REVIEW",IF(L86&lt;M86,"BLOCK","OK"))</f>
        <v/>
      </c>
      <c r="V86" s="15">
        <f>IF(J86&gt;O86,"BLOCK","OK")</f>
        <v/>
      </c>
      <c r="W86" s="15">
        <f>IF(P86&gt;IF(D86="Start",10%,IF(D86="Pro",15%,IF(OR(D86="Business",D86="Enterprise"),20%,30%))),"BLOCK","OK")</f>
        <v/>
      </c>
      <c r="X86" s="15">
        <f>IF(OR(M86="",R86=""),"REVIEW",IF(Q86&lt;R86,"BLOCK","OK"))</f>
        <v/>
      </c>
      <c r="Y86" s="8" t="inlineStr">
        <is>
          <t>No</t>
        </is>
      </c>
      <c r="Z86" s="15">
        <f>IF(AND(D86="Ultimate",Y86="Yes"),"BLOCK","OK")</f>
        <v/>
      </c>
      <c r="AA86" s="8" t="inlineStr">
        <is>
          <t>No</t>
        </is>
      </c>
      <c r="AB86" s="8" t="n"/>
      <c r="AC86" s="15">
        <f>IF(AND(AA86="Yes",AB86=""),"BLOCK","OK")</f>
        <v/>
      </c>
      <c r="AD86" s="16">
        <f>'MSRP Catalog'!M86</f>
        <v/>
      </c>
      <c r="AE86" s="15">
        <f>IF(AD86="","REVIEW",IF(AD86&lt;TODAY(),"BLOCK","OK"))</f>
        <v/>
      </c>
      <c r="AF86" s="8">
        <f>'MSRP Catalog'!K86</f>
        <v/>
      </c>
      <c r="AG86" s="8">
        <f>'MSRP Catalog'!N86</f>
        <v/>
      </c>
    </row>
    <row r="87">
      <c r="A87" s="8">
        <f>'MSRP Catalog'!A87</f>
        <v/>
      </c>
      <c r="B87" s="8">
        <f>'MSRP Catalog'!B87</f>
        <v/>
      </c>
      <c r="C87" s="8">
        <f>'MSRP Catalog'!C87</f>
        <v/>
      </c>
      <c r="D87" s="8">
        <f>'MSRP Catalog'!D87</f>
        <v/>
      </c>
      <c r="E87" s="8">
        <f>'MSRP Catalog'!E87</f>
        <v/>
      </c>
      <c r="F87" s="8">
        <f>'MSRP Catalog'!F87</f>
        <v/>
      </c>
      <c r="G87" s="8">
        <f>'MSRP Catalog'!G87</f>
        <v/>
      </c>
      <c r="H87" s="9">
        <f>'MSRP Catalog'!H87</f>
        <v/>
      </c>
      <c r="I87" s="10">
        <f>'MSRP Catalog'!I87</f>
        <v/>
      </c>
      <c r="J87" s="11" t="n">
        <v>0.1</v>
      </c>
      <c r="K87" s="12">
        <f>IFERROR(I87*(1-J87),"")</f>
        <v/>
      </c>
      <c r="L87" s="12">
        <f>IFERROR(K87*(1-P87),"")</f>
        <v/>
      </c>
      <c r="M87" s="13" t="n"/>
      <c r="N87" s="12">
        <f>IFERROR(I87*(1-O87),"")</f>
        <v/>
      </c>
      <c r="O87" s="11" t="n">
        <v>0.2</v>
      </c>
      <c r="P87" s="11" t="n">
        <v>0.15</v>
      </c>
      <c r="Q87" s="14">
        <f>IFERROR(L87/I87,"")</f>
        <v/>
      </c>
      <c r="R87" s="14">
        <f>IF(OR(M87="",I87=0),"",M87/I87)</f>
        <v/>
      </c>
      <c r="S87" s="8" t="inlineStr">
        <is>
          <t>Automatic</t>
        </is>
      </c>
      <c r="T87" s="8" t="inlineStr">
        <is>
          <t>CSO</t>
        </is>
      </c>
      <c r="U87" s="15">
        <f>IF(M87="","REVIEW",IF(L87&lt;M87,"BLOCK","OK"))</f>
        <v/>
      </c>
      <c r="V87" s="15">
        <f>IF(J87&gt;O87,"BLOCK","OK")</f>
        <v/>
      </c>
      <c r="W87" s="15">
        <f>IF(P87&gt;IF(D87="Start",10%,IF(D87="Pro",15%,IF(OR(D87="Business",D87="Enterprise"),20%,30%))),"BLOCK","OK")</f>
        <v/>
      </c>
      <c r="X87" s="15">
        <f>IF(OR(M87="",R87=""),"REVIEW",IF(Q87&lt;R87,"BLOCK","OK"))</f>
        <v/>
      </c>
      <c r="Y87" s="8" t="inlineStr">
        <is>
          <t>No</t>
        </is>
      </c>
      <c r="Z87" s="15">
        <f>IF(AND(D87="Ultimate",Y87="Yes"),"BLOCK","OK")</f>
        <v/>
      </c>
      <c r="AA87" s="8" t="inlineStr">
        <is>
          <t>No</t>
        </is>
      </c>
      <c r="AB87" s="8" t="n"/>
      <c r="AC87" s="15">
        <f>IF(AND(AA87="Yes",AB87=""),"BLOCK","OK")</f>
        <v/>
      </c>
      <c r="AD87" s="16">
        <f>'MSRP Catalog'!M87</f>
        <v/>
      </c>
      <c r="AE87" s="15">
        <f>IF(AD87="","REVIEW",IF(AD87&lt;TODAY(),"BLOCK","OK"))</f>
        <v/>
      </c>
      <c r="AF87" s="8">
        <f>'MSRP Catalog'!K87</f>
        <v/>
      </c>
      <c r="AG87" s="8">
        <f>'MSRP Catalog'!N87</f>
        <v/>
      </c>
    </row>
    <row r="88">
      <c r="A88" s="8">
        <f>'MSRP Catalog'!A88</f>
        <v/>
      </c>
      <c r="B88" s="8">
        <f>'MSRP Catalog'!B88</f>
        <v/>
      </c>
      <c r="C88" s="8">
        <f>'MSRP Catalog'!C88</f>
        <v/>
      </c>
      <c r="D88" s="8">
        <f>'MSRP Catalog'!D88</f>
        <v/>
      </c>
      <c r="E88" s="8">
        <f>'MSRP Catalog'!E88</f>
        <v/>
      </c>
      <c r="F88" s="8">
        <f>'MSRP Catalog'!F88</f>
        <v/>
      </c>
      <c r="G88" s="8">
        <f>'MSRP Catalog'!G88</f>
        <v/>
      </c>
      <c r="H88" s="9">
        <f>'MSRP Catalog'!H88</f>
        <v/>
      </c>
      <c r="I88" s="10">
        <f>'MSRP Catalog'!I88</f>
        <v/>
      </c>
      <c r="J88" s="11" t="n">
        <v>0.1</v>
      </c>
      <c r="K88" s="12">
        <f>IFERROR(I88*(1-J88),"")</f>
        <v/>
      </c>
      <c r="L88" s="12">
        <f>IFERROR(K88*(1-P88),"")</f>
        <v/>
      </c>
      <c r="M88" s="13" t="n"/>
      <c r="N88" s="12">
        <f>IFERROR(I88*(1-O88),"")</f>
        <v/>
      </c>
      <c r="O88" s="11" t="n">
        <v>0.2</v>
      </c>
      <c r="P88" s="11" t="n">
        <v>0.15</v>
      </c>
      <c r="Q88" s="14">
        <f>IFERROR(L88/I88,"")</f>
        <v/>
      </c>
      <c r="R88" s="14">
        <f>IF(OR(M88="",I88=0),"",M88/I88)</f>
        <v/>
      </c>
      <c r="S88" s="8" t="inlineStr">
        <is>
          <t>Automatic</t>
        </is>
      </c>
      <c r="T88" s="8" t="inlineStr">
        <is>
          <t>CSO</t>
        </is>
      </c>
      <c r="U88" s="15">
        <f>IF(M88="","REVIEW",IF(L88&lt;M88,"BLOCK","OK"))</f>
        <v/>
      </c>
      <c r="V88" s="15">
        <f>IF(J88&gt;O88,"BLOCK","OK")</f>
        <v/>
      </c>
      <c r="W88" s="15">
        <f>IF(P88&gt;IF(D88="Start",10%,IF(D88="Pro",15%,IF(OR(D88="Business",D88="Enterprise"),20%,30%))),"BLOCK","OK")</f>
        <v/>
      </c>
      <c r="X88" s="15">
        <f>IF(OR(M88="",R88=""),"REVIEW",IF(Q88&lt;R88,"BLOCK","OK"))</f>
        <v/>
      </c>
      <c r="Y88" s="8" t="inlineStr">
        <is>
          <t>No</t>
        </is>
      </c>
      <c r="Z88" s="15">
        <f>IF(AND(D88="Ultimate",Y88="Yes"),"BLOCK","OK")</f>
        <v/>
      </c>
      <c r="AA88" s="8" t="inlineStr">
        <is>
          <t>No</t>
        </is>
      </c>
      <c r="AB88" s="8" t="n"/>
      <c r="AC88" s="15">
        <f>IF(AND(AA88="Yes",AB88=""),"BLOCK","OK")</f>
        <v/>
      </c>
      <c r="AD88" s="16">
        <f>'MSRP Catalog'!M88</f>
        <v/>
      </c>
      <c r="AE88" s="15">
        <f>IF(AD88="","REVIEW",IF(AD88&lt;TODAY(),"BLOCK","OK"))</f>
        <v/>
      </c>
      <c r="AF88" s="8">
        <f>'MSRP Catalog'!K88</f>
        <v/>
      </c>
      <c r="AG88" s="8">
        <f>'MSRP Catalog'!N88</f>
        <v/>
      </c>
    </row>
    <row r="89">
      <c r="A89" s="8">
        <f>'MSRP Catalog'!A89</f>
        <v/>
      </c>
      <c r="B89" s="8">
        <f>'MSRP Catalog'!B89</f>
        <v/>
      </c>
      <c r="C89" s="8">
        <f>'MSRP Catalog'!C89</f>
        <v/>
      </c>
      <c r="D89" s="8">
        <f>'MSRP Catalog'!D89</f>
        <v/>
      </c>
      <c r="E89" s="8">
        <f>'MSRP Catalog'!E89</f>
        <v/>
      </c>
      <c r="F89" s="8">
        <f>'MSRP Catalog'!F89</f>
        <v/>
      </c>
      <c r="G89" s="8">
        <f>'MSRP Catalog'!G89</f>
        <v/>
      </c>
      <c r="H89" s="9">
        <f>'MSRP Catalog'!H89</f>
        <v/>
      </c>
      <c r="I89" s="10">
        <f>'MSRP Catalog'!I89</f>
        <v/>
      </c>
      <c r="J89" s="11" t="n">
        <v>0.1</v>
      </c>
      <c r="K89" s="12">
        <f>IFERROR(I89*(1-J89),"")</f>
        <v/>
      </c>
      <c r="L89" s="12">
        <f>IFERROR(K89*(1-P89),"")</f>
        <v/>
      </c>
      <c r="M89" s="13" t="n"/>
      <c r="N89" s="12">
        <f>IFERROR(I89*(1-O89),"")</f>
        <v/>
      </c>
      <c r="O89" s="11" t="n">
        <v>0.2</v>
      </c>
      <c r="P89" s="11" t="n">
        <v>0.15</v>
      </c>
      <c r="Q89" s="14">
        <f>IFERROR(L89/I89,"")</f>
        <v/>
      </c>
      <c r="R89" s="14">
        <f>IF(OR(M89="",I89=0),"",M89/I89)</f>
        <v/>
      </c>
      <c r="S89" s="8" t="inlineStr">
        <is>
          <t>Automatic</t>
        </is>
      </c>
      <c r="T89" s="8" t="inlineStr">
        <is>
          <t>CSO</t>
        </is>
      </c>
      <c r="U89" s="15">
        <f>IF(M89="","REVIEW",IF(L89&lt;M89,"BLOCK","OK"))</f>
        <v/>
      </c>
      <c r="V89" s="15">
        <f>IF(J89&gt;O89,"BLOCK","OK")</f>
        <v/>
      </c>
      <c r="W89" s="15">
        <f>IF(P89&gt;IF(D89="Start",10%,IF(D89="Pro",15%,IF(OR(D89="Business",D89="Enterprise"),20%,30%))),"BLOCK","OK")</f>
        <v/>
      </c>
      <c r="X89" s="15">
        <f>IF(OR(M89="",R89=""),"REVIEW",IF(Q89&lt;R89,"BLOCK","OK"))</f>
        <v/>
      </c>
      <c r="Y89" s="8" t="inlineStr">
        <is>
          <t>No</t>
        </is>
      </c>
      <c r="Z89" s="15">
        <f>IF(AND(D89="Ultimate",Y89="Yes"),"BLOCK","OK")</f>
        <v/>
      </c>
      <c r="AA89" s="8" t="inlineStr">
        <is>
          <t>No</t>
        </is>
      </c>
      <c r="AB89" s="8" t="n"/>
      <c r="AC89" s="15">
        <f>IF(AND(AA89="Yes",AB89=""),"BLOCK","OK")</f>
        <v/>
      </c>
      <c r="AD89" s="16">
        <f>'MSRP Catalog'!M89</f>
        <v/>
      </c>
      <c r="AE89" s="15">
        <f>IF(AD89="","REVIEW",IF(AD89&lt;TODAY(),"BLOCK","OK"))</f>
        <v/>
      </c>
      <c r="AF89" s="8">
        <f>'MSRP Catalog'!K89</f>
        <v/>
      </c>
      <c r="AG89" s="8">
        <f>'MSRP Catalog'!N89</f>
        <v/>
      </c>
    </row>
    <row r="90">
      <c r="A90" s="8">
        <f>'MSRP Catalog'!A90</f>
        <v/>
      </c>
      <c r="B90" s="8">
        <f>'MSRP Catalog'!B90</f>
        <v/>
      </c>
      <c r="C90" s="8">
        <f>'MSRP Catalog'!C90</f>
        <v/>
      </c>
      <c r="D90" s="8">
        <f>'MSRP Catalog'!D90</f>
        <v/>
      </c>
      <c r="E90" s="8">
        <f>'MSRP Catalog'!E90</f>
        <v/>
      </c>
      <c r="F90" s="8">
        <f>'MSRP Catalog'!F90</f>
        <v/>
      </c>
      <c r="G90" s="8">
        <f>'MSRP Catalog'!G90</f>
        <v/>
      </c>
      <c r="H90" s="9">
        <f>'MSRP Catalog'!H90</f>
        <v/>
      </c>
      <c r="I90" s="10">
        <f>'MSRP Catalog'!I90</f>
        <v/>
      </c>
      <c r="J90" s="11" t="n">
        <v>0.1</v>
      </c>
      <c r="K90" s="12">
        <f>IFERROR(I90*(1-J90),"")</f>
        <v/>
      </c>
      <c r="L90" s="12">
        <f>IFERROR(K90*(1-P90),"")</f>
        <v/>
      </c>
      <c r="M90" s="13" t="n"/>
      <c r="N90" s="12">
        <f>IFERROR(I90*(1-O90),"")</f>
        <v/>
      </c>
      <c r="O90" s="11" t="n">
        <v>0.35</v>
      </c>
      <c r="P90" s="11" t="n">
        <v>0.3</v>
      </c>
      <c r="Q90" s="14">
        <f>IFERROR(L90/I90,"")</f>
        <v/>
      </c>
      <c r="R90" s="14">
        <f>IF(OR(M90="",I90=0),"",M90/I90)</f>
        <v/>
      </c>
      <c r="S90" s="8" t="inlineStr">
        <is>
          <t>Automatic</t>
        </is>
      </c>
      <c r="T90" s="8" t="inlineStr">
        <is>
          <t>CSO</t>
        </is>
      </c>
      <c r="U90" s="15">
        <f>IF(M90="","REVIEW",IF(L90&lt;M90,"BLOCK","OK"))</f>
        <v/>
      </c>
      <c r="V90" s="15">
        <f>IF(J90&gt;O90,"BLOCK","OK")</f>
        <v/>
      </c>
      <c r="W90" s="15">
        <f>IF(P90&gt;IF(D90="Start",10%,IF(D90="Pro",15%,IF(OR(D90="Business",D90="Enterprise"),20%,30%))),"BLOCK","OK")</f>
        <v/>
      </c>
      <c r="X90" s="15">
        <f>IF(OR(M90="",R90=""),"REVIEW",IF(Q90&lt;R90,"BLOCK","OK"))</f>
        <v/>
      </c>
      <c r="Y90" s="8" t="inlineStr">
        <is>
          <t>No</t>
        </is>
      </c>
      <c r="Z90" s="15">
        <f>IF(AND(D90="Ultimate",Y90="Yes"),"BLOCK","OK")</f>
        <v/>
      </c>
      <c r="AA90" s="8" t="inlineStr">
        <is>
          <t>No</t>
        </is>
      </c>
      <c r="AB90" s="8" t="n"/>
      <c r="AC90" s="15">
        <f>IF(AND(AA90="Yes",AB90=""),"BLOCK","OK")</f>
        <v/>
      </c>
      <c r="AD90" s="16">
        <f>'MSRP Catalog'!M90</f>
        <v/>
      </c>
      <c r="AE90" s="15">
        <f>IF(AD90="","REVIEW",IF(AD90&lt;TODAY(),"BLOCK","OK"))</f>
        <v/>
      </c>
      <c r="AF90" s="8">
        <f>'MSRP Catalog'!K90</f>
        <v/>
      </c>
      <c r="AG90" s="8">
        <f>'MSRP Catalog'!N90</f>
        <v/>
      </c>
    </row>
    <row r="91">
      <c r="A91" s="8">
        <f>'MSRP Catalog'!A91</f>
        <v/>
      </c>
      <c r="B91" s="8">
        <f>'MSRP Catalog'!B91</f>
        <v/>
      </c>
      <c r="C91" s="8">
        <f>'MSRP Catalog'!C91</f>
        <v/>
      </c>
      <c r="D91" s="8">
        <f>'MSRP Catalog'!D91</f>
        <v/>
      </c>
      <c r="E91" s="8">
        <f>'MSRP Catalog'!E91</f>
        <v/>
      </c>
      <c r="F91" s="8">
        <f>'MSRP Catalog'!F91</f>
        <v/>
      </c>
      <c r="G91" s="8">
        <f>'MSRP Catalog'!G91</f>
        <v/>
      </c>
      <c r="H91" s="9">
        <f>'MSRP Catalog'!H91</f>
        <v/>
      </c>
      <c r="I91" s="10">
        <f>'MSRP Catalog'!I91</f>
        <v/>
      </c>
      <c r="J91" s="11" t="n">
        <v>0.1</v>
      </c>
      <c r="K91" s="12">
        <f>IFERROR(I91*(1-J91),"")</f>
        <v/>
      </c>
      <c r="L91" s="12">
        <f>IFERROR(K91*(1-P91),"")</f>
        <v/>
      </c>
      <c r="M91" s="13" t="n"/>
      <c r="N91" s="12">
        <f>IFERROR(I91*(1-O91),"")</f>
        <v/>
      </c>
      <c r="O91" s="11" t="n">
        <v>0.35</v>
      </c>
      <c r="P91" s="11" t="n">
        <v>0.3</v>
      </c>
      <c r="Q91" s="14">
        <f>IFERROR(L91/I91,"")</f>
        <v/>
      </c>
      <c r="R91" s="14">
        <f>IF(OR(M91="",I91=0),"",M91/I91)</f>
        <v/>
      </c>
      <c r="S91" s="8" t="inlineStr">
        <is>
          <t>Automatic</t>
        </is>
      </c>
      <c r="T91" s="8" t="inlineStr">
        <is>
          <t>CSO</t>
        </is>
      </c>
      <c r="U91" s="15">
        <f>IF(M91="","REVIEW",IF(L91&lt;M91,"BLOCK","OK"))</f>
        <v/>
      </c>
      <c r="V91" s="15">
        <f>IF(J91&gt;O91,"BLOCK","OK")</f>
        <v/>
      </c>
      <c r="W91" s="15">
        <f>IF(P91&gt;IF(D91="Start",10%,IF(D91="Pro",15%,IF(OR(D91="Business",D91="Enterprise"),20%,30%))),"BLOCK","OK")</f>
        <v/>
      </c>
      <c r="X91" s="15">
        <f>IF(OR(M91="",R91=""),"REVIEW",IF(Q91&lt;R91,"BLOCK","OK"))</f>
        <v/>
      </c>
      <c r="Y91" s="8" t="inlineStr">
        <is>
          <t>No</t>
        </is>
      </c>
      <c r="Z91" s="15">
        <f>IF(AND(D91="Ultimate",Y91="Yes"),"BLOCK","OK")</f>
        <v/>
      </c>
      <c r="AA91" s="8" t="inlineStr">
        <is>
          <t>No</t>
        </is>
      </c>
      <c r="AB91" s="8" t="n"/>
      <c r="AC91" s="15">
        <f>IF(AND(AA91="Yes",AB91=""),"BLOCK","OK")</f>
        <v/>
      </c>
      <c r="AD91" s="16">
        <f>'MSRP Catalog'!M91</f>
        <v/>
      </c>
      <c r="AE91" s="15">
        <f>IF(AD91="","REVIEW",IF(AD91&lt;TODAY(),"BLOCK","OK"))</f>
        <v/>
      </c>
      <c r="AF91" s="8">
        <f>'MSRP Catalog'!K91</f>
        <v/>
      </c>
      <c r="AG91" s="8">
        <f>'MSRP Catalog'!N91</f>
        <v/>
      </c>
    </row>
    <row r="92">
      <c r="A92" s="8">
        <f>'MSRP Catalog'!A92</f>
        <v/>
      </c>
      <c r="B92" s="8">
        <f>'MSRP Catalog'!B92</f>
        <v/>
      </c>
      <c r="C92" s="8">
        <f>'MSRP Catalog'!C92</f>
        <v/>
      </c>
      <c r="D92" s="8">
        <f>'MSRP Catalog'!D92</f>
        <v/>
      </c>
      <c r="E92" s="8">
        <f>'MSRP Catalog'!E92</f>
        <v/>
      </c>
      <c r="F92" s="8">
        <f>'MSRP Catalog'!F92</f>
        <v/>
      </c>
      <c r="G92" s="8">
        <f>'MSRP Catalog'!G92</f>
        <v/>
      </c>
      <c r="H92" s="9">
        <f>'MSRP Catalog'!H92</f>
        <v/>
      </c>
      <c r="I92" s="10">
        <f>'MSRP Catalog'!I92</f>
        <v/>
      </c>
      <c r="J92" s="11" t="n">
        <v>0.1</v>
      </c>
      <c r="K92" s="12">
        <f>IFERROR(I92*(1-J92),"")</f>
        <v/>
      </c>
      <c r="L92" s="12">
        <f>IFERROR(K92*(1-P92),"")</f>
        <v/>
      </c>
      <c r="M92" s="13" t="n"/>
      <c r="N92" s="12">
        <f>IFERROR(I92*(1-O92),"")</f>
        <v/>
      </c>
      <c r="O92" s="11" t="n">
        <v>0.35</v>
      </c>
      <c r="P92" s="11" t="n">
        <v>0.3</v>
      </c>
      <c r="Q92" s="14">
        <f>IFERROR(L92/I92,"")</f>
        <v/>
      </c>
      <c r="R92" s="14">
        <f>IF(OR(M92="",I92=0),"",M92/I92)</f>
        <v/>
      </c>
      <c r="S92" s="8" t="inlineStr">
        <is>
          <t>Automatic</t>
        </is>
      </c>
      <c r="T92" s="8" t="inlineStr">
        <is>
          <t>CSO</t>
        </is>
      </c>
      <c r="U92" s="15">
        <f>IF(M92="","REVIEW",IF(L92&lt;M92,"BLOCK","OK"))</f>
        <v/>
      </c>
      <c r="V92" s="15">
        <f>IF(J92&gt;O92,"BLOCK","OK")</f>
        <v/>
      </c>
      <c r="W92" s="15">
        <f>IF(P92&gt;IF(D92="Start",10%,IF(D92="Pro",15%,IF(OR(D92="Business",D92="Enterprise"),20%,30%))),"BLOCK","OK")</f>
        <v/>
      </c>
      <c r="X92" s="15">
        <f>IF(OR(M92="",R92=""),"REVIEW",IF(Q92&lt;R92,"BLOCK","OK"))</f>
        <v/>
      </c>
      <c r="Y92" s="8" t="inlineStr">
        <is>
          <t>No</t>
        </is>
      </c>
      <c r="Z92" s="15">
        <f>IF(AND(D92="Ultimate",Y92="Yes"),"BLOCK","OK")</f>
        <v/>
      </c>
      <c r="AA92" s="8" t="inlineStr">
        <is>
          <t>No</t>
        </is>
      </c>
      <c r="AB92" s="8" t="n"/>
      <c r="AC92" s="15">
        <f>IF(AND(AA92="Yes",AB92=""),"BLOCK","OK")</f>
        <v/>
      </c>
      <c r="AD92" s="16">
        <f>'MSRP Catalog'!M92</f>
        <v/>
      </c>
      <c r="AE92" s="15">
        <f>IF(AD92="","REVIEW",IF(AD92&lt;TODAY(),"BLOCK","OK"))</f>
        <v/>
      </c>
      <c r="AF92" s="8">
        <f>'MSRP Catalog'!K92</f>
        <v/>
      </c>
      <c r="AG92" s="8">
        <f>'MSRP Catalog'!N92</f>
        <v/>
      </c>
    </row>
    <row r="93">
      <c r="A93" s="8">
        <f>'MSRP Catalog'!A93</f>
        <v/>
      </c>
      <c r="B93" s="8">
        <f>'MSRP Catalog'!B93</f>
        <v/>
      </c>
      <c r="C93" s="8">
        <f>'MSRP Catalog'!C93</f>
        <v/>
      </c>
      <c r="D93" s="8">
        <f>'MSRP Catalog'!D93</f>
        <v/>
      </c>
      <c r="E93" s="8">
        <f>'MSRP Catalog'!E93</f>
        <v/>
      </c>
      <c r="F93" s="8">
        <f>'MSRP Catalog'!F93</f>
        <v/>
      </c>
      <c r="G93" s="8">
        <f>'MSRP Catalog'!G93</f>
        <v/>
      </c>
      <c r="H93" s="9">
        <f>'MSRP Catalog'!H93</f>
        <v/>
      </c>
      <c r="I93" s="10">
        <f>'MSRP Catalog'!I93</f>
        <v/>
      </c>
      <c r="J93" s="11" t="n">
        <v>0.1</v>
      </c>
      <c r="K93" s="12">
        <f>IFERROR(I93*(1-J93),"")</f>
        <v/>
      </c>
      <c r="L93" s="12">
        <f>IFERROR(K93*(1-P93),"")</f>
        <v/>
      </c>
      <c r="M93" s="13" t="n"/>
      <c r="N93" s="12">
        <f>IFERROR(I93*(1-O93),"")</f>
        <v/>
      </c>
      <c r="O93" s="11" t="n">
        <v>0.35</v>
      </c>
      <c r="P93" s="11" t="n">
        <v>0.3</v>
      </c>
      <c r="Q93" s="14">
        <f>IFERROR(L93/I93,"")</f>
        <v/>
      </c>
      <c r="R93" s="14">
        <f>IF(OR(M93="",I93=0),"",M93/I93)</f>
        <v/>
      </c>
      <c r="S93" s="8" t="inlineStr">
        <is>
          <t>Automatic</t>
        </is>
      </c>
      <c r="T93" s="8" t="inlineStr">
        <is>
          <t>CSO</t>
        </is>
      </c>
      <c r="U93" s="15">
        <f>IF(M93="","REVIEW",IF(L93&lt;M93,"BLOCK","OK"))</f>
        <v/>
      </c>
      <c r="V93" s="15">
        <f>IF(J93&gt;O93,"BLOCK","OK")</f>
        <v/>
      </c>
      <c r="W93" s="15">
        <f>IF(P93&gt;IF(D93="Start",10%,IF(D93="Pro",15%,IF(OR(D93="Business",D93="Enterprise"),20%,30%))),"BLOCK","OK")</f>
        <v/>
      </c>
      <c r="X93" s="15">
        <f>IF(OR(M93="",R93=""),"REVIEW",IF(Q93&lt;R93,"BLOCK","OK"))</f>
        <v/>
      </c>
      <c r="Y93" s="8" t="inlineStr">
        <is>
          <t>No</t>
        </is>
      </c>
      <c r="Z93" s="15">
        <f>IF(AND(D93="Ultimate",Y93="Yes"),"BLOCK","OK")</f>
        <v/>
      </c>
      <c r="AA93" s="8" t="inlineStr">
        <is>
          <t>No</t>
        </is>
      </c>
      <c r="AB93" s="8" t="n"/>
      <c r="AC93" s="15">
        <f>IF(AND(AA93="Yes",AB93=""),"BLOCK","OK")</f>
        <v/>
      </c>
      <c r="AD93" s="16">
        <f>'MSRP Catalog'!M93</f>
        <v/>
      </c>
      <c r="AE93" s="15">
        <f>IF(AD93="","REVIEW",IF(AD93&lt;TODAY(),"BLOCK","OK"))</f>
        <v/>
      </c>
      <c r="AF93" s="8">
        <f>'MSRP Catalog'!K93</f>
        <v/>
      </c>
      <c r="AG93" s="8">
        <f>'MSRP Catalog'!N93</f>
        <v/>
      </c>
    </row>
    <row r="94">
      <c r="A94" s="8">
        <f>'MSRP Catalog'!A94</f>
        <v/>
      </c>
      <c r="B94" s="8">
        <f>'MSRP Catalog'!B94</f>
        <v/>
      </c>
      <c r="C94" s="8">
        <f>'MSRP Catalog'!C94</f>
        <v/>
      </c>
      <c r="D94" s="8">
        <f>'MSRP Catalog'!D94</f>
        <v/>
      </c>
      <c r="E94" s="8">
        <f>'MSRP Catalog'!E94</f>
        <v/>
      </c>
      <c r="F94" s="8">
        <f>'MSRP Catalog'!F94</f>
        <v/>
      </c>
      <c r="G94" s="8">
        <f>'MSRP Catalog'!G94</f>
        <v/>
      </c>
      <c r="H94" s="9">
        <f>'MSRP Catalog'!H94</f>
        <v/>
      </c>
      <c r="I94" s="10">
        <f>'MSRP Catalog'!I94</f>
        <v/>
      </c>
      <c r="J94" s="11" t="n">
        <v>0.1</v>
      </c>
      <c r="K94" s="12">
        <f>IFERROR(I94*(1-J94),"")</f>
        <v/>
      </c>
      <c r="L94" s="12">
        <f>IFERROR(K94*(1-P94),"")</f>
        <v/>
      </c>
      <c r="M94" s="13" t="n"/>
      <c r="N94" s="12">
        <f>IFERROR(I94*(1-O94),"")</f>
        <v/>
      </c>
      <c r="O94" s="11" t="n">
        <v>0.35</v>
      </c>
      <c r="P94" s="11" t="n">
        <v>0.3</v>
      </c>
      <c r="Q94" s="14">
        <f>IFERROR(L94/I94,"")</f>
        <v/>
      </c>
      <c r="R94" s="14">
        <f>IF(OR(M94="",I94=0),"",M94/I94)</f>
        <v/>
      </c>
      <c r="S94" s="8" t="inlineStr">
        <is>
          <t>Automatic</t>
        </is>
      </c>
      <c r="T94" s="8" t="inlineStr">
        <is>
          <t>CSO</t>
        </is>
      </c>
      <c r="U94" s="15">
        <f>IF(M94="","REVIEW",IF(L94&lt;M94,"BLOCK","OK"))</f>
        <v/>
      </c>
      <c r="V94" s="15">
        <f>IF(J94&gt;O94,"BLOCK","OK")</f>
        <v/>
      </c>
      <c r="W94" s="15">
        <f>IF(P94&gt;IF(D94="Start",10%,IF(D94="Pro",15%,IF(OR(D94="Business",D94="Enterprise"),20%,30%))),"BLOCK","OK")</f>
        <v/>
      </c>
      <c r="X94" s="15">
        <f>IF(OR(M94="",R94=""),"REVIEW",IF(Q94&lt;R94,"BLOCK","OK"))</f>
        <v/>
      </c>
      <c r="Y94" s="8" t="inlineStr">
        <is>
          <t>No</t>
        </is>
      </c>
      <c r="Z94" s="15">
        <f>IF(AND(D94="Ultimate",Y94="Yes"),"BLOCK","OK")</f>
        <v/>
      </c>
      <c r="AA94" s="8" t="inlineStr">
        <is>
          <t>No</t>
        </is>
      </c>
      <c r="AB94" s="8" t="n"/>
      <c r="AC94" s="15">
        <f>IF(AND(AA94="Yes",AB94=""),"BLOCK","OK")</f>
        <v/>
      </c>
      <c r="AD94" s="16">
        <f>'MSRP Catalog'!M94</f>
        <v/>
      </c>
      <c r="AE94" s="15">
        <f>IF(AD94="","REVIEW",IF(AD94&lt;TODAY(),"BLOCK","OK"))</f>
        <v/>
      </c>
      <c r="AF94" s="8">
        <f>'MSRP Catalog'!K94</f>
        <v/>
      </c>
      <c r="AG94" s="8">
        <f>'MSRP Catalog'!N94</f>
        <v/>
      </c>
    </row>
    <row r="95">
      <c r="A95" s="8">
        <f>'MSRP Catalog'!A95</f>
        <v/>
      </c>
      <c r="B95" s="8">
        <f>'MSRP Catalog'!B95</f>
        <v/>
      </c>
      <c r="C95" s="8">
        <f>'MSRP Catalog'!C95</f>
        <v/>
      </c>
      <c r="D95" s="8">
        <f>'MSRP Catalog'!D95</f>
        <v/>
      </c>
      <c r="E95" s="8">
        <f>'MSRP Catalog'!E95</f>
        <v/>
      </c>
      <c r="F95" s="8">
        <f>'MSRP Catalog'!F95</f>
        <v/>
      </c>
      <c r="G95" s="8">
        <f>'MSRP Catalog'!G95</f>
        <v/>
      </c>
      <c r="H95" s="9">
        <f>'MSRP Catalog'!H95</f>
        <v/>
      </c>
      <c r="I95" s="10">
        <f>'MSRP Catalog'!I95</f>
        <v/>
      </c>
      <c r="J95" s="11" t="n">
        <v>0.1</v>
      </c>
      <c r="K95" s="12">
        <f>IFERROR(I95*(1-J95),"")</f>
        <v/>
      </c>
      <c r="L95" s="12">
        <f>IFERROR(K95*(1-P95),"")</f>
        <v/>
      </c>
      <c r="M95" s="13" t="n"/>
      <c r="N95" s="12">
        <f>IFERROR(I95*(1-O95),"")</f>
        <v/>
      </c>
      <c r="O95" s="11" t="n">
        <v>0.35</v>
      </c>
      <c r="P95" s="11" t="n">
        <v>0.2</v>
      </c>
      <c r="Q95" s="14">
        <f>IFERROR(L95/I95,"")</f>
        <v/>
      </c>
      <c r="R95" s="14">
        <f>IF(OR(M95="",I95=0),"",M95/I95)</f>
        <v/>
      </c>
      <c r="S95" s="8" t="inlineStr">
        <is>
          <t>Automatic</t>
        </is>
      </c>
      <c r="T95" s="8" t="inlineStr">
        <is>
          <t>CSO</t>
        </is>
      </c>
      <c r="U95" s="15">
        <f>IF(M95="","REVIEW",IF(L95&lt;M95,"BLOCK","OK"))</f>
        <v/>
      </c>
      <c r="V95" s="15">
        <f>IF(J95&gt;O95,"BLOCK","OK")</f>
        <v/>
      </c>
      <c r="W95" s="15">
        <f>IF(P95&gt;IF(D95="Start",10%,IF(D95="Pro",15%,IF(OR(D95="Business",D95="Enterprise"),20%,30%))),"BLOCK","OK")</f>
        <v/>
      </c>
      <c r="X95" s="15">
        <f>IF(OR(M95="",R95=""),"REVIEW",IF(Q95&lt;R95,"BLOCK","OK"))</f>
        <v/>
      </c>
      <c r="Y95" s="8" t="inlineStr">
        <is>
          <t>No</t>
        </is>
      </c>
      <c r="Z95" s="15">
        <f>IF(AND(D95="Ultimate",Y95="Yes"),"BLOCK","OK")</f>
        <v/>
      </c>
      <c r="AA95" s="8" t="inlineStr">
        <is>
          <t>No</t>
        </is>
      </c>
      <c r="AB95" s="8" t="n"/>
      <c r="AC95" s="15">
        <f>IF(AND(AA95="Yes",AB95=""),"BLOCK","OK")</f>
        <v/>
      </c>
      <c r="AD95" s="16">
        <f>'MSRP Catalog'!M95</f>
        <v/>
      </c>
      <c r="AE95" s="15">
        <f>IF(AD95="","REVIEW",IF(AD95&lt;TODAY(),"BLOCK","OK"))</f>
        <v/>
      </c>
      <c r="AF95" s="8">
        <f>'MSRP Catalog'!K95</f>
        <v/>
      </c>
      <c r="AG95" s="8">
        <f>'MSRP Catalog'!N95</f>
        <v/>
      </c>
    </row>
    <row r="96">
      <c r="A96" s="8">
        <f>'MSRP Catalog'!A96</f>
        <v/>
      </c>
      <c r="B96" s="8">
        <f>'MSRP Catalog'!B96</f>
        <v/>
      </c>
      <c r="C96" s="8">
        <f>'MSRP Catalog'!C96</f>
        <v/>
      </c>
      <c r="D96" s="8">
        <f>'MSRP Catalog'!D96</f>
        <v/>
      </c>
      <c r="E96" s="8">
        <f>'MSRP Catalog'!E96</f>
        <v/>
      </c>
      <c r="F96" s="8">
        <f>'MSRP Catalog'!F96</f>
        <v/>
      </c>
      <c r="G96" s="8">
        <f>'MSRP Catalog'!G96</f>
        <v/>
      </c>
      <c r="H96" s="9">
        <f>'MSRP Catalog'!H96</f>
        <v/>
      </c>
      <c r="I96" s="10">
        <f>'MSRP Catalog'!I96</f>
        <v/>
      </c>
      <c r="J96" s="11" t="n">
        <v>0.1</v>
      </c>
      <c r="K96" s="12">
        <f>IFERROR(I96*(1-J96),"")</f>
        <v/>
      </c>
      <c r="L96" s="12">
        <f>IFERROR(K96*(1-P96),"")</f>
        <v/>
      </c>
      <c r="M96" s="13" t="n"/>
      <c r="N96" s="12">
        <f>IFERROR(I96*(1-O96),"")</f>
        <v/>
      </c>
      <c r="O96" s="11" t="n">
        <v>0.35</v>
      </c>
      <c r="P96" s="11" t="n">
        <v>0.2</v>
      </c>
      <c r="Q96" s="14">
        <f>IFERROR(L96/I96,"")</f>
        <v/>
      </c>
      <c r="R96" s="14">
        <f>IF(OR(M96="",I96=0),"",M96/I96)</f>
        <v/>
      </c>
      <c r="S96" s="8" t="inlineStr">
        <is>
          <t>Automatic</t>
        </is>
      </c>
      <c r="T96" s="8" t="inlineStr">
        <is>
          <t>CSO</t>
        </is>
      </c>
      <c r="U96" s="15">
        <f>IF(M96="","REVIEW",IF(L96&lt;M96,"BLOCK","OK"))</f>
        <v/>
      </c>
      <c r="V96" s="15">
        <f>IF(J96&gt;O96,"BLOCK","OK")</f>
        <v/>
      </c>
      <c r="W96" s="15">
        <f>IF(P96&gt;IF(D96="Start",10%,IF(D96="Pro",15%,IF(OR(D96="Business",D96="Enterprise"),20%,30%))),"BLOCK","OK")</f>
        <v/>
      </c>
      <c r="X96" s="15">
        <f>IF(OR(M96="",R96=""),"REVIEW",IF(Q96&lt;R96,"BLOCK","OK"))</f>
        <v/>
      </c>
      <c r="Y96" s="8" t="inlineStr">
        <is>
          <t>No</t>
        </is>
      </c>
      <c r="Z96" s="15">
        <f>IF(AND(D96="Ultimate",Y96="Yes"),"BLOCK","OK")</f>
        <v/>
      </c>
      <c r="AA96" s="8" t="inlineStr">
        <is>
          <t>No</t>
        </is>
      </c>
      <c r="AB96" s="8" t="n"/>
      <c r="AC96" s="15">
        <f>IF(AND(AA96="Yes",AB96=""),"BLOCK","OK")</f>
        <v/>
      </c>
      <c r="AD96" s="16">
        <f>'MSRP Catalog'!M96</f>
        <v/>
      </c>
      <c r="AE96" s="15">
        <f>IF(AD96="","REVIEW",IF(AD96&lt;TODAY(),"BLOCK","OK"))</f>
        <v/>
      </c>
      <c r="AF96" s="8">
        <f>'MSRP Catalog'!K96</f>
        <v/>
      </c>
      <c r="AG96" s="8">
        <f>'MSRP Catalog'!N96</f>
        <v/>
      </c>
    </row>
    <row r="97">
      <c r="A97" s="8">
        <f>'MSRP Catalog'!A97</f>
        <v/>
      </c>
      <c r="B97" s="8">
        <f>'MSRP Catalog'!B97</f>
        <v/>
      </c>
      <c r="C97" s="8">
        <f>'MSRP Catalog'!C97</f>
        <v/>
      </c>
      <c r="D97" s="8">
        <f>'MSRP Catalog'!D97</f>
        <v/>
      </c>
      <c r="E97" s="8">
        <f>'MSRP Catalog'!E97</f>
        <v/>
      </c>
      <c r="F97" s="8">
        <f>'MSRP Catalog'!F97</f>
        <v/>
      </c>
      <c r="G97" s="8">
        <f>'MSRP Catalog'!G97</f>
        <v/>
      </c>
      <c r="H97" s="9">
        <f>'MSRP Catalog'!H97</f>
        <v/>
      </c>
      <c r="I97" s="10">
        <f>'MSRP Catalog'!I97</f>
        <v/>
      </c>
      <c r="J97" s="11" t="n">
        <v>0.1</v>
      </c>
      <c r="K97" s="12">
        <f>IFERROR(I97*(1-J97),"")</f>
        <v/>
      </c>
      <c r="L97" s="12">
        <f>IFERROR(K97*(1-P97),"")</f>
        <v/>
      </c>
      <c r="M97" s="13" t="n"/>
      <c r="N97" s="12">
        <f>IFERROR(I97*(1-O97),"")</f>
        <v/>
      </c>
      <c r="O97" s="11" t="n">
        <v>0.35</v>
      </c>
      <c r="P97" s="11" t="n">
        <v>0.2</v>
      </c>
      <c r="Q97" s="14">
        <f>IFERROR(L97/I97,"")</f>
        <v/>
      </c>
      <c r="R97" s="14">
        <f>IF(OR(M97="",I97=0),"",M97/I97)</f>
        <v/>
      </c>
      <c r="S97" s="8" t="inlineStr">
        <is>
          <t>Automatic</t>
        </is>
      </c>
      <c r="T97" s="8" t="inlineStr">
        <is>
          <t>CSO</t>
        </is>
      </c>
      <c r="U97" s="15">
        <f>IF(M97="","REVIEW",IF(L97&lt;M97,"BLOCK","OK"))</f>
        <v/>
      </c>
      <c r="V97" s="15">
        <f>IF(J97&gt;O97,"BLOCK","OK")</f>
        <v/>
      </c>
      <c r="W97" s="15">
        <f>IF(P97&gt;IF(D97="Start",10%,IF(D97="Pro",15%,IF(OR(D97="Business",D97="Enterprise"),20%,30%))),"BLOCK","OK")</f>
        <v/>
      </c>
      <c r="X97" s="15">
        <f>IF(OR(M97="",R97=""),"REVIEW",IF(Q97&lt;R97,"BLOCK","OK"))</f>
        <v/>
      </c>
      <c r="Y97" s="8" t="inlineStr">
        <is>
          <t>No</t>
        </is>
      </c>
      <c r="Z97" s="15">
        <f>IF(AND(D97="Ultimate",Y97="Yes"),"BLOCK","OK")</f>
        <v/>
      </c>
      <c r="AA97" s="8" t="inlineStr">
        <is>
          <t>No</t>
        </is>
      </c>
      <c r="AB97" s="8" t="n"/>
      <c r="AC97" s="15">
        <f>IF(AND(AA97="Yes",AB97=""),"BLOCK","OK")</f>
        <v/>
      </c>
      <c r="AD97" s="16">
        <f>'MSRP Catalog'!M97</f>
        <v/>
      </c>
      <c r="AE97" s="15">
        <f>IF(AD97="","REVIEW",IF(AD97&lt;TODAY(),"BLOCK","OK"))</f>
        <v/>
      </c>
      <c r="AF97" s="8">
        <f>'MSRP Catalog'!K97</f>
        <v/>
      </c>
      <c r="AG97" s="8">
        <f>'MSRP Catalog'!N97</f>
        <v/>
      </c>
    </row>
    <row r="98">
      <c r="A98" s="8">
        <f>'MSRP Catalog'!A98</f>
        <v/>
      </c>
      <c r="B98" s="8">
        <f>'MSRP Catalog'!B98</f>
        <v/>
      </c>
      <c r="C98" s="8">
        <f>'MSRP Catalog'!C98</f>
        <v/>
      </c>
      <c r="D98" s="8">
        <f>'MSRP Catalog'!D98</f>
        <v/>
      </c>
      <c r="E98" s="8">
        <f>'MSRP Catalog'!E98</f>
        <v/>
      </c>
      <c r="F98" s="8">
        <f>'MSRP Catalog'!F98</f>
        <v/>
      </c>
      <c r="G98" s="8">
        <f>'MSRP Catalog'!G98</f>
        <v/>
      </c>
      <c r="H98" s="9">
        <f>'MSRP Catalog'!H98</f>
        <v/>
      </c>
      <c r="I98" s="10">
        <f>'MSRP Catalog'!I98</f>
        <v/>
      </c>
      <c r="J98" s="11" t="n">
        <v>0.1</v>
      </c>
      <c r="K98" s="12">
        <f>IFERROR(I98*(1-J98),"")</f>
        <v/>
      </c>
      <c r="L98" s="12">
        <f>IFERROR(K98*(1-P98),"")</f>
        <v/>
      </c>
      <c r="M98" s="13" t="n"/>
      <c r="N98" s="12">
        <f>IFERROR(I98*(1-O98),"")</f>
        <v/>
      </c>
      <c r="O98" s="11" t="n">
        <v>0.35</v>
      </c>
      <c r="P98" s="11" t="n">
        <v>0.2</v>
      </c>
      <c r="Q98" s="14">
        <f>IFERROR(L98/I98,"")</f>
        <v/>
      </c>
      <c r="R98" s="14">
        <f>IF(OR(M98="",I98=0),"",M98/I98)</f>
        <v/>
      </c>
      <c r="S98" s="8" t="inlineStr">
        <is>
          <t>Automatic</t>
        </is>
      </c>
      <c r="T98" s="8" t="inlineStr">
        <is>
          <t>CSO</t>
        </is>
      </c>
      <c r="U98" s="15">
        <f>IF(M98="","REVIEW",IF(L98&lt;M98,"BLOCK","OK"))</f>
        <v/>
      </c>
      <c r="V98" s="15">
        <f>IF(J98&gt;O98,"BLOCK","OK")</f>
        <v/>
      </c>
      <c r="W98" s="15">
        <f>IF(P98&gt;IF(D98="Start",10%,IF(D98="Pro",15%,IF(OR(D98="Business",D98="Enterprise"),20%,30%))),"BLOCK","OK")</f>
        <v/>
      </c>
      <c r="X98" s="15">
        <f>IF(OR(M98="",R98=""),"REVIEW",IF(Q98&lt;R98,"BLOCK","OK"))</f>
        <v/>
      </c>
      <c r="Y98" s="8" t="inlineStr">
        <is>
          <t>No</t>
        </is>
      </c>
      <c r="Z98" s="15">
        <f>IF(AND(D98="Ultimate",Y98="Yes"),"BLOCK","OK")</f>
        <v/>
      </c>
      <c r="AA98" s="8" t="inlineStr">
        <is>
          <t>No</t>
        </is>
      </c>
      <c r="AB98" s="8" t="n"/>
      <c r="AC98" s="15">
        <f>IF(AND(AA98="Yes",AB98=""),"BLOCK","OK")</f>
        <v/>
      </c>
      <c r="AD98" s="16">
        <f>'MSRP Catalog'!M98</f>
        <v/>
      </c>
      <c r="AE98" s="15">
        <f>IF(AD98="","REVIEW",IF(AD98&lt;TODAY(),"BLOCK","OK"))</f>
        <v/>
      </c>
      <c r="AF98" s="8">
        <f>'MSRP Catalog'!K98</f>
        <v/>
      </c>
      <c r="AG98" s="8">
        <f>'MSRP Catalog'!N98</f>
        <v/>
      </c>
    </row>
    <row r="99">
      <c r="A99" s="8">
        <f>'MSRP Catalog'!A99</f>
        <v/>
      </c>
      <c r="B99" s="8">
        <f>'MSRP Catalog'!B99</f>
        <v/>
      </c>
      <c r="C99" s="8">
        <f>'MSRP Catalog'!C99</f>
        <v/>
      </c>
      <c r="D99" s="8">
        <f>'MSRP Catalog'!D99</f>
        <v/>
      </c>
      <c r="E99" s="8">
        <f>'MSRP Catalog'!E99</f>
        <v/>
      </c>
      <c r="F99" s="8">
        <f>'MSRP Catalog'!F99</f>
        <v/>
      </c>
      <c r="G99" s="8">
        <f>'MSRP Catalog'!G99</f>
        <v/>
      </c>
      <c r="H99" s="9">
        <f>'MSRP Catalog'!H99</f>
        <v/>
      </c>
      <c r="I99" s="10">
        <f>'MSRP Catalog'!I99</f>
        <v/>
      </c>
      <c r="J99" s="11" t="n">
        <v>0.1</v>
      </c>
      <c r="K99" s="12">
        <f>IFERROR(I99*(1-J99),"")</f>
        <v/>
      </c>
      <c r="L99" s="12">
        <f>IFERROR(K99*(1-P99),"")</f>
        <v/>
      </c>
      <c r="M99" s="13" t="n"/>
      <c r="N99" s="12">
        <f>IFERROR(I99*(1-O99),"")</f>
        <v/>
      </c>
      <c r="O99" s="11" t="n">
        <v>0.35</v>
      </c>
      <c r="P99" s="11" t="n">
        <v>0.2</v>
      </c>
      <c r="Q99" s="14">
        <f>IFERROR(L99/I99,"")</f>
        <v/>
      </c>
      <c r="R99" s="14">
        <f>IF(OR(M99="",I99=0),"",M99/I99)</f>
        <v/>
      </c>
      <c r="S99" s="8" t="inlineStr">
        <is>
          <t>Automatic</t>
        </is>
      </c>
      <c r="T99" s="8" t="inlineStr">
        <is>
          <t>CSO</t>
        </is>
      </c>
      <c r="U99" s="15">
        <f>IF(M99="","REVIEW",IF(L99&lt;M99,"BLOCK","OK"))</f>
        <v/>
      </c>
      <c r="V99" s="15">
        <f>IF(J99&gt;O99,"BLOCK","OK")</f>
        <v/>
      </c>
      <c r="W99" s="15">
        <f>IF(P99&gt;IF(D99="Start",10%,IF(D99="Pro",15%,IF(OR(D99="Business",D99="Enterprise"),20%,30%))),"BLOCK","OK")</f>
        <v/>
      </c>
      <c r="X99" s="15">
        <f>IF(OR(M99="",R99=""),"REVIEW",IF(Q99&lt;R99,"BLOCK","OK"))</f>
        <v/>
      </c>
      <c r="Y99" s="8" t="inlineStr">
        <is>
          <t>No</t>
        </is>
      </c>
      <c r="Z99" s="15">
        <f>IF(AND(D99="Ultimate",Y99="Yes"),"BLOCK","OK")</f>
        <v/>
      </c>
      <c r="AA99" s="8" t="inlineStr">
        <is>
          <t>No</t>
        </is>
      </c>
      <c r="AB99" s="8" t="n"/>
      <c r="AC99" s="15">
        <f>IF(AND(AA99="Yes",AB99=""),"BLOCK","OK")</f>
        <v/>
      </c>
      <c r="AD99" s="16">
        <f>'MSRP Catalog'!M99</f>
        <v/>
      </c>
      <c r="AE99" s="15">
        <f>IF(AD99="","REVIEW",IF(AD99&lt;TODAY(),"BLOCK","OK"))</f>
        <v/>
      </c>
      <c r="AF99" s="8">
        <f>'MSRP Catalog'!K99</f>
        <v/>
      </c>
      <c r="AG99" s="8">
        <f>'MSRP Catalog'!N99</f>
        <v/>
      </c>
    </row>
    <row r="100">
      <c r="A100" s="8">
        <f>'MSRP Catalog'!A100</f>
        <v/>
      </c>
      <c r="B100" s="8">
        <f>'MSRP Catalog'!B100</f>
        <v/>
      </c>
      <c r="C100" s="8">
        <f>'MSRP Catalog'!C100</f>
        <v/>
      </c>
      <c r="D100" s="8">
        <f>'MSRP Catalog'!D100</f>
        <v/>
      </c>
      <c r="E100" s="8">
        <f>'MSRP Catalog'!E100</f>
        <v/>
      </c>
      <c r="F100" s="8">
        <f>'MSRP Catalog'!F100</f>
        <v/>
      </c>
      <c r="G100" s="8">
        <f>'MSRP Catalog'!G100</f>
        <v/>
      </c>
      <c r="H100" s="9">
        <f>'MSRP Catalog'!H100</f>
        <v/>
      </c>
      <c r="I100" s="10">
        <f>'MSRP Catalog'!I100</f>
        <v/>
      </c>
      <c r="J100" s="11" t="n">
        <v>0.1</v>
      </c>
      <c r="K100" s="12">
        <f>IFERROR(I100*(1-J100),"")</f>
        <v/>
      </c>
      <c r="L100" s="12">
        <f>IFERROR(K100*(1-P100),"")</f>
        <v/>
      </c>
      <c r="M100" s="13" t="n"/>
      <c r="N100" s="12">
        <f>IFERROR(I100*(1-O100),"")</f>
        <v/>
      </c>
      <c r="O100" s="11" t="n">
        <v>0.35</v>
      </c>
      <c r="P100" s="11" t="n">
        <v>0.2</v>
      </c>
      <c r="Q100" s="14">
        <f>IFERROR(L100/I100,"")</f>
        <v/>
      </c>
      <c r="R100" s="14">
        <f>IF(OR(M100="",I100=0),"",M100/I100)</f>
        <v/>
      </c>
      <c r="S100" s="8" t="inlineStr">
        <is>
          <t>Automatic</t>
        </is>
      </c>
      <c r="T100" s="8" t="inlineStr">
        <is>
          <t>CSO</t>
        </is>
      </c>
      <c r="U100" s="15">
        <f>IF(M100="","REVIEW",IF(L100&lt;M100,"BLOCK","OK"))</f>
        <v/>
      </c>
      <c r="V100" s="15">
        <f>IF(J100&gt;O100,"BLOCK","OK")</f>
        <v/>
      </c>
      <c r="W100" s="15">
        <f>IF(P100&gt;IF(D100="Start",10%,IF(D100="Pro",15%,IF(OR(D100="Business",D100="Enterprise"),20%,30%))),"BLOCK","OK")</f>
        <v/>
      </c>
      <c r="X100" s="15">
        <f>IF(OR(M100="",R100=""),"REVIEW",IF(Q100&lt;R100,"BLOCK","OK"))</f>
        <v/>
      </c>
      <c r="Y100" s="8" t="inlineStr">
        <is>
          <t>No</t>
        </is>
      </c>
      <c r="Z100" s="15">
        <f>IF(AND(D100="Ultimate",Y100="Yes"),"BLOCK","OK")</f>
        <v/>
      </c>
      <c r="AA100" s="8" t="inlineStr">
        <is>
          <t>No</t>
        </is>
      </c>
      <c r="AB100" s="8" t="n"/>
      <c r="AC100" s="15">
        <f>IF(AND(AA100="Yes",AB100=""),"BLOCK","OK")</f>
        <v/>
      </c>
      <c r="AD100" s="16">
        <f>'MSRP Catalog'!M100</f>
        <v/>
      </c>
      <c r="AE100" s="15">
        <f>IF(AD100="","REVIEW",IF(AD100&lt;TODAY(),"BLOCK","OK"))</f>
        <v/>
      </c>
      <c r="AF100" s="8">
        <f>'MSRP Catalog'!K100</f>
        <v/>
      </c>
      <c r="AG100" s="8">
        <f>'MSRP Catalog'!N100</f>
        <v/>
      </c>
    </row>
    <row r="101">
      <c r="A101" s="8">
        <f>'MSRP Catalog'!A101</f>
        <v/>
      </c>
      <c r="B101" s="8">
        <f>'MSRP Catalog'!B101</f>
        <v/>
      </c>
      <c r="C101" s="8">
        <f>'MSRP Catalog'!C101</f>
        <v/>
      </c>
      <c r="D101" s="8">
        <f>'MSRP Catalog'!D101</f>
        <v/>
      </c>
      <c r="E101" s="8">
        <f>'MSRP Catalog'!E101</f>
        <v/>
      </c>
      <c r="F101" s="8">
        <f>'MSRP Catalog'!F101</f>
        <v/>
      </c>
      <c r="G101" s="8">
        <f>'MSRP Catalog'!G101</f>
        <v/>
      </c>
      <c r="H101" s="9">
        <f>'MSRP Catalog'!H101</f>
        <v/>
      </c>
      <c r="I101" s="10">
        <f>'MSRP Catalog'!I101</f>
        <v/>
      </c>
      <c r="J101" s="11" t="n">
        <v>0.1</v>
      </c>
      <c r="K101" s="12">
        <f>IFERROR(I101*(1-J101),"")</f>
        <v/>
      </c>
      <c r="L101" s="12">
        <f>IFERROR(K101*(1-P101),"")</f>
        <v/>
      </c>
      <c r="M101" s="13" t="n"/>
      <c r="N101" s="12">
        <f>IFERROR(I101*(1-O101),"")</f>
        <v/>
      </c>
      <c r="O101" s="11" t="n">
        <v>0.35</v>
      </c>
      <c r="P101" s="11" t="n">
        <v>0.2</v>
      </c>
      <c r="Q101" s="14">
        <f>IFERROR(L101/I101,"")</f>
        <v/>
      </c>
      <c r="R101" s="14">
        <f>IF(OR(M101="",I101=0),"",M101/I101)</f>
        <v/>
      </c>
      <c r="S101" s="8" t="inlineStr">
        <is>
          <t>Automatic</t>
        </is>
      </c>
      <c r="T101" s="8" t="inlineStr">
        <is>
          <t>CSO</t>
        </is>
      </c>
      <c r="U101" s="15">
        <f>IF(M101="","REVIEW",IF(L101&lt;M101,"BLOCK","OK"))</f>
        <v/>
      </c>
      <c r="V101" s="15">
        <f>IF(J101&gt;O101,"BLOCK","OK")</f>
        <v/>
      </c>
      <c r="W101" s="15">
        <f>IF(P101&gt;IF(D101="Start",10%,IF(D101="Pro",15%,IF(OR(D101="Business",D101="Enterprise"),20%,30%))),"BLOCK","OK")</f>
        <v/>
      </c>
      <c r="X101" s="15">
        <f>IF(OR(M101="",R101=""),"REVIEW",IF(Q101&lt;R101,"BLOCK","OK"))</f>
        <v/>
      </c>
      <c r="Y101" s="8" t="inlineStr">
        <is>
          <t>No</t>
        </is>
      </c>
      <c r="Z101" s="15">
        <f>IF(AND(D101="Ultimate",Y101="Yes"),"BLOCK","OK")</f>
        <v/>
      </c>
      <c r="AA101" s="8" t="inlineStr">
        <is>
          <t>No</t>
        </is>
      </c>
      <c r="AB101" s="8" t="n"/>
      <c r="AC101" s="15">
        <f>IF(AND(AA101="Yes",AB101=""),"BLOCK","OK")</f>
        <v/>
      </c>
      <c r="AD101" s="16">
        <f>'MSRP Catalog'!M101</f>
        <v/>
      </c>
      <c r="AE101" s="15">
        <f>IF(AD101="","REVIEW",IF(AD101&lt;TODAY(),"BLOCK","OK"))</f>
        <v/>
      </c>
      <c r="AF101" s="8">
        <f>'MSRP Catalog'!K101</f>
        <v/>
      </c>
      <c r="AG101" s="8">
        <f>'MSRP Catalog'!N101</f>
        <v/>
      </c>
    </row>
    <row r="102">
      <c r="A102" s="8">
        <f>'MSRP Catalog'!A102</f>
        <v/>
      </c>
      <c r="B102" s="8">
        <f>'MSRP Catalog'!B102</f>
        <v/>
      </c>
      <c r="C102" s="8">
        <f>'MSRP Catalog'!C102</f>
        <v/>
      </c>
      <c r="D102" s="8">
        <f>'MSRP Catalog'!D102</f>
        <v/>
      </c>
      <c r="E102" s="8">
        <f>'MSRP Catalog'!E102</f>
        <v/>
      </c>
      <c r="F102" s="8">
        <f>'MSRP Catalog'!F102</f>
        <v/>
      </c>
      <c r="G102" s="8">
        <f>'MSRP Catalog'!G102</f>
        <v/>
      </c>
      <c r="H102" s="9">
        <f>'MSRP Catalog'!H102</f>
        <v/>
      </c>
      <c r="I102" s="10">
        <f>'MSRP Catalog'!I102</f>
        <v/>
      </c>
      <c r="J102" s="11" t="n">
        <v>0.1</v>
      </c>
      <c r="K102" s="12">
        <f>IFERROR(I102*(1-J102),"")</f>
        <v/>
      </c>
      <c r="L102" s="12">
        <f>IFERROR(K102*(1-P102),"")</f>
        <v/>
      </c>
      <c r="M102" s="13" t="n"/>
      <c r="N102" s="12">
        <f>IFERROR(I102*(1-O102),"")</f>
        <v/>
      </c>
      <c r="O102" s="11" t="n">
        <v>0.35</v>
      </c>
      <c r="P102" s="11" t="n">
        <v>0.2</v>
      </c>
      <c r="Q102" s="14">
        <f>IFERROR(L102/I102,"")</f>
        <v/>
      </c>
      <c r="R102" s="14">
        <f>IF(OR(M102="",I102=0),"",M102/I102)</f>
        <v/>
      </c>
      <c r="S102" s="8" t="inlineStr">
        <is>
          <t>Automatic</t>
        </is>
      </c>
      <c r="T102" s="8" t="inlineStr">
        <is>
          <t>CSO</t>
        </is>
      </c>
      <c r="U102" s="15">
        <f>IF(M102="","REVIEW",IF(L102&lt;M102,"BLOCK","OK"))</f>
        <v/>
      </c>
      <c r="V102" s="15">
        <f>IF(J102&gt;O102,"BLOCK","OK")</f>
        <v/>
      </c>
      <c r="W102" s="15">
        <f>IF(P102&gt;IF(D102="Start",10%,IF(D102="Pro",15%,IF(OR(D102="Business",D102="Enterprise"),20%,30%))),"BLOCK","OK")</f>
        <v/>
      </c>
      <c r="X102" s="15">
        <f>IF(OR(M102="",R102=""),"REVIEW",IF(Q102&lt;R102,"BLOCK","OK"))</f>
        <v/>
      </c>
      <c r="Y102" s="8" t="inlineStr">
        <is>
          <t>No</t>
        </is>
      </c>
      <c r="Z102" s="15">
        <f>IF(AND(D102="Ultimate",Y102="Yes"),"BLOCK","OK")</f>
        <v/>
      </c>
      <c r="AA102" s="8" t="inlineStr">
        <is>
          <t>No</t>
        </is>
      </c>
      <c r="AB102" s="8" t="n"/>
      <c r="AC102" s="15">
        <f>IF(AND(AA102="Yes",AB102=""),"BLOCK","OK")</f>
        <v/>
      </c>
      <c r="AD102" s="16">
        <f>'MSRP Catalog'!M102</f>
        <v/>
      </c>
      <c r="AE102" s="15">
        <f>IF(AD102="","REVIEW",IF(AD102&lt;TODAY(),"BLOCK","OK"))</f>
        <v/>
      </c>
      <c r="AF102" s="8">
        <f>'MSRP Catalog'!K102</f>
        <v/>
      </c>
      <c r="AG102" s="8">
        <f>'MSRP Catalog'!N102</f>
        <v/>
      </c>
    </row>
    <row r="103">
      <c r="A103" s="8">
        <f>'MSRP Catalog'!A103</f>
        <v/>
      </c>
      <c r="B103" s="8">
        <f>'MSRP Catalog'!B103</f>
        <v/>
      </c>
      <c r="C103" s="8">
        <f>'MSRP Catalog'!C103</f>
        <v/>
      </c>
      <c r="D103" s="8">
        <f>'MSRP Catalog'!D103</f>
        <v/>
      </c>
      <c r="E103" s="8">
        <f>'MSRP Catalog'!E103</f>
        <v/>
      </c>
      <c r="F103" s="8">
        <f>'MSRP Catalog'!F103</f>
        <v/>
      </c>
      <c r="G103" s="8">
        <f>'MSRP Catalog'!G103</f>
        <v/>
      </c>
      <c r="H103" s="9">
        <f>'MSRP Catalog'!H103</f>
        <v/>
      </c>
      <c r="I103" s="10">
        <f>'MSRP Catalog'!I103</f>
        <v/>
      </c>
      <c r="J103" s="11" t="n">
        <v>0.1</v>
      </c>
      <c r="K103" s="12">
        <f>IFERROR(I103*(1-J103),"")</f>
        <v/>
      </c>
      <c r="L103" s="12">
        <f>IFERROR(K103*(1-P103),"")</f>
        <v/>
      </c>
      <c r="M103" s="13" t="n"/>
      <c r="N103" s="12">
        <f>IFERROR(I103*(1-O103),"")</f>
        <v/>
      </c>
      <c r="O103" s="11" t="n">
        <v>0.35</v>
      </c>
      <c r="P103" s="11" t="n">
        <v>0.3</v>
      </c>
      <c r="Q103" s="14">
        <f>IFERROR(L103/I103,"")</f>
        <v/>
      </c>
      <c r="R103" s="14">
        <f>IF(OR(M103="",I103=0),"",M103/I103)</f>
        <v/>
      </c>
      <c r="S103" s="8" t="inlineStr">
        <is>
          <t>Automatic</t>
        </is>
      </c>
      <c r="T103" s="8" t="inlineStr">
        <is>
          <t>CSO</t>
        </is>
      </c>
      <c r="U103" s="15">
        <f>IF(M103="","REVIEW",IF(L103&lt;M103,"BLOCK","OK"))</f>
        <v/>
      </c>
      <c r="V103" s="15">
        <f>IF(J103&gt;O103,"BLOCK","OK")</f>
        <v/>
      </c>
      <c r="W103" s="15">
        <f>IF(P103&gt;IF(D103="Start",10%,IF(D103="Pro",15%,IF(OR(D103="Business",D103="Enterprise"),20%,30%))),"BLOCK","OK")</f>
        <v/>
      </c>
      <c r="X103" s="15">
        <f>IF(OR(M103="",R103=""),"REVIEW",IF(Q103&lt;R103,"BLOCK","OK"))</f>
        <v/>
      </c>
      <c r="Y103" s="8" t="inlineStr">
        <is>
          <t>No</t>
        </is>
      </c>
      <c r="Z103" s="15">
        <f>IF(AND(D103="Ultimate",Y103="Yes"),"BLOCK","OK")</f>
        <v/>
      </c>
      <c r="AA103" s="8" t="inlineStr">
        <is>
          <t>No</t>
        </is>
      </c>
      <c r="AB103" s="8" t="n"/>
      <c r="AC103" s="15">
        <f>IF(AND(AA103="Yes",AB103=""),"BLOCK","OK")</f>
        <v/>
      </c>
      <c r="AD103" s="16">
        <f>'MSRP Catalog'!M103</f>
        <v/>
      </c>
      <c r="AE103" s="15">
        <f>IF(AD103="","REVIEW",IF(AD103&lt;TODAY(),"BLOCK","OK"))</f>
        <v/>
      </c>
      <c r="AF103" s="8">
        <f>'MSRP Catalog'!K103</f>
        <v/>
      </c>
      <c r="AG103" s="8">
        <f>'MSRP Catalog'!N103</f>
        <v/>
      </c>
    </row>
    <row r="104">
      <c r="A104" s="8">
        <f>'MSRP Catalog'!A104</f>
        <v/>
      </c>
      <c r="B104" s="8">
        <f>'MSRP Catalog'!B104</f>
        <v/>
      </c>
      <c r="C104" s="8">
        <f>'MSRP Catalog'!C104</f>
        <v/>
      </c>
      <c r="D104" s="8">
        <f>'MSRP Catalog'!D104</f>
        <v/>
      </c>
      <c r="E104" s="8">
        <f>'MSRP Catalog'!E104</f>
        <v/>
      </c>
      <c r="F104" s="8">
        <f>'MSRP Catalog'!F104</f>
        <v/>
      </c>
      <c r="G104" s="8">
        <f>'MSRP Catalog'!G104</f>
        <v/>
      </c>
      <c r="H104" s="9">
        <f>'MSRP Catalog'!H104</f>
        <v/>
      </c>
      <c r="I104" s="10">
        <f>'MSRP Catalog'!I104</f>
        <v/>
      </c>
      <c r="J104" s="11" t="n">
        <v>0.1</v>
      </c>
      <c r="K104" s="12">
        <f>IFERROR(I104*(1-J104),"")</f>
        <v/>
      </c>
      <c r="L104" s="12">
        <f>IFERROR(K104*(1-P104),"")</f>
        <v/>
      </c>
      <c r="M104" s="13" t="n"/>
      <c r="N104" s="12">
        <f>IFERROR(I104*(1-O104),"")</f>
        <v/>
      </c>
      <c r="O104" s="11" t="n">
        <v>0.35</v>
      </c>
      <c r="P104" s="11" t="n">
        <v>0.2</v>
      </c>
      <c r="Q104" s="14">
        <f>IFERROR(L104/I104,"")</f>
        <v/>
      </c>
      <c r="R104" s="14">
        <f>IF(OR(M104="",I104=0),"",M104/I104)</f>
        <v/>
      </c>
      <c r="S104" s="8" t="inlineStr">
        <is>
          <t>Automatic</t>
        </is>
      </c>
      <c r="T104" s="8" t="inlineStr">
        <is>
          <t>CSO</t>
        </is>
      </c>
      <c r="U104" s="15">
        <f>IF(M104="","REVIEW",IF(L104&lt;M104,"BLOCK","OK"))</f>
        <v/>
      </c>
      <c r="V104" s="15">
        <f>IF(J104&gt;O104,"BLOCK","OK")</f>
        <v/>
      </c>
      <c r="W104" s="15">
        <f>IF(P104&gt;IF(D104="Start",10%,IF(D104="Pro",15%,IF(OR(D104="Business",D104="Enterprise"),20%,30%))),"BLOCK","OK")</f>
        <v/>
      </c>
      <c r="X104" s="15">
        <f>IF(OR(M104="",R104=""),"REVIEW",IF(Q104&lt;R104,"BLOCK","OK"))</f>
        <v/>
      </c>
      <c r="Y104" s="8" t="inlineStr">
        <is>
          <t>No</t>
        </is>
      </c>
      <c r="Z104" s="15">
        <f>IF(AND(D104="Ultimate",Y104="Yes"),"BLOCK","OK")</f>
        <v/>
      </c>
      <c r="AA104" s="8" t="inlineStr">
        <is>
          <t>No</t>
        </is>
      </c>
      <c r="AB104" s="8" t="n"/>
      <c r="AC104" s="15">
        <f>IF(AND(AA104="Yes",AB104=""),"BLOCK","OK")</f>
        <v/>
      </c>
      <c r="AD104" s="16">
        <f>'MSRP Catalog'!M104</f>
        <v/>
      </c>
      <c r="AE104" s="15">
        <f>IF(AD104="","REVIEW",IF(AD104&lt;TODAY(),"BLOCK","OK"))</f>
        <v/>
      </c>
      <c r="AF104" s="8">
        <f>'MSRP Catalog'!K104</f>
        <v/>
      </c>
      <c r="AG104" s="8">
        <f>'MSRP Catalog'!N104</f>
        <v/>
      </c>
    </row>
    <row r="105">
      <c r="A105" s="8">
        <f>'MSRP Catalog'!A105</f>
        <v/>
      </c>
      <c r="B105" s="8">
        <f>'MSRP Catalog'!B105</f>
        <v/>
      </c>
      <c r="C105" s="8">
        <f>'MSRP Catalog'!C105</f>
        <v/>
      </c>
      <c r="D105" s="8">
        <f>'MSRP Catalog'!D105</f>
        <v/>
      </c>
      <c r="E105" s="8">
        <f>'MSRP Catalog'!E105</f>
        <v/>
      </c>
      <c r="F105" s="8">
        <f>'MSRP Catalog'!F105</f>
        <v/>
      </c>
      <c r="G105" s="8">
        <f>'MSRP Catalog'!G105</f>
        <v/>
      </c>
      <c r="H105" s="9">
        <f>'MSRP Catalog'!H105</f>
        <v/>
      </c>
      <c r="I105" s="10">
        <f>'MSRP Catalog'!I105</f>
        <v/>
      </c>
      <c r="J105" s="11" t="n">
        <v>0.1</v>
      </c>
      <c r="K105" s="12">
        <f>IFERROR(I105*(1-J105),"")</f>
        <v/>
      </c>
      <c r="L105" s="12">
        <f>IFERROR(K105*(1-P105),"")</f>
        <v/>
      </c>
      <c r="M105" s="13" t="n"/>
      <c r="N105" s="12">
        <f>IFERROR(I105*(1-O105),"")</f>
        <v/>
      </c>
      <c r="O105" s="11" t="n">
        <v>0.35</v>
      </c>
      <c r="P105" s="11" t="n">
        <v>0.2</v>
      </c>
      <c r="Q105" s="14">
        <f>IFERROR(L105/I105,"")</f>
        <v/>
      </c>
      <c r="R105" s="14">
        <f>IF(OR(M105="",I105=0),"",M105/I105)</f>
        <v/>
      </c>
      <c r="S105" s="8" t="inlineStr">
        <is>
          <t>Automatic</t>
        </is>
      </c>
      <c r="T105" s="8" t="inlineStr">
        <is>
          <t>CSO</t>
        </is>
      </c>
      <c r="U105" s="15">
        <f>IF(M105="","REVIEW",IF(L105&lt;M105,"BLOCK","OK"))</f>
        <v/>
      </c>
      <c r="V105" s="15">
        <f>IF(J105&gt;O105,"BLOCK","OK")</f>
        <v/>
      </c>
      <c r="W105" s="15">
        <f>IF(P105&gt;IF(D105="Start",10%,IF(D105="Pro",15%,IF(OR(D105="Business",D105="Enterprise"),20%,30%))),"BLOCK","OK")</f>
        <v/>
      </c>
      <c r="X105" s="15">
        <f>IF(OR(M105="",R105=""),"REVIEW",IF(Q105&lt;R105,"BLOCK","OK"))</f>
        <v/>
      </c>
      <c r="Y105" s="8" t="inlineStr">
        <is>
          <t>No</t>
        </is>
      </c>
      <c r="Z105" s="15">
        <f>IF(AND(D105="Ultimate",Y105="Yes"),"BLOCK","OK")</f>
        <v/>
      </c>
      <c r="AA105" s="8" t="inlineStr">
        <is>
          <t>No</t>
        </is>
      </c>
      <c r="AB105" s="8" t="n"/>
      <c r="AC105" s="15">
        <f>IF(AND(AA105="Yes",AB105=""),"BLOCK","OK")</f>
        <v/>
      </c>
      <c r="AD105" s="16">
        <f>'MSRP Catalog'!M105</f>
        <v/>
      </c>
      <c r="AE105" s="15">
        <f>IF(AD105="","REVIEW",IF(AD105&lt;TODAY(),"BLOCK","OK"))</f>
        <v/>
      </c>
      <c r="AF105" s="8">
        <f>'MSRP Catalog'!K105</f>
        <v/>
      </c>
      <c r="AG105" s="8">
        <f>'MSRP Catalog'!N105</f>
        <v/>
      </c>
    </row>
    <row r="106">
      <c r="A106" s="8">
        <f>'MSRP Catalog'!A106</f>
        <v/>
      </c>
      <c r="B106" s="8">
        <f>'MSRP Catalog'!B106</f>
        <v/>
      </c>
      <c r="C106" s="8">
        <f>'MSRP Catalog'!C106</f>
        <v/>
      </c>
      <c r="D106" s="8">
        <f>'MSRP Catalog'!D106</f>
        <v/>
      </c>
      <c r="E106" s="8">
        <f>'MSRP Catalog'!E106</f>
        <v/>
      </c>
      <c r="F106" s="8">
        <f>'MSRP Catalog'!F106</f>
        <v/>
      </c>
      <c r="G106" s="8">
        <f>'MSRP Catalog'!G106</f>
        <v/>
      </c>
      <c r="H106" s="9">
        <f>'MSRP Catalog'!H106</f>
        <v/>
      </c>
      <c r="I106" s="10">
        <f>'MSRP Catalog'!I106</f>
        <v/>
      </c>
      <c r="J106" s="11" t="n">
        <v>0.1</v>
      </c>
      <c r="K106" s="12">
        <f>IFERROR(I106*(1-J106),"")</f>
        <v/>
      </c>
      <c r="L106" s="12">
        <f>IFERROR(K106*(1-P106),"")</f>
        <v/>
      </c>
      <c r="M106" s="13" t="n"/>
      <c r="N106" s="12">
        <f>IFERROR(I106*(1-O106),"")</f>
        <v/>
      </c>
      <c r="O106" s="11" t="n">
        <v>0.35</v>
      </c>
      <c r="P106" s="11" t="n">
        <v>0.2</v>
      </c>
      <c r="Q106" s="14">
        <f>IFERROR(L106/I106,"")</f>
        <v/>
      </c>
      <c r="R106" s="14">
        <f>IF(OR(M106="",I106=0),"",M106/I106)</f>
        <v/>
      </c>
      <c r="S106" s="8" t="inlineStr">
        <is>
          <t>Automatic</t>
        </is>
      </c>
      <c r="T106" s="8" t="inlineStr">
        <is>
          <t>CSO</t>
        </is>
      </c>
      <c r="U106" s="15">
        <f>IF(M106="","REVIEW",IF(L106&lt;M106,"BLOCK","OK"))</f>
        <v/>
      </c>
      <c r="V106" s="15">
        <f>IF(J106&gt;O106,"BLOCK","OK")</f>
        <v/>
      </c>
      <c r="W106" s="15">
        <f>IF(P106&gt;IF(D106="Start",10%,IF(D106="Pro",15%,IF(OR(D106="Business",D106="Enterprise"),20%,30%))),"BLOCK","OK")</f>
        <v/>
      </c>
      <c r="X106" s="15">
        <f>IF(OR(M106="",R106=""),"REVIEW",IF(Q106&lt;R106,"BLOCK","OK"))</f>
        <v/>
      </c>
      <c r="Y106" s="8" t="inlineStr">
        <is>
          <t>No</t>
        </is>
      </c>
      <c r="Z106" s="15">
        <f>IF(AND(D106="Ultimate",Y106="Yes"),"BLOCK","OK")</f>
        <v/>
      </c>
      <c r="AA106" s="8" t="inlineStr">
        <is>
          <t>No</t>
        </is>
      </c>
      <c r="AB106" s="8" t="n"/>
      <c r="AC106" s="15">
        <f>IF(AND(AA106="Yes",AB106=""),"BLOCK","OK")</f>
        <v/>
      </c>
      <c r="AD106" s="16">
        <f>'MSRP Catalog'!M106</f>
        <v/>
      </c>
      <c r="AE106" s="15">
        <f>IF(AD106="","REVIEW",IF(AD106&lt;TODAY(),"BLOCK","OK"))</f>
        <v/>
      </c>
      <c r="AF106" s="8">
        <f>'MSRP Catalog'!K106</f>
        <v/>
      </c>
      <c r="AG106" s="8">
        <f>'MSRP Catalog'!N106</f>
        <v/>
      </c>
    </row>
    <row r="107">
      <c r="A107" s="8">
        <f>'MSRP Catalog'!A107</f>
        <v/>
      </c>
      <c r="B107" s="8">
        <f>'MSRP Catalog'!B107</f>
        <v/>
      </c>
      <c r="C107" s="8">
        <f>'MSRP Catalog'!C107</f>
        <v/>
      </c>
      <c r="D107" s="8">
        <f>'MSRP Catalog'!D107</f>
        <v/>
      </c>
      <c r="E107" s="8">
        <f>'MSRP Catalog'!E107</f>
        <v/>
      </c>
      <c r="F107" s="8">
        <f>'MSRP Catalog'!F107</f>
        <v/>
      </c>
      <c r="G107" s="8">
        <f>'MSRP Catalog'!G107</f>
        <v/>
      </c>
      <c r="H107" s="9">
        <f>'MSRP Catalog'!H107</f>
        <v/>
      </c>
      <c r="I107" s="10">
        <f>'MSRP Catalog'!I107</f>
        <v/>
      </c>
      <c r="J107" s="11" t="n">
        <v>0.1</v>
      </c>
      <c r="K107" s="12">
        <f>IFERROR(I107*(1-J107),"")</f>
        <v/>
      </c>
      <c r="L107" s="12">
        <f>IFERROR(K107*(1-P107),"")</f>
        <v/>
      </c>
      <c r="M107" s="13" t="n"/>
      <c r="N107" s="12">
        <f>IFERROR(I107*(1-O107),"")</f>
        <v/>
      </c>
      <c r="O107" s="11" t="n">
        <v>0.35</v>
      </c>
      <c r="P107" s="11" t="n">
        <v>0.2</v>
      </c>
      <c r="Q107" s="14">
        <f>IFERROR(L107/I107,"")</f>
        <v/>
      </c>
      <c r="R107" s="14">
        <f>IF(OR(M107="",I107=0),"",M107/I107)</f>
        <v/>
      </c>
      <c r="S107" s="8" t="inlineStr">
        <is>
          <t>Automatic</t>
        </is>
      </c>
      <c r="T107" s="8" t="inlineStr">
        <is>
          <t>CSO</t>
        </is>
      </c>
      <c r="U107" s="15">
        <f>IF(M107="","REVIEW",IF(L107&lt;M107,"BLOCK","OK"))</f>
        <v/>
      </c>
      <c r="V107" s="15">
        <f>IF(J107&gt;O107,"BLOCK","OK")</f>
        <v/>
      </c>
      <c r="W107" s="15">
        <f>IF(P107&gt;IF(D107="Start",10%,IF(D107="Pro",15%,IF(OR(D107="Business",D107="Enterprise"),20%,30%))),"BLOCK","OK")</f>
        <v/>
      </c>
      <c r="X107" s="15">
        <f>IF(OR(M107="",R107=""),"REVIEW",IF(Q107&lt;R107,"BLOCK","OK"))</f>
        <v/>
      </c>
      <c r="Y107" s="8" t="inlineStr">
        <is>
          <t>No</t>
        </is>
      </c>
      <c r="Z107" s="15">
        <f>IF(AND(D107="Ultimate",Y107="Yes"),"BLOCK","OK")</f>
        <v/>
      </c>
      <c r="AA107" s="8" t="inlineStr">
        <is>
          <t>No</t>
        </is>
      </c>
      <c r="AB107" s="8" t="n"/>
      <c r="AC107" s="15">
        <f>IF(AND(AA107="Yes",AB107=""),"BLOCK","OK")</f>
        <v/>
      </c>
      <c r="AD107" s="16">
        <f>'MSRP Catalog'!M107</f>
        <v/>
      </c>
      <c r="AE107" s="15">
        <f>IF(AD107="","REVIEW",IF(AD107&lt;TODAY(),"BLOCK","OK"))</f>
        <v/>
      </c>
      <c r="AF107" s="8">
        <f>'MSRP Catalog'!K107</f>
        <v/>
      </c>
      <c r="AG107" s="8">
        <f>'MSRP Catalog'!N107</f>
        <v/>
      </c>
    </row>
    <row r="108">
      <c r="A108" s="8">
        <f>'MSRP Catalog'!A108</f>
        <v/>
      </c>
      <c r="B108" s="8">
        <f>'MSRP Catalog'!B108</f>
        <v/>
      </c>
      <c r="C108" s="8">
        <f>'MSRP Catalog'!C108</f>
        <v/>
      </c>
      <c r="D108" s="8">
        <f>'MSRP Catalog'!D108</f>
        <v/>
      </c>
      <c r="E108" s="8">
        <f>'MSRP Catalog'!E108</f>
        <v/>
      </c>
      <c r="F108" s="8">
        <f>'MSRP Catalog'!F108</f>
        <v/>
      </c>
      <c r="G108" s="8">
        <f>'MSRP Catalog'!G108</f>
        <v/>
      </c>
      <c r="H108" s="9">
        <f>'MSRP Catalog'!H108</f>
        <v/>
      </c>
      <c r="I108" s="10">
        <f>'MSRP Catalog'!I108</f>
        <v/>
      </c>
      <c r="J108" s="11" t="n">
        <v>0.1</v>
      </c>
      <c r="K108" s="12">
        <f>IFERROR(I108*(1-J108),"")</f>
        <v/>
      </c>
      <c r="L108" s="12">
        <f>IFERROR(K108*(1-P108),"")</f>
        <v/>
      </c>
      <c r="M108" s="13" t="n"/>
      <c r="N108" s="12">
        <f>IFERROR(I108*(1-O108),"")</f>
        <v/>
      </c>
      <c r="O108" s="11" t="n">
        <v>0.35</v>
      </c>
      <c r="P108" s="11" t="n">
        <v>0.2</v>
      </c>
      <c r="Q108" s="14">
        <f>IFERROR(L108/I108,"")</f>
        <v/>
      </c>
      <c r="R108" s="14">
        <f>IF(OR(M108="",I108=0),"",M108/I108)</f>
        <v/>
      </c>
      <c r="S108" s="8" t="inlineStr">
        <is>
          <t>Automatic</t>
        </is>
      </c>
      <c r="T108" s="8" t="inlineStr">
        <is>
          <t>CSO</t>
        </is>
      </c>
      <c r="U108" s="15">
        <f>IF(M108="","REVIEW",IF(L108&lt;M108,"BLOCK","OK"))</f>
        <v/>
      </c>
      <c r="V108" s="15">
        <f>IF(J108&gt;O108,"BLOCK","OK")</f>
        <v/>
      </c>
      <c r="W108" s="15">
        <f>IF(P108&gt;IF(D108="Start",10%,IF(D108="Pro",15%,IF(OR(D108="Business",D108="Enterprise"),20%,30%))),"BLOCK","OK")</f>
        <v/>
      </c>
      <c r="X108" s="15">
        <f>IF(OR(M108="",R108=""),"REVIEW",IF(Q108&lt;R108,"BLOCK","OK"))</f>
        <v/>
      </c>
      <c r="Y108" s="8" t="inlineStr">
        <is>
          <t>No</t>
        </is>
      </c>
      <c r="Z108" s="15">
        <f>IF(AND(D108="Ultimate",Y108="Yes"),"BLOCK","OK")</f>
        <v/>
      </c>
      <c r="AA108" s="8" t="inlineStr">
        <is>
          <t>No</t>
        </is>
      </c>
      <c r="AB108" s="8" t="n"/>
      <c r="AC108" s="15">
        <f>IF(AND(AA108="Yes",AB108=""),"BLOCK","OK")</f>
        <v/>
      </c>
      <c r="AD108" s="16">
        <f>'MSRP Catalog'!M108</f>
        <v/>
      </c>
      <c r="AE108" s="15">
        <f>IF(AD108="","REVIEW",IF(AD108&lt;TODAY(),"BLOCK","OK"))</f>
        <v/>
      </c>
      <c r="AF108" s="8">
        <f>'MSRP Catalog'!K108</f>
        <v/>
      </c>
      <c r="AG108" s="8">
        <f>'MSRP Catalog'!N108</f>
        <v/>
      </c>
    </row>
    <row r="109">
      <c r="A109" s="8">
        <f>'MSRP Catalog'!A109</f>
        <v/>
      </c>
      <c r="B109" s="8">
        <f>'MSRP Catalog'!B109</f>
        <v/>
      </c>
      <c r="C109" s="8">
        <f>'MSRP Catalog'!C109</f>
        <v/>
      </c>
      <c r="D109" s="8">
        <f>'MSRP Catalog'!D109</f>
        <v/>
      </c>
      <c r="E109" s="8">
        <f>'MSRP Catalog'!E109</f>
        <v/>
      </c>
      <c r="F109" s="8">
        <f>'MSRP Catalog'!F109</f>
        <v/>
      </c>
      <c r="G109" s="8">
        <f>'MSRP Catalog'!G109</f>
        <v/>
      </c>
      <c r="H109" s="9">
        <f>'MSRP Catalog'!H109</f>
        <v/>
      </c>
      <c r="I109" s="10">
        <f>'MSRP Catalog'!I109</f>
        <v/>
      </c>
      <c r="J109" s="11" t="n">
        <v>0.1</v>
      </c>
      <c r="K109" s="12">
        <f>IFERROR(I109*(1-J109),"")</f>
        <v/>
      </c>
      <c r="L109" s="12">
        <f>IFERROR(K109*(1-P109),"")</f>
        <v/>
      </c>
      <c r="M109" s="13" t="n"/>
      <c r="N109" s="12">
        <f>IFERROR(I109*(1-O109),"")</f>
        <v/>
      </c>
      <c r="O109" s="11" t="n">
        <v>0.35</v>
      </c>
      <c r="P109" s="11" t="n">
        <v>0.2</v>
      </c>
      <c r="Q109" s="14">
        <f>IFERROR(L109/I109,"")</f>
        <v/>
      </c>
      <c r="R109" s="14">
        <f>IF(OR(M109="",I109=0),"",M109/I109)</f>
        <v/>
      </c>
      <c r="S109" s="8" t="inlineStr">
        <is>
          <t>Automatic</t>
        </is>
      </c>
      <c r="T109" s="8" t="inlineStr">
        <is>
          <t>CSO</t>
        </is>
      </c>
      <c r="U109" s="15">
        <f>IF(M109="","REVIEW",IF(L109&lt;M109,"BLOCK","OK"))</f>
        <v/>
      </c>
      <c r="V109" s="15">
        <f>IF(J109&gt;O109,"BLOCK","OK")</f>
        <v/>
      </c>
      <c r="W109" s="15">
        <f>IF(P109&gt;IF(D109="Start",10%,IF(D109="Pro",15%,IF(OR(D109="Business",D109="Enterprise"),20%,30%))),"BLOCK","OK")</f>
        <v/>
      </c>
      <c r="X109" s="15">
        <f>IF(OR(M109="",R109=""),"REVIEW",IF(Q109&lt;R109,"BLOCK","OK"))</f>
        <v/>
      </c>
      <c r="Y109" s="8" t="inlineStr">
        <is>
          <t>No</t>
        </is>
      </c>
      <c r="Z109" s="15">
        <f>IF(AND(D109="Ultimate",Y109="Yes"),"BLOCK","OK")</f>
        <v/>
      </c>
      <c r="AA109" s="8" t="inlineStr">
        <is>
          <t>No</t>
        </is>
      </c>
      <c r="AB109" s="8" t="n"/>
      <c r="AC109" s="15">
        <f>IF(AND(AA109="Yes",AB109=""),"BLOCK","OK")</f>
        <v/>
      </c>
      <c r="AD109" s="16">
        <f>'MSRP Catalog'!M109</f>
        <v/>
      </c>
      <c r="AE109" s="15">
        <f>IF(AD109="","REVIEW",IF(AD109&lt;TODAY(),"BLOCK","OK"))</f>
        <v/>
      </c>
      <c r="AF109" s="8">
        <f>'MSRP Catalog'!K109</f>
        <v/>
      </c>
      <c r="AG109" s="8">
        <f>'MSRP Catalog'!N109</f>
        <v/>
      </c>
    </row>
    <row r="110">
      <c r="A110" s="8">
        <f>'MSRP Catalog'!A110</f>
        <v/>
      </c>
      <c r="B110" s="8">
        <f>'MSRP Catalog'!B110</f>
        <v/>
      </c>
      <c r="C110" s="8">
        <f>'MSRP Catalog'!C110</f>
        <v/>
      </c>
      <c r="D110" s="8">
        <f>'MSRP Catalog'!D110</f>
        <v/>
      </c>
      <c r="E110" s="8">
        <f>'MSRP Catalog'!E110</f>
        <v/>
      </c>
      <c r="F110" s="8">
        <f>'MSRP Catalog'!F110</f>
        <v/>
      </c>
      <c r="G110" s="8">
        <f>'MSRP Catalog'!G110</f>
        <v/>
      </c>
      <c r="H110" s="9">
        <f>'MSRP Catalog'!H110</f>
        <v/>
      </c>
      <c r="I110" s="10">
        <f>'MSRP Catalog'!I110</f>
        <v/>
      </c>
      <c r="J110" s="11" t="n">
        <v>0.1</v>
      </c>
      <c r="K110" s="12">
        <f>IFERROR(I110*(1-J110),"")</f>
        <v/>
      </c>
      <c r="L110" s="12">
        <f>IFERROR(K110*(1-P110),"")</f>
        <v/>
      </c>
      <c r="M110" s="13" t="n"/>
      <c r="N110" s="12">
        <f>IFERROR(I110*(1-O110),"")</f>
        <v/>
      </c>
      <c r="O110" s="11" t="n">
        <v>0.2</v>
      </c>
      <c r="P110" s="11" t="n">
        <v>0.15</v>
      </c>
      <c r="Q110" s="14">
        <f>IFERROR(L110/I110,"")</f>
        <v/>
      </c>
      <c r="R110" s="14">
        <f>IF(OR(M110="",I110=0),"",M110/I110)</f>
        <v/>
      </c>
      <c r="S110" s="8" t="inlineStr">
        <is>
          <t>Automatic</t>
        </is>
      </c>
      <c r="T110" s="8" t="inlineStr">
        <is>
          <t>CSO</t>
        </is>
      </c>
      <c r="U110" s="15">
        <f>IF(M110="","REVIEW",IF(L110&lt;M110,"BLOCK","OK"))</f>
        <v/>
      </c>
      <c r="V110" s="15">
        <f>IF(J110&gt;O110,"BLOCK","OK")</f>
        <v/>
      </c>
      <c r="W110" s="15">
        <f>IF(P110&gt;IF(D110="Start",10%,IF(D110="Pro",15%,IF(OR(D110="Business",D110="Enterprise"),20%,30%))),"BLOCK","OK")</f>
        <v/>
      </c>
      <c r="X110" s="15">
        <f>IF(OR(M110="",R110=""),"REVIEW",IF(Q110&lt;R110,"BLOCK","OK"))</f>
        <v/>
      </c>
      <c r="Y110" s="8" t="inlineStr">
        <is>
          <t>No</t>
        </is>
      </c>
      <c r="Z110" s="15">
        <f>IF(AND(D110="Ultimate",Y110="Yes"),"BLOCK","OK")</f>
        <v/>
      </c>
      <c r="AA110" s="8" t="inlineStr">
        <is>
          <t>No</t>
        </is>
      </c>
      <c r="AB110" s="8" t="n"/>
      <c r="AC110" s="15">
        <f>IF(AND(AA110="Yes",AB110=""),"BLOCK","OK")</f>
        <v/>
      </c>
      <c r="AD110" s="16">
        <f>'MSRP Catalog'!M110</f>
        <v/>
      </c>
      <c r="AE110" s="15">
        <f>IF(AD110="","REVIEW",IF(AD110&lt;TODAY(),"BLOCK","OK"))</f>
        <v/>
      </c>
      <c r="AF110" s="8">
        <f>'MSRP Catalog'!K110</f>
        <v/>
      </c>
      <c r="AG110" s="8">
        <f>'MSRP Catalog'!N110</f>
        <v/>
      </c>
    </row>
    <row r="111">
      <c r="A111" s="8">
        <f>'MSRP Catalog'!A111</f>
        <v/>
      </c>
      <c r="B111" s="8">
        <f>'MSRP Catalog'!B111</f>
        <v/>
      </c>
      <c r="C111" s="8">
        <f>'MSRP Catalog'!C111</f>
        <v/>
      </c>
      <c r="D111" s="8">
        <f>'MSRP Catalog'!D111</f>
        <v/>
      </c>
      <c r="E111" s="8">
        <f>'MSRP Catalog'!E111</f>
        <v/>
      </c>
      <c r="F111" s="8">
        <f>'MSRP Catalog'!F111</f>
        <v/>
      </c>
      <c r="G111" s="8">
        <f>'MSRP Catalog'!G111</f>
        <v/>
      </c>
      <c r="H111" s="9">
        <f>'MSRP Catalog'!H111</f>
        <v/>
      </c>
      <c r="I111" s="10">
        <f>'MSRP Catalog'!I111</f>
        <v/>
      </c>
      <c r="J111" s="11" t="n">
        <v>0.1</v>
      </c>
      <c r="K111" s="12">
        <f>IFERROR(I111*(1-J111),"")</f>
        <v/>
      </c>
      <c r="L111" s="12">
        <f>IFERROR(K111*(1-P111),"")</f>
        <v/>
      </c>
      <c r="M111" s="13" t="n"/>
      <c r="N111" s="12">
        <f>IFERROR(I111*(1-O111),"")</f>
        <v/>
      </c>
      <c r="O111" s="11" t="n">
        <v>0.2</v>
      </c>
      <c r="P111" s="11" t="n">
        <v>0.15</v>
      </c>
      <c r="Q111" s="14">
        <f>IFERROR(L111/I111,"")</f>
        <v/>
      </c>
      <c r="R111" s="14">
        <f>IF(OR(M111="",I111=0),"",M111/I111)</f>
        <v/>
      </c>
      <c r="S111" s="8" t="inlineStr">
        <is>
          <t>Automatic</t>
        </is>
      </c>
      <c r="T111" s="8" t="inlineStr">
        <is>
          <t>CSO</t>
        </is>
      </c>
      <c r="U111" s="15">
        <f>IF(M111="","REVIEW",IF(L111&lt;M111,"BLOCK","OK"))</f>
        <v/>
      </c>
      <c r="V111" s="15">
        <f>IF(J111&gt;O111,"BLOCK","OK")</f>
        <v/>
      </c>
      <c r="W111" s="15">
        <f>IF(P111&gt;IF(D111="Start",10%,IF(D111="Pro",15%,IF(OR(D111="Business",D111="Enterprise"),20%,30%))),"BLOCK","OK")</f>
        <v/>
      </c>
      <c r="X111" s="15">
        <f>IF(OR(M111="",R111=""),"REVIEW",IF(Q111&lt;R111,"BLOCK","OK"))</f>
        <v/>
      </c>
      <c r="Y111" s="8" t="inlineStr">
        <is>
          <t>No</t>
        </is>
      </c>
      <c r="Z111" s="15">
        <f>IF(AND(D111="Ultimate",Y111="Yes"),"BLOCK","OK")</f>
        <v/>
      </c>
      <c r="AA111" s="8" t="inlineStr">
        <is>
          <t>No</t>
        </is>
      </c>
      <c r="AB111" s="8" t="n"/>
      <c r="AC111" s="15">
        <f>IF(AND(AA111="Yes",AB111=""),"BLOCK","OK")</f>
        <v/>
      </c>
      <c r="AD111" s="16">
        <f>'MSRP Catalog'!M111</f>
        <v/>
      </c>
      <c r="AE111" s="15">
        <f>IF(AD111="","REVIEW",IF(AD111&lt;TODAY(),"BLOCK","OK"))</f>
        <v/>
      </c>
      <c r="AF111" s="8">
        <f>'MSRP Catalog'!K111</f>
        <v/>
      </c>
      <c r="AG111" s="8">
        <f>'MSRP Catalog'!N111</f>
        <v/>
      </c>
    </row>
    <row r="112">
      <c r="A112" s="8">
        <f>'MSRP Catalog'!A112</f>
        <v/>
      </c>
      <c r="B112" s="8">
        <f>'MSRP Catalog'!B112</f>
        <v/>
      </c>
      <c r="C112" s="8">
        <f>'MSRP Catalog'!C112</f>
        <v/>
      </c>
      <c r="D112" s="8">
        <f>'MSRP Catalog'!D112</f>
        <v/>
      </c>
      <c r="E112" s="8">
        <f>'MSRP Catalog'!E112</f>
        <v/>
      </c>
      <c r="F112" s="8">
        <f>'MSRP Catalog'!F112</f>
        <v/>
      </c>
      <c r="G112" s="8">
        <f>'MSRP Catalog'!G112</f>
        <v/>
      </c>
      <c r="H112" s="9">
        <f>'MSRP Catalog'!H112</f>
        <v/>
      </c>
      <c r="I112" s="10">
        <f>'MSRP Catalog'!I112</f>
        <v/>
      </c>
      <c r="J112" s="11" t="n">
        <v>0.1</v>
      </c>
      <c r="K112" s="12">
        <f>IFERROR(I112*(1-J112),"")</f>
        <v/>
      </c>
      <c r="L112" s="12">
        <f>IFERROR(K112*(1-P112),"")</f>
        <v/>
      </c>
      <c r="M112" s="13" t="n"/>
      <c r="N112" s="12">
        <f>IFERROR(I112*(1-O112),"")</f>
        <v/>
      </c>
      <c r="O112" s="11" t="n">
        <v>0.2</v>
      </c>
      <c r="P112" s="11" t="n">
        <v>0.1</v>
      </c>
      <c r="Q112" s="14">
        <f>IFERROR(L112/I112,"")</f>
        <v/>
      </c>
      <c r="R112" s="14">
        <f>IF(OR(M112="",I112=0),"",M112/I112)</f>
        <v/>
      </c>
      <c r="S112" s="8" t="inlineStr">
        <is>
          <t>Automatic</t>
        </is>
      </c>
      <c r="T112" s="8" t="inlineStr">
        <is>
          <t>CSO</t>
        </is>
      </c>
      <c r="U112" s="15">
        <f>IF(M112="","REVIEW",IF(L112&lt;M112,"BLOCK","OK"))</f>
        <v/>
      </c>
      <c r="V112" s="15">
        <f>IF(J112&gt;O112,"BLOCK","OK")</f>
        <v/>
      </c>
      <c r="W112" s="15">
        <f>IF(P112&gt;IF(D112="Start",10%,IF(D112="Pro",15%,IF(OR(D112="Business",D112="Enterprise"),20%,30%))),"BLOCK","OK")</f>
        <v/>
      </c>
      <c r="X112" s="15">
        <f>IF(OR(M112="",R112=""),"REVIEW",IF(Q112&lt;R112,"BLOCK","OK"))</f>
        <v/>
      </c>
      <c r="Y112" s="8" t="inlineStr">
        <is>
          <t>No</t>
        </is>
      </c>
      <c r="Z112" s="15">
        <f>IF(AND(D112="Ultimate",Y112="Yes"),"BLOCK","OK")</f>
        <v/>
      </c>
      <c r="AA112" s="8" t="inlineStr">
        <is>
          <t>No</t>
        </is>
      </c>
      <c r="AB112" s="8" t="n"/>
      <c r="AC112" s="15">
        <f>IF(AND(AA112="Yes",AB112=""),"BLOCK","OK")</f>
        <v/>
      </c>
      <c r="AD112" s="16">
        <f>'MSRP Catalog'!M112</f>
        <v/>
      </c>
      <c r="AE112" s="15">
        <f>IF(AD112="","REVIEW",IF(AD112&lt;TODAY(),"BLOCK","OK"))</f>
        <v/>
      </c>
      <c r="AF112" s="8">
        <f>'MSRP Catalog'!K112</f>
        <v/>
      </c>
      <c r="AG112" s="8">
        <f>'MSRP Catalog'!N112</f>
        <v/>
      </c>
    </row>
    <row r="113">
      <c r="A113" s="8">
        <f>'MSRP Catalog'!A113</f>
        <v/>
      </c>
      <c r="B113" s="8">
        <f>'MSRP Catalog'!B113</f>
        <v/>
      </c>
      <c r="C113" s="8">
        <f>'MSRP Catalog'!C113</f>
        <v/>
      </c>
      <c r="D113" s="8">
        <f>'MSRP Catalog'!D113</f>
        <v/>
      </c>
      <c r="E113" s="8">
        <f>'MSRP Catalog'!E113</f>
        <v/>
      </c>
      <c r="F113" s="8">
        <f>'MSRP Catalog'!F113</f>
        <v/>
      </c>
      <c r="G113" s="8">
        <f>'MSRP Catalog'!G113</f>
        <v/>
      </c>
      <c r="H113" s="9">
        <f>'MSRP Catalog'!H113</f>
        <v/>
      </c>
      <c r="I113" s="10">
        <f>'MSRP Catalog'!I113</f>
        <v/>
      </c>
      <c r="J113" s="11" t="n">
        <v>0.1</v>
      </c>
      <c r="K113" s="12">
        <f>IFERROR(I113*(1-J113),"")</f>
        <v/>
      </c>
      <c r="L113" s="12">
        <f>IFERROR(K113*(1-P113),"")</f>
        <v/>
      </c>
      <c r="M113" s="13" t="n"/>
      <c r="N113" s="12">
        <f>IFERROR(I113*(1-O113),"")</f>
        <v/>
      </c>
      <c r="O113" s="11" t="n">
        <v>0.35</v>
      </c>
      <c r="P113" s="11" t="n">
        <v>0.3</v>
      </c>
      <c r="Q113" s="14">
        <f>IFERROR(L113/I113,"")</f>
        <v/>
      </c>
      <c r="R113" s="14">
        <f>IF(OR(M113="",I113=0),"",M113/I113)</f>
        <v/>
      </c>
      <c r="S113" s="8" t="inlineStr">
        <is>
          <t>Automatic</t>
        </is>
      </c>
      <c r="T113" s="8" t="inlineStr">
        <is>
          <t>CSO</t>
        </is>
      </c>
      <c r="U113" s="15">
        <f>IF(M113="","REVIEW",IF(L113&lt;M113,"BLOCK","OK"))</f>
        <v/>
      </c>
      <c r="V113" s="15">
        <f>IF(J113&gt;O113,"BLOCK","OK")</f>
        <v/>
      </c>
      <c r="W113" s="15">
        <f>IF(P113&gt;IF(D113="Start",10%,IF(D113="Pro",15%,IF(OR(D113="Business",D113="Enterprise"),20%,30%))),"BLOCK","OK")</f>
        <v/>
      </c>
      <c r="X113" s="15">
        <f>IF(OR(M113="",R113=""),"REVIEW",IF(Q113&lt;R113,"BLOCK","OK"))</f>
        <v/>
      </c>
      <c r="Y113" s="8" t="inlineStr">
        <is>
          <t>No</t>
        </is>
      </c>
      <c r="Z113" s="15">
        <f>IF(AND(D113="Ultimate",Y113="Yes"),"BLOCK","OK")</f>
        <v/>
      </c>
      <c r="AA113" s="8" t="inlineStr">
        <is>
          <t>No</t>
        </is>
      </c>
      <c r="AB113" s="8" t="n"/>
      <c r="AC113" s="15">
        <f>IF(AND(AA113="Yes",AB113=""),"BLOCK","OK")</f>
        <v/>
      </c>
      <c r="AD113" s="16">
        <f>'MSRP Catalog'!M113</f>
        <v/>
      </c>
      <c r="AE113" s="15">
        <f>IF(AD113="","REVIEW",IF(AD113&lt;TODAY(),"BLOCK","OK"))</f>
        <v/>
      </c>
      <c r="AF113" s="8">
        <f>'MSRP Catalog'!K113</f>
        <v/>
      </c>
      <c r="AG113" s="8">
        <f>'MSRP Catalog'!N113</f>
        <v/>
      </c>
    </row>
    <row r="114">
      <c r="A114" s="8">
        <f>'MSRP Catalog'!A114</f>
        <v/>
      </c>
      <c r="B114" s="8">
        <f>'MSRP Catalog'!B114</f>
        <v/>
      </c>
      <c r="C114" s="8">
        <f>'MSRP Catalog'!C114</f>
        <v/>
      </c>
      <c r="D114" s="8">
        <f>'MSRP Catalog'!D114</f>
        <v/>
      </c>
      <c r="E114" s="8">
        <f>'MSRP Catalog'!E114</f>
        <v/>
      </c>
      <c r="F114" s="8">
        <f>'MSRP Catalog'!F114</f>
        <v/>
      </c>
      <c r="G114" s="8">
        <f>'MSRP Catalog'!G114</f>
        <v/>
      </c>
      <c r="H114" s="9">
        <f>'MSRP Catalog'!H114</f>
        <v/>
      </c>
      <c r="I114" s="10">
        <f>'MSRP Catalog'!I114</f>
        <v/>
      </c>
      <c r="J114" s="11" t="n">
        <v>0.1</v>
      </c>
      <c r="K114" s="12">
        <f>IFERROR(I114*(1-J114),"")</f>
        <v/>
      </c>
      <c r="L114" s="12">
        <f>IFERROR(K114*(1-P114),"")</f>
        <v/>
      </c>
      <c r="M114" s="13" t="n"/>
      <c r="N114" s="12">
        <f>IFERROR(I114*(1-O114),"")</f>
        <v/>
      </c>
      <c r="O114" s="11" t="n">
        <v>0.35</v>
      </c>
      <c r="P114" s="11" t="n">
        <v>0.3</v>
      </c>
      <c r="Q114" s="14">
        <f>IFERROR(L114/I114,"")</f>
        <v/>
      </c>
      <c r="R114" s="14">
        <f>IF(OR(M114="",I114=0),"",M114/I114)</f>
        <v/>
      </c>
      <c r="S114" s="8" t="inlineStr">
        <is>
          <t>Automatic</t>
        </is>
      </c>
      <c r="T114" s="8" t="inlineStr">
        <is>
          <t>CSO</t>
        </is>
      </c>
      <c r="U114" s="15">
        <f>IF(M114="","REVIEW",IF(L114&lt;M114,"BLOCK","OK"))</f>
        <v/>
      </c>
      <c r="V114" s="15">
        <f>IF(J114&gt;O114,"BLOCK","OK")</f>
        <v/>
      </c>
      <c r="W114" s="15">
        <f>IF(P114&gt;IF(D114="Start",10%,IF(D114="Pro",15%,IF(OR(D114="Business",D114="Enterprise"),20%,30%))),"BLOCK","OK")</f>
        <v/>
      </c>
      <c r="X114" s="15">
        <f>IF(OR(M114="",R114=""),"REVIEW",IF(Q114&lt;R114,"BLOCK","OK"))</f>
        <v/>
      </c>
      <c r="Y114" s="8" t="inlineStr">
        <is>
          <t>No</t>
        </is>
      </c>
      <c r="Z114" s="15">
        <f>IF(AND(D114="Ultimate",Y114="Yes"),"BLOCK","OK")</f>
        <v/>
      </c>
      <c r="AA114" s="8" t="inlineStr">
        <is>
          <t>No</t>
        </is>
      </c>
      <c r="AB114" s="8" t="n"/>
      <c r="AC114" s="15">
        <f>IF(AND(AA114="Yes",AB114=""),"BLOCK","OK")</f>
        <v/>
      </c>
      <c r="AD114" s="16">
        <f>'MSRP Catalog'!M114</f>
        <v/>
      </c>
      <c r="AE114" s="15">
        <f>IF(AD114="","REVIEW",IF(AD114&lt;TODAY(),"BLOCK","OK"))</f>
        <v/>
      </c>
      <c r="AF114" s="8">
        <f>'MSRP Catalog'!K114</f>
        <v/>
      </c>
      <c r="AG114" s="8">
        <f>'MSRP Catalog'!N114</f>
        <v/>
      </c>
    </row>
  </sheetData>
  <autoFilter ref="A4:AG114"/>
  <mergeCells count="2">
    <mergeCell ref="A2:AG2"/>
    <mergeCell ref="A1:AG1"/>
  </mergeCells>
  <conditionalFormatting sqref="U5:U114">
    <cfRule type="expression" priority="1" dxfId="0">
      <formula>EXACT(U5,"OK")</formula>
    </cfRule>
    <cfRule type="expression" priority="2" dxfId="1">
      <formula>EXACT(U5,"REVIEW")</formula>
    </cfRule>
    <cfRule type="expression" priority="3" dxfId="2">
      <formula>EXACT(U5,"BLOCK")</formula>
    </cfRule>
  </conditionalFormatting>
  <conditionalFormatting sqref="V5:V114">
    <cfRule type="expression" priority="4" dxfId="0">
      <formula>EXACT(V5,"OK")</formula>
    </cfRule>
    <cfRule type="expression" priority="5" dxfId="1">
      <formula>EXACT(V5,"REVIEW")</formula>
    </cfRule>
    <cfRule type="expression" priority="6" dxfId="2">
      <formula>EXACT(V5,"BLOCK")</formula>
    </cfRule>
  </conditionalFormatting>
  <conditionalFormatting sqref="W5:W114">
    <cfRule type="expression" priority="7" dxfId="0">
      <formula>EXACT(W5,"OK")</formula>
    </cfRule>
    <cfRule type="expression" priority="8" dxfId="1">
      <formula>EXACT(W5,"REVIEW")</formula>
    </cfRule>
    <cfRule type="expression" priority="9" dxfId="2">
      <formula>EXACT(W5,"BLOCK")</formula>
    </cfRule>
  </conditionalFormatting>
  <conditionalFormatting sqref="X5:X114">
    <cfRule type="expression" priority="10" dxfId="0">
      <formula>EXACT(X5,"OK")</formula>
    </cfRule>
    <cfRule type="expression" priority="11" dxfId="1">
      <formula>EXACT(X5,"REVIEW")</formula>
    </cfRule>
    <cfRule type="expression" priority="12" dxfId="2">
      <formula>EXACT(X5,"BLOCK")</formula>
    </cfRule>
  </conditionalFormatting>
  <conditionalFormatting sqref="Z5:Z114">
    <cfRule type="expression" priority="13" dxfId="0">
      <formula>EXACT(Z5,"OK")</formula>
    </cfRule>
    <cfRule type="expression" priority="14" dxfId="1">
      <formula>EXACT(Z5,"REVIEW")</formula>
    </cfRule>
    <cfRule type="expression" priority="15" dxfId="2">
      <formula>EXACT(Z5,"BLOCK")</formula>
    </cfRule>
  </conditionalFormatting>
  <conditionalFormatting sqref="AC5:AC114">
    <cfRule type="expression" priority="16" dxfId="0">
      <formula>EXACT(AC5,"OK")</formula>
    </cfRule>
    <cfRule type="expression" priority="17" dxfId="1">
      <formula>EXACT(AC5,"REVIEW")</formula>
    </cfRule>
    <cfRule type="expression" priority="18" dxfId="2">
      <formula>EXACT(AC5,"BLOCK")</formula>
    </cfRule>
  </conditionalFormatting>
  <conditionalFormatting sqref="AE5:AE114">
    <cfRule type="expression" priority="19" dxfId="0">
      <formula>EXACT(AE5,"OK")</formula>
    </cfRule>
    <cfRule type="expression" priority="20" dxfId="1">
      <formula>EXACT(AE5,"REVIEW")</formula>
    </cfRule>
    <cfRule type="expression" priority="21" dxfId="2">
      <formula>EXACT(AE5,"BLOCK")</formula>
    </cfRule>
  </conditionalFormatting>
  <conditionalFormatting sqref="M5:M114">
    <cfRule type="expression" priority="22" dxfId="1">
      <formula>ISBLANK(M5)</formula>
    </cfRule>
  </conditionalFormatting>
  <dataValidations count="1">
    <dataValidation sqref="Y5:Y114 AA5:AA114" showDropDown="0" showInputMessage="0" showErrorMessage="0" allowBlank="0" type="list">
      <formula1>"Yes,No"</formula1>
    </dataValidation>
  </dataValidations>
  <pageMargins left="0.2" right="0.2" top="0.35" bottom="0.35" header="0.5" footer="0.5"/>
  <pageSetup orientation="landscape" paperSize="8" fitToHeight="1" fitToWidth="2"/>
  <tableParts count="1">
    <tablePart xmlns:r="http://schemas.openxmlformats.org/officeDocument/2006/relationships" r:id="rId1"/>
  </tableParts>
</worksheet>
</file>

<file path=xl/worksheets/sheet3.xml><?xml version="1.0" encoding="utf-8"?>
<worksheet xmlns="http://schemas.openxmlformats.org/spreadsheetml/2006/main">
  <sheetPr>
    <tabColor rgb="003D3D3D"/>
    <outlinePr summaryBelow="1" summaryRight="1"/>
    <pageSetUpPr fitToPage="1"/>
  </sheetPr>
  <dimension ref="A1:D30"/>
  <sheetViews>
    <sheetView showGridLines="0" workbookViewId="0">
      <pane ySplit="4" topLeftCell="A5" activePane="bottomLeft" state="frozen"/>
      <selection pane="bottomLeft" activeCell="A1" sqref="A1"/>
    </sheetView>
  </sheetViews>
  <sheetFormatPr baseColWidth="8" defaultRowHeight="15"/>
  <cols>
    <col width="37" customWidth="1" min="1" max="1"/>
    <col width="85" customWidth="1" min="2" max="2"/>
    <col width="24" customWidth="1" min="3" max="3"/>
    <col width="24" customWidth="1" min="4" max="4"/>
  </cols>
  <sheetData>
    <row r="1" ht="34" customHeight="1">
      <c r="A1" s="1" t="inlineStr">
        <is>
          <t>Definitions</t>
        </is>
      </c>
    </row>
    <row r="2" ht="32" customHeight="1">
      <c r="A2" s="2" t="inlineStr">
        <is>
          <t>Data dictionary and commercial conventions for the internal price book.</t>
        </is>
      </c>
    </row>
    <row r="3"/>
    <row r="4" ht="34" customHeight="1">
      <c r="A4" s="6" t="inlineStr">
        <is>
          <t>Field</t>
        </is>
      </c>
      <c r="B4" s="6" t="inlineStr">
        <is>
          <t>Definition</t>
        </is>
      </c>
      <c r="C4" s="6" t="inlineStr">
        <is>
          <t>Example</t>
        </is>
      </c>
      <c r="D4" s="6" t="inlineStr">
        <is>
          <t>Owner</t>
        </is>
      </c>
    </row>
    <row r="5">
      <c r="A5" s="5" t="inlineStr">
        <is>
          <t>Price Book Version</t>
        </is>
      </c>
      <c r="B5" s="5" t="inlineStr">
        <is>
          <t>Version identifier controlling effective pricing.</t>
        </is>
      </c>
      <c r="C5" s="5" t="inlineStr">
        <is>
          <t>FY2027-Q1</t>
        </is>
      </c>
      <c r="D5" s="5" t="inlineStr">
        <is>
          <t>Commercial Operations</t>
        </is>
      </c>
    </row>
    <row r="6">
      <c r="A6" s="5" t="inlineStr">
        <is>
          <t>SKU</t>
        </is>
      </c>
      <c r="B6" s="5" t="inlineStr">
        <is>
          <t>Unique commercial product identifier.</t>
        </is>
      </c>
      <c r="C6" s="5" t="inlineStr">
        <is>
          <t>CB-BUS-USER</t>
        </is>
      </c>
      <c r="D6" s="5" t="inlineStr">
        <is>
          <t>Product Operations</t>
        </is>
      </c>
    </row>
    <row r="7">
      <c r="A7" s="5" t="inlineStr">
        <is>
          <t>Product</t>
        </is>
      </c>
      <c r="B7" s="5" t="inlineStr">
        <is>
          <t>Approved commercial product name.</t>
        </is>
      </c>
      <c r="C7" s="5" t="inlineStr">
        <is>
          <t>Business Regular User</t>
        </is>
      </c>
      <c r="D7" s="5" t="inlineStr">
        <is>
          <t>Product</t>
        </is>
      </c>
    </row>
    <row r="8">
      <c r="A8" s="5" t="inlineStr">
        <is>
          <t>Plan</t>
        </is>
      </c>
      <c r="B8" s="5" t="inlineStr">
        <is>
          <t>Applicable Circularo plan.</t>
        </is>
      </c>
      <c r="C8" s="5" t="inlineStr">
        <is>
          <t>Business</t>
        </is>
      </c>
      <c r="D8" s="5" t="inlineStr">
        <is>
          <t>Product</t>
        </is>
      </c>
    </row>
    <row r="9">
      <c r="A9" s="5" t="inlineStr">
        <is>
          <t>Product Family</t>
        </is>
      </c>
      <c r="B9" s="5" t="inlineStr">
        <is>
          <t>Commercial grouping used for reporting.</t>
        </is>
      </c>
      <c r="C9" s="5" t="inlineStr">
        <is>
          <t>Subscription</t>
        </is>
      </c>
      <c r="D9" s="5" t="inlineStr">
        <is>
          <t>Product</t>
        </is>
      </c>
    </row>
    <row r="10">
      <c r="A10" s="5" t="inlineStr">
        <is>
          <t>Unit</t>
        </is>
      </c>
      <c r="B10" s="5" t="inlineStr">
        <is>
          <t>Commercial quantity to which MSRP applies.</t>
        </is>
      </c>
      <c r="C10" s="5" t="inlineStr">
        <is>
          <t>User / year</t>
        </is>
      </c>
      <c r="D10" s="5" t="inlineStr">
        <is>
          <t>Product</t>
        </is>
      </c>
    </row>
    <row r="11">
      <c r="A11" s="5" t="inlineStr">
        <is>
          <t>Price Basis</t>
        </is>
      </c>
      <c r="B11" s="5" t="inlineStr">
        <is>
          <t>Annual, Per Event, Per Pack, or One-Time.</t>
        </is>
      </c>
      <c r="C11" s="5" t="inlineStr">
        <is>
          <t>Annual</t>
        </is>
      </c>
      <c r="D11" s="5" t="inlineStr">
        <is>
          <t>Commercial Operations</t>
        </is>
      </c>
    </row>
    <row r="12">
      <c r="A12" s="5" t="inlineStr">
        <is>
          <t>Pack Quantity</t>
        </is>
      </c>
      <c r="B12" s="5" t="inlineStr">
        <is>
          <t>Number of events included when Price Basis is Per Pack.</t>
        </is>
      </c>
      <c r="C12" s="5" t="inlineStr">
        <is>
          <t>100</t>
        </is>
      </c>
      <c r="D12" s="5" t="inlineStr">
        <is>
          <t>Product</t>
        </is>
      </c>
    </row>
    <row r="13">
      <c r="A13" s="5" t="inlineStr">
        <is>
          <t>MSRP</t>
        </is>
      </c>
      <c r="B13" s="5" t="inlineStr">
        <is>
          <t>Published list price before discount. Annual for subscription entitlements; otherwise applies to the stated event or pack.</t>
        </is>
      </c>
      <c r="C13" s="5" t="inlineStr">
        <is>
          <t>$600.00</t>
        </is>
      </c>
      <c r="D13" s="5" t="inlineStr">
        <is>
          <t>Commercial Operations</t>
        </is>
      </c>
    </row>
    <row r="14">
      <c r="A14" s="5" t="inlineStr">
        <is>
          <t>Target Customer Discount</t>
        </is>
      </c>
      <c r="B14" s="5" t="inlineStr">
        <is>
          <t>Expected standard customer discount, normally 10%.</t>
        </is>
      </c>
      <c r="C14" s="5" t="inlineStr">
        <is>
          <t>10%</t>
        </is>
      </c>
      <c r="D14" s="5" t="inlineStr">
        <is>
          <t>Sales</t>
        </is>
      </c>
    </row>
    <row r="15">
      <c r="A15" s="5" t="inlineStr">
        <is>
          <t>Target Customer Sell Price</t>
        </is>
      </c>
      <c r="B15" s="5" t="inlineStr">
        <is>
          <t>Expected market selling price after target discount.</t>
        </is>
      </c>
      <c r="C15" s="5" t="inlineStr">
        <is>
          <t>$540.00</t>
        </is>
      </c>
      <c r="D15" s="5" t="inlineStr">
        <is>
          <t>Calculated</t>
        </is>
      </c>
    </row>
    <row r="16">
      <c r="A16" s="5" t="inlineStr">
        <is>
          <t>Standard Partner Buy Price</t>
        </is>
      </c>
      <c r="B16" s="5" t="inlineStr">
        <is>
          <t>Default buy price charged by Circularo to the partner.</t>
        </is>
      </c>
      <c r="C16" s="5" t="inlineStr">
        <is>
          <t>$432.00</t>
        </is>
      </c>
      <c r="D16" s="5" t="inlineStr">
        <is>
          <t>Calculated</t>
        </is>
      </c>
    </row>
    <row r="17">
      <c r="A17" s="5" t="inlineStr">
        <is>
          <t>Commercial Floor Price</t>
        </is>
      </c>
      <c r="B17" s="5" t="inlineStr">
        <is>
          <t>Lowest partner buy price normally approved; manually maintained and not product cost.</t>
        </is>
      </c>
      <c r="C17" s="5" t="inlineStr">
        <is>
          <t>$400.00</t>
        </is>
      </c>
      <c r="D17" s="5" t="inlineStr">
        <is>
          <t>CSO / Finance</t>
        </is>
      </c>
    </row>
    <row r="18">
      <c r="A18" s="5" t="inlineStr">
        <is>
          <t>Customer Sell Price Approval Threshold</t>
        </is>
      </c>
      <c r="B18" s="5" t="inlineStr">
        <is>
          <t>Internal benchmark below which additional approval is required; not a prescribed resale price.</t>
        </is>
      </c>
      <c r="C18" s="5" t="inlineStr">
        <is>
          <t>$390.00</t>
        </is>
      </c>
      <c r="D18" s="5" t="inlineStr">
        <is>
          <t>Sales</t>
        </is>
      </c>
    </row>
    <row r="19">
      <c r="A19" s="5" t="inlineStr">
        <is>
          <t>Max Customer Discount</t>
        </is>
      </c>
      <c r="B19" s="5" t="inlineStr">
        <is>
          <t>Maximum customer discount under the standard approval framework.</t>
        </is>
      </c>
      <c r="C19" s="5" t="inlineStr">
        <is>
          <t>35%</t>
        </is>
      </c>
      <c r="D19" s="5" t="inlineStr">
        <is>
          <t>Sales</t>
        </is>
      </c>
    </row>
    <row r="20">
      <c r="A20" s="5" t="inlineStr">
        <is>
          <t>Target Realized Partner Margin</t>
        </is>
      </c>
      <c r="B20" s="5" t="inlineStr">
        <is>
          <t>Expected partner gross margin at target customer sell price.</t>
        </is>
      </c>
      <c r="C20" s="5" t="inlineStr">
        <is>
          <t>20%</t>
        </is>
      </c>
      <c r="D20" s="5" t="inlineStr">
        <is>
          <t>Sales</t>
        </is>
      </c>
    </row>
    <row r="21">
      <c r="A21" s="5" t="inlineStr">
        <is>
          <t>Standard Circularo Price Realization</t>
        </is>
      </c>
      <c r="B21" s="5" t="inlineStr">
        <is>
          <t>Proportion of MSRP retained at Standard Partner Buy Price.</t>
        </is>
      </c>
      <c r="C21" s="5" t="inlineStr">
        <is>
          <t>72%</t>
        </is>
      </c>
      <c r="D21" s="5" t="inlineStr">
        <is>
          <t>Calculated</t>
        </is>
      </c>
    </row>
    <row r="22">
      <c r="A22" s="5" t="inlineStr">
        <is>
          <t>Floor Circularo Price Realization</t>
        </is>
      </c>
      <c r="B22" s="5" t="inlineStr">
        <is>
          <t>Proportion of MSRP retained at Commercial Floor Price.</t>
        </is>
      </c>
      <c r="C22" s="5" t="inlineStr">
        <is>
          <t>67%</t>
        </is>
      </c>
      <c r="D22" s="5" t="inlineStr">
        <is>
          <t>Calculated</t>
        </is>
      </c>
    </row>
    <row r="23">
      <c r="A23" s="5" t="inlineStr">
        <is>
          <t>Standard Approval</t>
        </is>
      </c>
      <c r="B23" s="5" t="inlineStr">
        <is>
          <t>Authority or treatment for standard partner pricing.</t>
        </is>
      </c>
      <c r="C23" s="5" t="inlineStr">
        <is>
          <t>Automatic</t>
        </is>
      </c>
      <c r="D23" s="5" t="inlineStr">
        <is>
          <t>Sales</t>
        </is>
      </c>
    </row>
    <row r="24">
      <c r="A24" s="5" t="inlineStr">
        <is>
          <t>Floor Approval</t>
        </is>
      </c>
      <c r="B24" s="5" t="inlineStr">
        <is>
          <t>Authority required to approve pricing at the commercial floor.</t>
        </is>
      </c>
      <c r="C24" s="5" t="inlineStr">
        <is>
          <t>CSO</t>
        </is>
      </c>
      <c r="D24" s="5" t="inlineStr">
        <is>
          <t>Sales</t>
        </is>
      </c>
    </row>
    <row r="25">
      <c r="A25" s="5" t="inlineStr">
        <is>
          <t>Below Floor</t>
        </is>
      </c>
      <c r="B25" s="5" t="inlineStr">
        <is>
          <t>Control showing whether standard buy price breaches or lacks a maintained floor.</t>
        </is>
      </c>
      <c r="C25" s="5" t="inlineStr">
        <is>
          <t>OK / REVIEW / BLOCK</t>
        </is>
      </c>
      <c r="D25" s="5" t="inlineStr">
        <is>
          <t>Calculated</t>
        </is>
      </c>
    </row>
    <row r="26">
      <c r="A26" s="5" t="inlineStr">
        <is>
          <t>Independent Partner Quote</t>
        </is>
      </c>
      <c r="B26" s="5" t="inlineStr">
        <is>
          <t>Whether the partner is attempting to quote independently.</t>
        </is>
      </c>
      <c r="C26" s="5" t="inlineStr">
        <is>
          <t>No</t>
        </is>
      </c>
      <c r="D26" s="5" t="inlineStr">
        <is>
          <t>Sales</t>
        </is>
      </c>
    </row>
    <row r="27">
      <c r="A27" s="5" t="inlineStr">
        <is>
          <t>Special Pricing Applied</t>
        </is>
      </c>
      <c r="B27" s="5" t="inlineStr">
        <is>
          <t>Whether non-standard special pricing is proposed.</t>
        </is>
      </c>
      <c r="C27" s="5" t="inlineStr">
        <is>
          <t>No</t>
        </is>
      </c>
      <c r="D27" s="5" t="inlineStr">
        <is>
          <t>Sales</t>
        </is>
      </c>
    </row>
    <row r="28">
      <c r="A28" s="5" t="inlineStr">
        <is>
          <t>Deal Registration ID</t>
        </is>
      </c>
      <c r="B28" s="5" t="inlineStr">
        <is>
          <t>Registered opportunity reference required for special pricing where applicable.</t>
        </is>
      </c>
      <c r="C28" s="5" t="inlineStr">
        <is>
          <t>DR-2027-001</t>
        </is>
      </c>
      <c r="D28" s="5" t="inlineStr">
        <is>
          <t>Sales</t>
        </is>
      </c>
    </row>
    <row r="29">
      <c r="A29" s="5" t="inlineStr">
        <is>
          <t>Effective To</t>
        </is>
      </c>
      <c r="B29" s="5" t="inlineStr">
        <is>
          <t>Date after which the price-book record expires.</t>
        </is>
      </c>
      <c r="C29" s="5" t="inlineStr">
        <is>
          <t>2027-03-31</t>
        </is>
      </c>
      <c r="D29" s="5" t="inlineStr">
        <is>
          <t>Commercial Operations</t>
        </is>
      </c>
    </row>
    <row r="30">
      <c r="A30" s="5" t="inlineStr">
        <is>
          <t>Circularo Price Realization</t>
        </is>
      </c>
      <c r="B30" s="5" t="inlineStr">
        <is>
          <t>Partner Buy Price divided by MSRP. Portfolio results must be value-weighted.</t>
        </is>
      </c>
      <c r="C30" s="5" t="inlineStr">
        <is>
          <t>72%</t>
        </is>
      </c>
      <c r="D30" s="5" t="inlineStr">
        <is>
          <t>Finance</t>
        </is>
      </c>
    </row>
  </sheetData>
  <autoFilter ref="A4:D30"/>
  <mergeCells count="2">
    <mergeCell ref="A1:D1"/>
    <mergeCell ref="A2:D2"/>
  </mergeCells>
  <pageMargins left="0.2" right="0.2" top="0.35" bottom="0.35" header="0.5" footer="0.5"/>
  <pageSetup orientation="landscape" fitToHeight="1" fitToWidth="1"/>
  <tableParts count="1">
    <tablePart xmlns:r="http://schemas.openxmlformats.org/officeDocument/2006/relationships" r:id="rId1"/>
  </tableParts>
</worksheet>
</file>

<file path=xl/worksheets/sheet4.xml><?xml version="1.0" encoding="utf-8"?>
<worksheet xmlns="http://schemas.openxmlformats.org/spreadsheetml/2006/main">
  <sheetPr>
    <tabColor rgb="003D3D3D"/>
    <outlinePr summaryBelow="1" summaryRight="1"/>
    <pageSetUpPr fitToPage="1"/>
  </sheetPr>
  <dimension ref="A1:C12"/>
  <sheetViews>
    <sheetView showGridLines="0" workbookViewId="0">
      <pane ySplit="4" topLeftCell="A5" activePane="bottomLeft" state="frozen"/>
      <selection pane="bottomLeft" activeCell="A1" sqref="A1"/>
    </sheetView>
  </sheetViews>
  <sheetFormatPr baseColWidth="8" defaultRowHeight="15"/>
  <cols>
    <col width="42" customWidth="1" min="1" max="1"/>
    <col width="60" customWidth="1" min="2" max="2"/>
    <col width="70" customWidth="1" min="3" max="3"/>
  </cols>
  <sheetData>
    <row r="1" ht="34" customHeight="1">
      <c r="A1" s="1" t="inlineStr">
        <is>
          <t>Formula Reference</t>
        </is>
      </c>
    </row>
    <row r="2" ht="32" customHeight="1">
      <c r="A2" s="2" t="inlineStr">
        <is>
          <t>Auditable formula definitions. All workbook calculations should follow these patterns.</t>
        </is>
      </c>
    </row>
    <row r="3"/>
    <row r="4" ht="34" customHeight="1">
      <c r="A4" s="6" t="inlineStr">
        <is>
          <t>Formula Name</t>
        </is>
      </c>
      <c r="B4" s="6" t="inlineStr">
        <is>
          <t>Formula</t>
        </is>
      </c>
      <c r="C4" s="6" t="inlineStr">
        <is>
          <t>Description</t>
        </is>
      </c>
    </row>
    <row r="5">
      <c r="A5" s="5" t="inlineStr">
        <is>
          <t>Target Customer Sell Price</t>
        </is>
      </c>
      <c r="B5" s="5" t="inlineStr">
        <is>
          <t>MSRP × (1 − Target Customer Discount)</t>
        </is>
      </c>
      <c r="C5" s="5" t="inlineStr">
        <is>
          <t>Expected customer price after target discount.</t>
        </is>
      </c>
    </row>
    <row r="6">
      <c r="A6" s="5" t="inlineStr">
        <is>
          <t>Standard Partner Buy Price</t>
        </is>
      </c>
      <c r="B6" s="5" t="inlineStr">
        <is>
          <t>Target Customer Sell Price × (1 − Target Realized Partner Margin)</t>
        </is>
      </c>
      <c r="C6" s="5" t="inlineStr">
        <is>
          <t>Default Circularo sell-in price.</t>
        </is>
      </c>
    </row>
    <row r="7">
      <c r="A7" s="5" t="inlineStr">
        <is>
          <t>Customer Discount</t>
        </is>
      </c>
      <c r="B7" s="5" t="inlineStr">
        <is>
          <t>(MSRP − Customer Sell Price) ÷ MSRP</t>
        </is>
      </c>
      <c r="C7" s="5" t="inlineStr">
        <is>
          <t>Actual discount to list price.</t>
        </is>
      </c>
    </row>
    <row r="8">
      <c r="A8" s="5" t="inlineStr">
        <is>
          <t>Realized Partner Gross Margin</t>
        </is>
      </c>
      <c r="B8" s="5" t="inlineStr">
        <is>
          <t>(Customer Sell Price − Partner Buy Price) ÷ Customer Sell Price</t>
        </is>
      </c>
      <c r="C8" s="5" t="inlineStr">
        <is>
          <t>Partner gross margin at actual customer price.</t>
        </is>
      </c>
    </row>
    <row r="9">
      <c r="A9" s="5" t="inlineStr">
        <is>
          <t>Customer Sell Price Approval Threshold</t>
        </is>
      </c>
      <c r="B9" s="5" t="inlineStr">
        <is>
          <t>MSRP × (1 − Max Customer Discount)</t>
        </is>
      </c>
      <c r="C9" s="5" t="inlineStr">
        <is>
          <t>Internal approval benchmark, not a prescribed resale price.</t>
        </is>
      </c>
    </row>
    <row r="10">
      <c r="A10" s="5" t="inlineStr">
        <is>
          <t>Standard Circularo Price Realization</t>
        </is>
      </c>
      <c r="B10" s="5" t="inlineStr">
        <is>
          <t>Standard Partner Buy Price ÷ MSRP</t>
        </is>
      </c>
      <c r="C10" s="5" t="inlineStr">
        <is>
          <t>MSRP retained by Circularo at standard price.</t>
        </is>
      </c>
    </row>
    <row r="11">
      <c r="A11" s="5" t="inlineStr">
        <is>
          <t>Floor Circularo Price Realization</t>
        </is>
      </c>
      <c r="B11" s="5" t="inlineStr">
        <is>
          <t>Commercial Floor Price ÷ MSRP</t>
        </is>
      </c>
      <c r="C11" s="5" t="inlineStr">
        <is>
          <t>MSRP retained at the manually maintained floor.</t>
        </is>
      </c>
    </row>
    <row r="12">
      <c r="A12" s="5" t="inlineStr">
        <is>
          <t>Weighted Portfolio Price Realization</t>
        </is>
      </c>
      <c r="B12" s="5" t="inlineStr">
        <is>
          <t>Total Partner Buy Price Value ÷ Total MSRP Value</t>
        </is>
      </c>
      <c r="C12" s="5" t="inlineStr">
        <is>
          <t>Value-weighted portfolio KPI; never average row percentages.</t>
        </is>
      </c>
    </row>
  </sheetData>
  <autoFilter ref="A4:C12"/>
  <mergeCells count="2">
    <mergeCell ref="A1:C1"/>
    <mergeCell ref="A2:C2"/>
  </mergeCells>
  <pageMargins left="0.2" right="0.2" top="0.35" bottom="0.35" header="0.5" footer="0.5"/>
  <pageSetup fitToHeight="1" fitToWidth="1"/>
  <tableParts count="1">
    <tablePart xmlns:r="http://schemas.openxmlformats.org/officeDocument/2006/relationships" r:id="rId1"/>
  </tableParts>
</worksheet>
</file>

<file path=xl/worksheets/sheet5.xml><?xml version="1.0" encoding="utf-8"?>
<worksheet xmlns="http://schemas.openxmlformats.org/spreadsheetml/2006/main">
  <sheetPr>
    <tabColor rgb="007000FF"/>
    <outlinePr summaryBelow="1" summaryRight="1"/>
    <pageSetUpPr fitToPage="1"/>
  </sheetPr>
  <dimension ref="A1:P7"/>
  <sheetViews>
    <sheetView showGridLines="0" workbookViewId="0">
      <pane ySplit="4" topLeftCell="A5" activePane="bottomLeft" state="frozen"/>
      <selection pane="bottomLeft" activeCell="A1" sqref="A1"/>
    </sheetView>
  </sheetViews>
  <sheetFormatPr baseColWidth="8" defaultRowHeight="15"/>
  <cols>
    <col width="34" customWidth="1" min="1" max="1"/>
    <col width="24" customWidth="1" min="2" max="2"/>
    <col width="34" customWidth="1" min="3" max="3"/>
    <col width="22" customWidth="1" min="4" max="4"/>
    <col width="20" customWidth="1" min="5" max="5"/>
    <col width="25" customWidth="1" min="6" max="6"/>
    <col width="27" customWidth="1" min="7" max="7"/>
    <col width="17" customWidth="1" min="8" max="8"/>
    <col width="15" customWidth="1" min="9" max="9"/>
    <col width="20" customWidth="1" min="10" max="10"/>
    <col width="22" customWidth="1" min="11" max="11"/>
    <col width="20" customWidth="1" min="12" max="12"/>
    <col width="22" customWidth="1" min="13" max="13"/>
    <col width="29" customWidth="1" min="14" max="14"/>
    <col width="28" customWidth="1" min="15" max="15"/>
    <col width="48" customWidth="1" min="16" max="16"/>
  </cols>
  <sheetData>
    <row r="1" ht="34" customHeight="1">
      <c r="A1" s="1" t="inlineStr">
        <is>
          <t>Partner Tiers</t>
        </is>
      </c>
    </row>
    <row r="2" ht="32" customHeight="1">
      <c r="A2" s="2" t="inlineStr">
        <is>
          <t>Standard tier and plan permissions. Ultimate is always a joint Circularo engagement.</t>
        </is>
      </c>
    </row>
    <row r="3"/>
    <row r="4" ht="34" customHeight="1">
      <c r="A4" s="6" t="inlineStr">
        <is>
          <t>Partner Tier</t>
        </is>
      </c>
      <c r="B4" s="6" t="inlineStr">
        <is>
          <t>Target Role</t>
        </is>
      </c>
      <c r="C4" s="6" t="inlineStr">
        <is>
          <t>Standard Realized Margin Ceiling</t>
        </is>
      </c>
      <c r="D4" s="6" t="inlineStr">
        <is>
          <t>Start Margin Ceiling</t>
        </is>
      </c>
      <c r="E4" s="6" t="inlineStr">
        <is>
          <t>Pro Margin Ceiling</t>
        </is>
      </c>
      <c r="F4" s="6" t="inlineStr">
        <is>
          <t>Business Margin Ceiling</t>
        </is>
      </c>
      <c r="G4" s="6" t="inlineStr">
        <is>
          <t>Enterprise Margin Ceiling</t>
        </is>
      </c>
      <c r="H4" s="6" t="inlineStr">
        <is>
          <t>Can Quote Start</t>
        </is>
      </c>
      <c r="I4" s="6" t="inlineStr">
        <is>
          <t>Can Quote Pro</t>
        </is>
      </c>
      <c r="J4" s="6" t="inlineStr">
        <is>
          <t>Can Quote Business</t>
        </is>
      </c>
      <c r="K4" s="6" t="inlineStr">
        <is>
          <t>Can Quote Enterprise</t>
        </is>
      </c>
      <c r="L4" s="6" t="inlineStr">
        <is>
          <t>Can Quote Ultimate</t>
        </is>
      </c>
      <c r="M4" s="6" t="inlineStr">
        <is>
          <t>Max User-Based Quote</t>
        </is>
      </c>
      <c r="N4" s="6" t="inlineStr">
        <is>
          <t>Max Transaction-Based Quote</t>
        </is>
      </c>
      <c r="O4" s="6" t="inlineStr">
        <is>
          <t>Requires Deal Registration</t>
        </is>
      </c>
      <c r="P4" s="6" t="inlineStr">
        <is>
          <t>Notes</t>
        </is>
      </c>
    </row>
    <row r="5">
      <c r="A5" s="8" t="inlineStr">
        <is>
          <t>Authorized</t>
        </is>
      </c>
      <c r="B5" s="8" t="inlineStr">
        <is>
          <t>Entry reseller</t>
        </is>
      </c>
      <c r="C5" s="11" t="n">
        <v>0.15</v>
      </c>
      <c r="D5" s="11" t="n">
        <v>0.1</v>
      </c>
      <c r="E5" s="11" t="n">
        <v>0.15</v>
      </c>
      <c r="F5" s="11" t="n">
        <v>0.15</v>
      </c>
      <c r="G5" s="11" t="n">
        <v>0.15</v>
      </c>
      <c r="H5" s="8" t="inlineStr">
        <is>
          <t>Yes</t>
        </is>
      </c>
      <c r="I5" s="8" t="inlineStr">
        <is>
          <t>Yes</t>
        </is>
      </c>
      <c r="J5" s="8" t="inlineStr">
        <is>
          <t>Yes</t>
        </is>
      </c>
      <c r="K5" s="8" t="inlineStr">
        <is>
          <t>Yes</t>
        </is>
      </c>
      <c r="L5" s="8" t="inlineStr">
        <is>
          <t>No</t>
        </is>
      </c>
      <c r="M5" s="8" t="inlineStr">
        <is>
          <t>TBC</t>
        </is>
      </c>
      <c r="N5" s="8" t="inlineStr">
        <is>
          <t>TBC</t>
        </is>
      </c>
      <c r="O5" s="8" t="inlineStr">
        <is>
          <t>Yes</t>
        </is>
      </c>
      <c r="P5" s="8" t="inlineStr">
        <is>
          <t>Standard entry-level reseller permissions.</t>
        </is>
      </c>
    </row>
    <row r="6">
      <c r="A6" s="8" t="inlineStr">
        <is>
          <t>Advanced</t>
        </is>
      </c>
      <c r="B6" s="8" t="inlineStr">
        <is>
          <t>Developed reseller</t>
        </is>
      </c>
      <c r="C6" s="11" t="n">
        <v>0.2</v>
      </c>
      <c r="D6" s="11" t="n">
        <v>0.1</v>
      </c>
      <c r="E6" s="11" t="n">
        <v>0.15</v>
      </c>
      <c r="F6" s="11" t="n">
        <v>0.2</v>
      </c>
      <c r="G6" s="11" t="n">
        <v>0.2</v>
      </c>
      <c r="H6" s="8" t="inlineStr">
        <is>
          <t>Yes</t>
        </is>
      </c>
      <c r="I6" s="8" t="inlineStr">
        <is>
          <t>Yes</t>
        </is>
      </c>
      <c r="J6" s="8" t="inlineStr">
        <is>
          <t>Yes</t>
        </is>
      </c>
      <c r="K6" s="8" t="inlineStr">
        <is>
          <t>Yes</t>
        </is>
      </c>
      <c r="L6" s="8" t="inlineStr">
        <is>
          <t>No</t>
        </is>
      </c>
      <c r="M6" s="8" t="inlineStr">
        <is>
          <t>TBC</t>
        </is>
      </c>
      <c r="N6" s="8" t="inlineStr">
        <is>
          <t>TBC</t>
        </is>
      </c>
      <c r="O6" s="8" t="inlineStr">
        <is>
          <t>Yes</t>
        </is>
      </c>
      <c r="P6" s="8" t="inlineStr">
        <is>
          <t>Expanded commercial capability.</t>
        </is>
      </c>
    </row>
    <row r="7">
      <c r="A7" s="8" t="inlineStr">
        <is>
          <t>Strategic</t>
        </is>
      </c>
      <c r="B7" s="8" t="inlineStr">
        <is>
          <t>Strategic growth partner</t>
        </is>
      </c>
      <c r="C7" s="11" t="n">
        <v>0.3</v>
      </c>
      <c r="D7" s="11" t="n">
        <v>0.1</v>
      </c>
      <c r="E7" s="11" t="n">
        <v>0.15</v>
      </c>
      <c r="F7" s="11" t="n">
        <v>0.3</v>
      </c>
      <c r="G7" s="11" t="n">
        <v>0.3</v>
      </c>
      <c r="H7" s="8" t="inlineStr">
        <is>
          <t>Yes</t>
        </is>
      </c>
      <c r="I7" s="8" t="inlineStr">
        <is>
          <t>Yes</t>
        </is>
      </c>
      <c r="J7" s="8" t="inlineStr">
        <is>
          <t>Yes</t>
        </is>
      </c>
      <c r="K7" s="8" t="inlineStr">
        <is>
          <t>Yes</t>
        </is>
      </c>
      <c r="L7" s="8" t="inlineStr">
        <is>
          <t>No</t>
        </is>
      </c>
      <c r="M7" s="8" t="inlineStr">
        <is>
          <t>TBC</t>
        </is>
      </c>
      <c r="N7" s="8" t="inlineStr">
        <is>
          <t>TBC</t>
        </is>
      </c>
      <c r="O7" s="8" t="inlineStr">
        <is>
          <t>Yes</t>
        </is>
      </c>
      <c r="P7" s="8" t="inlineStr">
        <is>
          <t>Up to 40% first-year margin only under the approved strategic exception.</t>
        </is>
      </c>
    </row>
  </sheetData>
  <autoFilter ref="A4:P7"/>
  <mergeCells count="2">
    <mergeCell ref="A1:P1"/>
    <mergeCell ref="A2:P2"/>
  </mergeCells>
  <pageMargins left="0.2" right="0.2" top="0.35" bottom="0.35" header="0.5" footer="0.5"/>
  <pageSetup orientation="landscape" fitToHeight="1" fitToWidth="1"/>
  <tableParts count="1">
    <tablePart xmlns:r="http://schemas.openxmlformats.org/officeDocument/2006/relationships" r:id="rId1"/>
  </tableParts>
</worksheet>
</file>

<file path=xl/worksheets/sheet6.xml><?xml version="1.0" encoding="utf-8"?>
<worksheet xmlns="http://schemas.openxmlformats.org/spreadsheetml/2006/main">
  <sheetPr>
    <tabColor rgb="007000FF"/>
    <outlinePr summaryBelow="1" summaryRight="1"/>
    <pageSetUpPr fitToPage="1"/>
  </sheetPr>
  <dimension ref="A1:F10"/>
  <sheetViews>
    <sheetView showGridLines="0" workbookViewId="0">
      <pane ySplit="4" topLeftCell="A5" activePane="bottomLeft" state="frozen"/>
      <selection pane="bottomLeft" activeCell="A1" sqref="A1"/>
    </sheetView>
  </sheetViews>
  <sheetFormatPr baseColWidth="8" defaultRowHeight="15"/>
  <cols>
    <col width="55" customWidth="1" min="1" max="1"/>
    <col width="46" customWidth="1" min="2" max="2"/>
    <col width="22" customWidth="1" min="3" max="3"/>
    <col width="28" customWidth="1" min="4" max="4"/>
    <col width="26" customWidth="1" min="5" max="5"/>
    <col width="80" customWidth="1" min="6" max="6"/>
  </cols>
  <sheetData>
    <row r="1" ht="34" customHeight="1">
      <c r="A1" s="1" t="inlineStr">
        <is>
          <t>Special Pricing Matrix</t>
        </is>
      </c>
    </row>
    <row r="2" ht="32" customHeight="1">
      <c r="A2" s="2" t="inlineStr">
        <is>
          <t>Approval thresholds. Customer discount approval does not automatically increase partner margin.</t>
        </is>
      </c>
    </row>
    <row r="3"/>
    <row r="4" ht="34" customHeight="1">
      <c r="A4" s="6" t="inlineStr">
        <is>
          <t>Customer Discount Band</t>
        </is>
      </c>
      <c r="B4" s="6" t="inlineStr">
        <is>
          <t>Treatment</t>
        </is>
      </c>
      <c r="C4" s="6" t="inlineStr">
        <is>
          <t>Required Approval</t>
        </is>
      </c>
      <c r="D4" s="6" t="inlineStr">
        <is>
          <t>Deal Registration Required</t>
        </is>
      </c>
      <c r="E4" s="6" t="inlineStr">
        <is>
          <t>Special Pricing Required</t>
        </is>
      </c>
      <c r="F4" s="6" t="inlineStr">
        <is>
          <t>Notes</t>
        </is>
      </c>
    </row>
    <row r="5">
      <c r="A5" s="5" t="inlineStr">
        <is>
          <t>0–10%</t>
        </is>
      </c>
      <c r="B5" s="5" t="inlineStr">
        <is>
          <t>Partner discretion</t>
        </is>
      </c>
      <c r="C5" s="5" t="inlineStr">
        <is>
          <t>Automatic</t>
        </is>
      </c>
      <c r="D5" s="5" t="inlineStr">
        <is>
          <t>No</t>
        </is>
      </c>
      <c r="E5" s="5" t="inlineStr">
        <is>
          <t>No</t>
        </is>
      </c>
      <c r="F5" s="5" t="inlineStr">
        <is>
          <t>Standard authority.</t>
        </is>
      </c>
    </row>
    <row r="6">
      <c r="A6" s="5" t="inlineStr">
        <is>
          <t>&gt;10–20%</t>
        </is>
      </c>
      <c r="B6" s="5" t="inlineStr">
        <is>
          <t>Normal commercial band</t>
        </is>
      </c>
      <c r="C6" s="5" t="inlineStr">
        <is>
          <t>Reported and tracked</t>
        </is>
      </c>
      <c r="D6" s="5" t="inlineStr">
        <is>
          <t>Recommended</t>
        </is>
      </c>
      <c r="E6" s="5" t="inlineStr">
        <is>
          <t>No</t>
        </is>
      </c>
      <c r="F6" s="5" t="inlineStr">
        <is>
          <t>Track realized economics.</t>
        </is>
      </c>
    </row>
    <row r="7">
      <c r="A7" s="5" t="inlineStr">
        <is>
          <t>&gt;20–35%</t>
        </is>
      </c>
      <c r="B7" s="5" t="inlineStr">
        <is>
          <t>Special pricing</t>
        </is>
      </c>
      <c r="C7" s="5" t="inlineStr">
        <is>
          <t>Sales leadership</t>
        </is>
      </c>
      <c r="D7" s="5" t="inlineStr">
        <is>
          <t>Yes</t>
        </is>
      </c>
      <c r="E7" s="5" t="inlineStr">
        <is>
          <t>Yes</t>
        </is>
      </c>
      <c r="F7" s="5" t="inlineStr">
        <is>
          <t>Opportunity-specific approval.</t>
        </is>
      </c>
    </row>
    <row r="8">
      <c r="A8" s="5" t="inlineStr">
        <is>
          <t>&gt;35–50%</t>
        </is>
      </c>
      <c r="B8" s="5" t="inlineStr">
        <is>
          <t>Exceptional strategic approval</t>
        </is>
      </c>
      <c r="C8" s="5" t="inlineStr">
        <is>
          <t>CSO</t>
        </is>
      </c>
      <c r="D8" s="5" t="inlineStr">
        <is>
          <t>Yes</t>
        </is>
      </c>
      <c r="E8" s="5" t="inlineStr">
        <is>
          <t>Yes</t>
        </is>
      </c>
      <c r="F8" s="5" t="inlineStr">
        <is>
          <t>Exceptional only.</t>
        </is>
      </c>
    </row>
    <row r="9">
      <c r="A9" s="5" t="inlineStr">
        <is>
          <t>&gt;50%</t>
        </is>
      </c>
      <c r="B9" s="5" t="inlineStr">
        <is>
          <t>Outside standard program</t>
        </is>
      </c>
      <c r="C9" s="5" t="inlineStr">
        <is>
          <t>CEO or prohibited</t>
        </is>
      </c>
      <c r="D9" s="5" t="inlineStr">
        <is>
          <t>Yes</t>
        </is>
      </c>
      <c r="E9" s="5" t="inlineStr">
        <is>
          <t>Exceptional only</t>
        </is>
      </c>
      <c r="F9" s="5" t="inlineStr">
        <is>
          <t>Not part of the standard partner program.</t>
        </is>
      </c>
    </row>
    <row r="10">
      <c r="A10" s="5" t="inlineStr">
        <is>
          <t>Strategic exception</t>
        </is>
      </c>
      <c r="B10" s="5" t="inlineStr">
        <is>
          <t>Up to 40% first-year realized partner margin</t>
        </is>
      </c>
      <c r="C10" s="5" t="inlineStr">
        <is>
          <t>CSO</t>
        </is>
      </c>
      <c r="D10" s="5" t="inlineStr">
        <is>
          <t>Yes</t>
        </is>
      </c>
      <c r="E10" s="5" t="inlineStr">
        <is>
          <t>Yes</t>
        </is>
      </c>
      <c r="F10" s="5" t="inlineStr">
        <is>
          <t>Strategic Partner; new registered customer; Business or Enterprise; renewal returns to standard unless separately approved.</t>
        </is>
      </c>
    </row>
  </sheetData>
  <autoFilter ref="A4:F10"/>
  <mergeCells count="2">
    <mergeCell ref="A2:F2"/>
    <mergeCell ref="A1:F1"/>
  </mergeCells>
  <pageMargins left="0.2" right="0.2" top="0.35" bottom="0.35" header="0.5" footer="0.5"/>
  <pageSetup orientation="landscape" fitToHeight="1" fitToWidth="1"/>
  <tableParts count="1">
    <tablePart xmlns:r="http://schemas.openxmlformats.org/officeDocument/2006/relationships" r:id="rId1"/>
  </tableParts>
</worksheet>
</file>

<file path=xl/worksheets/sheet7.xml><?xml version="1.0" encoding="utf-8"?>
<worksheet xmlns="http://schemas.openxmlformats.org/spreadsheetml/2006/main">
  <sheetPr>
    <tabColor rgb="007000FF"/>
    <outlinePr summaryBelow="1" summaryRight="1"/>
    <pageSetUpPr fitToPage="1"/>
  </sheetPr>
  <dimension ref="A1:N114"/>
  <sheetViews>
    <sheetView showGridLines="0" workbookViewId="0">
      <pane ySplit="4" topLeftCell="A5" activePane="bottomLeft" state="frozen"/>
      <selection pane="bottomLeft" activeCell="A1" sqref="A1"/>
    </sheetView>
  </sheetViews>
  <sheetFormatPr baseColWidth="8" defaultRowHeight="15"/>
  <cols>
    <col width="34" customWidth="1" min="1" max="1"/>
    <col width="22" customWidth="1" min="2" max="2"/>
    <col width="34" customWidth="1" min="3" max="3"/>
    <col width="34" customWidth="1" min="4" max="4"/>
    <col width="32" customWidth="1" min="5" max="5"/>
    <col width="28" customWidth="1" min="6" max="6"/>
    <col width="13" customWidth="1" min="7" max="7"/>
    <col width="15" customWidth="1" min="8" max="8"/>
    <col width="20" customWidth="1" min="9" max="9"/>
    <col width="10" customWidth="1" min="10" max="10"/>
    <col width="10" customWidth="1" min="11" max="11"/>
    <col width="16" customWidth="1" min="12" max="12"/>
    <col width="14" customWidth="1" min="13" max="13"/>
    <col width="42" customWidth="1" min="14" max="14"/>
  </cols>
  <sheetData>
    <row r="1" ht="34" customHeight="1">
      <c r="A1" s="1" t="inlineStr">
        <is>
          <t>MSRP Catalog</t>
        </is>
      </c>
    </row>
    <row r="2" ht="32" customHeight="1">
      <c r="A2" s="2" t="inlineStr">
        <is>
          <t>Source catalogue for published list prices. Yellow cells are editable inputs; zero MSRP means price confirmation is required.</t>
        </is>
      </c>
    </row>
    <row r="3"/>
    <row r="4" ht="34" customHeight="1">
      <c r="A4" s="6" t="inlineStr">
        <is>
          <t>Price Book Version</t>
        </is>
      </c>
      <c r="B4" s="6" t="inlineStr">
        <is>
          <t>SKU</t>
        </is>
      </c>
      <c r="C4" s="6" t="inlineStr">
        <is>
          <t>Product</t>
        </is>
      </c>
      <c r="D4" s="6" t="inlineStr">
        <is>
          <t>Plan</t>
        </is>
      </c>
      <c r="E4" s="6" t="inlineStr">
        <is>
          <t>Product Family</t>
        </is>
      </c>
      <c r="F4" s="6" t="inlineStr">
        <is>
          <t>Unit</t>
        </is>
      </c>
      <c r="G4" s="6" t="inlineStr">
        <is>
          <t>Price Basis</t>
        </is>
      </c>
      <c r="H4" s="6" t="inlineStr">
        <is>
          <t>Pack Quantity</t>
        </is>
      </c>
      <c r="I4" s="6" t="inlineStr">
        <is>
          <t>MSRP</t>
        </is>
      </c>
      <c r="J4" s="6" t="inlineStr">
        <is>
          <t>Currency</t>
        </is>
      </c>
      <c r="K4" s="6" t="inlineStr">
        <is>
          <t>Status</t>
        </is>
      </c>
      <c r="L4" s="6" t="inlineStr">
        <is>
          <t>Effective From</t>
        </is>
      </c>
      <c r="M4" s="6" t="inlineStr">
        <is>
          <t>Effective To</t>
        </is>
      </c>
      <c r="N4" s="6" t="inlineStr">
        <is>
          <t>Notes</t>
        </is>
      </c>
    </row>
    <row r="5">
      <c r="A5" s="8" t="inlineStr">
        <is>
          <t>FY2027-Q1</t>
        </is>
      </c>
      <c r="B5" s="8" t="inlineStr">
        <is>
          <t>CX-RESTAPI-BUS</t>
        </is>
      </c>
      <c r="C5" s="8" t="inlineStr">
        <is>
          <t>ADD-ON | REST API Access</t>
        </is>
      </c>
      <c r="D5" s="8" t="inlineStr">
        <is>
          <t>Business</t>
        </is>
      </c>
      <c r="E5" s="8" t="inlineStr">
        <is>
          <t>Add-On</t>
        </is>
      </c>
      <c r="F5" s="8" t="inlineStr">
        <is>
          <t>100 events</t>
        </is>
      </c>
      <c r="G5" s="8" t="inlineStr">
        <is>
          <t>Per Pack</t>
        </is>
      </c>
      <c r="H5" s="9" t="n">
        <v>100</v>
      </c>
      <c r="I5" s="13" t="n">
        <v>1500</v>
      </c>
      <c r="J5" s="8" t="inlineStr">
        <is>
          <t>USD</t>
        </is>
      </c>
      <c r="K5" s="17" t="inlineStr">
        <is>
          <t>Draft</t>
        </is>
      </c>
      <c r="L5" s="18" t="n">
        <v>46388</v>
      </c>
      <c r="M5" s="18" t="n">
        <v>46477</v>
      </c>
      <c r="N5" s="8" t="inlineStr">
        <is>
          <t>Imported from catalog/unified-catalog/unified-pricing-book.csv. Odoo cost: 0.00 USD.</t>
        </is>
      </c>
    </row>
    <row r="6">
      <c r="A6" s="8" t="inlineStr">
        <is>
          <t>FY2027-Q1</t>
        </is>
      </c>
      <c r="B6" s="8" t="inlineStr">
        <is>
          <t>CX-ADD-AIDOC</t>
        </is>
      </c>
      <c r="C6" s="8" t="inlineStr">
        <is>
          <t>ADD-ON | AI Document Assistant</t>
        </is>
      </c>
      <c r="D6" s="8" t="inlineStr">
        <is>
          <t>Business; Enterprise; Ultimate</t>
        </is>
      </c>
      <c r="E6" s="8" t="inlineStr">
        <is>
          <t>Add-On</t>
        </is>
      </c>
      <c r="F6" s="8" t="inlineStr">
        <is>
          <t>Organization / year</t>
        </is>
      </c>
      <c r="G6" s="8" t="inlineStr">
        <is>
          <t>Annual</t>
        </is>
      </c>
      <c r="H6" s="9" t="n"/>
      <c r="I6" s="13" t="n">
        <v>1250</v>
      </c>
      <c r="J6" s="8" t="inlineStr">
        <is>
          <t>USD</t>
        </is>
      </c>
      <c r="K6" s="17" t="inlineStr">
        <is>
          <t>Draft</t>
        </is>
      </c>
      <c r="L6" s="18" t="n">
        <v>46388</v>
      </c>
      <c r="M6" s="18" t="n">
        <v>46477</v>
      </c>
      <c r="N6" s="8" t="inlineStr">
        <is>
          <t>Imported from catalog/unified-catalog/unified-pricing-book.csv. Odoo cost: 0.00 USD.</t>
        </is>
      </c>
    </row>
    <row r="7">
      <c r="A7" s="8" t="inlineStr">
        <is>
          <t>FY2027-Q1</t>
        </is>
      </c>
      <c r="B7" s="8" t="inlineStr">
        <is>
          <t>CX-ADD-REPORTS</t>
        </is>
      </c>
      <c r="C7" s="8" t="inlineStr">
        <is>
          <t>ADD-ON | Advanced Reporting</t>
        </is>
      </c>
      <c r="D7" s="8" t="inlineStr">
        <is>
          <t>Business; Enterprise; Ultimate</t>
        </is>
      </c>
      <c r="E7" s="8" t="inlineStr">
        <is>
          <t>Add-On</t>
        </is>
      </c>
      <c r="F7" s="8" t="inlineStr">
        <is>
          <t>Organization / year</t>
        </is>
      </c>
      <c r="G7" s="8" t="inlineStr">
        <is>
          <t>Annual</t>
        </is>
      </c>
      <c r="H7" s="9" t="n"/>
      <c r="I7" s="13" t="n">
        <v>1500</v>
      </c>
      <c r="J7" s="8" t="inlineStr">
        <is>
          <t>USD</t>
        </is>
      </c>
      <c r="K7" s="17" t="inlineStr">
        <is>
          <t>Draft</t>
        </is>
      </c>
      <c r="L7" s="18" t="n">
        <v>46388</v>
      </c>
      <c r="M7" s="18" t="n">
        <v>46477</v>
      </c>
      <c r="N7" s="8" t="inlineStr">
        <is>
          <t>Imported from catalog/unified-catalog/unified-pricing-book.csv. Odoo cost: 0.00 USD.</t>
        </is>
      </c>
    </row>
    <row r="8">
      <c r="A8" s="8" t="inlineStr">
        <is>
          <t>FY2027-Q1</t>
        </is>
      </c>
      <c r="B8" s="8" t="inlineStr">
        <is>
          <t>CX-ADD-LIMIT80</t>
        </is>
      </c>
      <c r="C8" s="8" t="inlineStr">
        <is>
          <t>ADD-ON | Boost eSign Transaction Limit to 80 MB</t>
        </is>
      </c>
      <c r="D8" s="8" t="inlineStr">
        <is>
          <t>Business; Enterprise; Ultimate</t>
        </is>
      </c>
      <c r="E8" s="8" t="inlineStr">
        <is>
          <t>Add-On</t>
        </is>
      </c>
      <c r="F8" s="8" t="inlineStr">
        <is>
          <t>Event</t>
        </is>
      </c>
      <c r="G8" s="8" t="inlineStr">
        <is>
          <t>Annual</t>
        </is>
      </c>
      <c r="H8" s="9" t="n"/>
      <c r="I8" s="13" t="n">
        <v>1500</v>
      </c>
      <c r="J8" s="8" t="inlineStr">
        <is>
          <t>USD</t>
        </is>
      </c>
      <c r="K8" s="17" t="inlineStr">
        <is>
          <t>Draft</t>
        </is>
      </c>
      <c r="L8" s="18" t="n">
        <v>46388</v>
      </c>
      <c r="M8" s="18" t="n">
        <v>46477</v>
      </c>
      <c r="N8" s="8" t="inlineStr">
        <is>
          <t>Imported from catalog/unified-catalog/unified-pricing-book.csv. Odoo cost: 0.00 USD.</t>
        </is>
      </c>
    </row>
    <row r="9">
      <c r="A9" s="8" t="inlineStr">
        <is>
          <t>FY2027-Q1</t>
        </is>
      </c>
      <c r="B9" s="8" t="inlineStr">
        <is>
          <t>CX-ADD-BRANDING-PACK</t>
        </is>
      </c>
      <c r="C9" s="8" t="inlineStr">
        <is>
          <t>ADD-ON | Branded Experience Bundle</t>
        </is>
      </c>
      <c r="D9" s="8" t="inlineStr">
        <is>
          <t>Business; Enterprise; Ultimate</t>
        </is>
      </c>
      <c r="E9" s="8" t="inlineStr">
        <is>
          <t>Add-On</t>
        </is>
      </c>
      <c r="F9" s="8" t="inlineStr">
        <is>
          <t>Organization / year</t>
        </is>
      </c>
      <c r="G9" s="8" t="inlineStr">
        <is>
          <t>Annual</t>
        </is>
      </c>
      <c r="H9" s="9" t="n"/>
      <c r="I9" s="13" t="n">
        <v>960</v>
      </c>
      <c r="J9" s="8" t="inlineStr">
        <is>
          <t>USD</t>
        </is>
      </c>
      <c r="K9" s="17" t="inlineStr">
        <is>
          <t>Draft</t>
        </is>
      </c>
      <c r="L9" s="18" t="n">
        <v>46388</v>
      </c>
      <c r="M9" s="18" t="n">
        <v>46477</v>
      </c>
      <c r="N9" s="8" t="inlineStr">
        <is>
          <t>Imported from catalog/unified-catalog/unified-pricing-book.csv. Odoo cost: 500.00 USD.</t>
        </is>
      </c>
    </row>
    <row r="10">
      <c r="A10" s="8" t="inlineStr">
        <is>
          <t>FY2027-Q1</t>
        </is>
      </c>
      <c r="B10" s="8" t="inlineStr">
        <is>
          <t>CX-ADD-BULKSIGN</t>
        </is>
      </c>
      <c r="C10" s="8" t="inlineStr">
        <is>
          <t>ADD-ON | Bulk Signing Transactions</t>
        </is>
      </c>
      <c r="D10" s="8" t="inlineStr">
        <is>
          <t>Business; Enterprise; Ultimate</t>
        </is>
      </c>
      <c r="E10" s="8" t="inlineStr">
        <is>
          <t>Add-On</t>
        </is>
      </c>
      <c r="F10" s="8" t="inlineStr">
        <is>
          <t>Event</t>
        </is>
      </c>
      <c r="G10" s="8" t="inlineStr">
        <is>
          <t>Annual</t>
        </is>
      </c>
      <c r="H10" s="9" t="n"/>
      <c r="I10" s="13" t="n">
        <v>1.85</v>
      </c>
      <c r="J10" s="8" t="inlineStr">
        <is>
          <t>USD</t>
        </is>
      </c>
      <c r="K10" s="17" t="inlineStr">
        <is>
          <t>Draft</t>
        </is>
      </c>
      <c r="L10" s="18" t="n">
        <v>46388</v>
      </c>
      <c r="M10" s="18" t="n">
        <v>46477</v>
      </c>
      <c r="N10" s="8" t="inlineStr">
        <is>
          <t>Imported from catalog/unified-catalog/unified-pricing-book.csv. Odoo cost: 0.00 USD.</t>
        </is>
      </c>
    </row>
    <row r="11">
      <c r="A11" s="8" t="inlineStr">
        <is>
          <t>FY2027-Q1</t>
        </is>
      </c>
      <c r="B11" s="8" t="inlineStr">
        <is>
          <t>CX-ADD-CDOCS</t>
        </is>
      </c>
      <c r="C11" s="8" t="inlineStr">
        <is>
          <t>ADD-ON | Collabora Integration – cDocs</t>
        </is>
      </c>
      <c r="D11" s="8" t="inlineStr">
        <is>
          <t>Business; Enterprise; Ultimate</t>
        </is>
      </c>
      <c r="E11" s="8" t="inlineStr">
        <is>
          <t>Add-On</t>
        </is>
      </c>
      <c r="F11" s="8" t="inlineStr">
        <is>
          <t>Organization / year</t>
        </is>
      </c>
      <c r="G11" s="8" t="inlineStr">
        <is>
          <t>Annual</t>
        </is>
      </c>
      <c r="H11" s="9" t="n"/>
      <c r="I11" s="13" t="n">
        <v>30</v>
      </c>
      <c r="J11" s="8" t="inlineStr">
        <is>
          <t>USD</t>
        </is>
      </c>
      <c r="K11" s="17" t="inlineStr">
        <is>
          <t>Draft</t>
        </is>
      </c>
      <c r="L11" s="18" t="n">
        <v>46388</v>
      </c>
      <c r="M11" s="18" t="n">
        <v>46477</v>
      </c>
      <c r="N11" s="8" t="inlineStr">
        <is>
          <t>Imported from catalog/unified-catalog/unified-pricing-book.csv. Odoo cost: 0.00 USD.</t>
        </is>
      </c>
    </row>
    <row r="12">
      <c r="A12" s="8" t="inlineStr">
        <is>
          <t>FY2027-Q1</t>
        </is>
      </c>
      <c r="B12" s="8" t="inlineStr">
        <is>
          <t>CX-ADD-CONTRACT</t>
        </is>
      </c>
      <c r="C12" s="8" t="inlineStr">
        <is>
          <t>ADD-ON | Contract Deadlines &amp; Renewals</t>
        </is>
      </c>
      <c r="D12" s="8" t="inlineStr">
        <is>
          <t>Business; Enterprise; Ultimate</t>
        </is>
      </c>
      <c r="E12" s="8" t="inlineStr">
        <is>
          <t>Add-On</t>
        </is>
      </c>
      <c r="F12" s="8" t="inlineStr">
        <is>
          <t>Organization / year</t>
        </is>
      </c>
      <c r="G12" s="8" t="inlineStr">
        <is>
          <t>Annual</t>
        </is>
      </c>
      <c r="H12" s="9" t="n"/>
      <c r="I12" s="13" t="n">
        <v>1250</v>
      </c>
      <c r="J12" s="8" t="inlineStr">
        <is>
          <t>USD</t>
        </is>
      </c>
      <c r="K12" s="17" t="inlineStr">
        <is>
          <t>Draft</t>
        </is>
      </c>
      <c r="L12" s="18" t="n">
        <v>46388</v>
      </c>
      <c r="M12" s="18" t="n">
        <v>46477</v>
      </c>
      <c r="N12" s="8" t="inlineStr">
        <is>
          <t>Imported from catalog/unified-catalog/unified-pricing-book.csv. Odoo cost: 0.00 USD.</t>
        </is>
      </c>
    </row>
    <row r="13">
      <c r="A13" s="8" t="inlineStr">
        <is>
          <t>FY2027-Q1</t>
        </is>
      </c>
      <c r="B13" s="8" t="inlineStr">
        <is>
          <t>CX-ADD-SKIN</t>
        </is>
      </c>
      <c r="C13" s="8" t="inlineStr">
        <is>
          <t>ADD-ON | Custom Branding and Styling</t>
        </is>
      </c>
      <c r="D13" s="8" t="inlineStr">
        <is>
          <t>Business; Enterprise; Ultimate</t>
        </is>
      </c>
      <c r="E13" s="8" t="inlineStr">
        <is>
          <t>Add-On</t>
        </is>
      </c>
      <c r="F13" s="8" t="inlineStr">
        <is>
          <t>Organization / year</t>
        </is>
      </c>
      <c r="G13" s="8" t="inlineStr">
        <is>
          <t>Annual</t>
        </is>
      </c>
      <c r="H13" s="9" t="n"/>
      <c r="I13" s="13" t="n">
        <v>550</v>
      </c>
      <c r="J13" s="8" t="inlineStr">
        <is>
          <t>USD</t>
        </is>
      </c>
      <c r="K13" s="17" t="inlineStr">
        <is>
          <t>Draft</t>
        </is>
      </c>
      <c r="L13" s="18" t="n">
        <v>46388</v>
      </c>
      <c r="M13" s="18" t="n">
        <v>46477</v>
      </c>
      <c r="N13" s="8" t="inlineStr">
        <is>
          <t>Imported from catalog/unified-catalog/unified-pricing-book.csv. Odoo cost: 0.00 USD.</t>
        </is>
      </c>
    </row>
    <row r="14">
      <c r="A14" s="8" t="inlineStr">
        <is>
          <t>FY2027-Q1</t>
        </is>
      </c>
      <c r="B14" s="8" t="inlineStr">
        <is>
          <t>CX-ADD-DOMAIN</t>
        </is>
      </c>
      <c r="C14" s="8" t="inlineStr">
        <is>
          <t>ADD-ON | Custom Domain</t>
        </is>
      </c>
      <c r="D14" s="8" t="inlineStr">
        <is>
          <t>Business; Enterprise; Ultimate</t>
        </is>
      </c>
      <c r="E14" s="8" t="inlineStr">
        <is>
          <t>Add-On</t>
        </is>
      </c>
      <c r="F14" s="8" t="inlineStr">
        <is>
          <t>Organization / year</t>
        </is>
      </c>
      <c r="G14" s="8" t="inlineStr">
        <is>
          <t>Annual</t>
        </is>
      </c>
      <c r="H14" s="9" t="n"/>
      <c r="I14" s="13" t="n">
        <v>950</v>
      </c>
      <c r="J14" s="8" t="inlineStr">
        <is>
          <t>USD</t>
        </is>
      </c>
      <c r="K14" s="17" t="inlineStr">
        <is>
          <t>Draft</t>
        </is>
      </c>
      <c r="L14" s="18" t="n">
        <v>46388</v>
      </c>
      <c r="M14" s="18" t="n">
        <v>46477</v>
      </c>
      <c r="N14" s="8" t="inlineStr">
        <is>
          <t>Imported from catalog/unified-catalog/unified-pricing-book.csv. Odoo cost: 0.00 USD.</t>
        </is>
      </c>
    </row>
    <row r="15">
      <c r="A15" s="8" t="inlineStr">
        <is>
          <t>FY2027-Q1</t>
        </is>
      </c>
      <c r="B15" s="8" t="inlineStr">
        <is>
          <t>CX-ADD-EMAILID</t>
        </is>
      </c>
      <c r="C15" s="8" t="inlineStr">
        <is>
          <t>ADD-ON | Custom Email Identity</t>
        </is>
      </c>
      <c r="D15" s="8" t="inlineStr">
        <is>
          <t>Business; Enterprise; Ultimate</t>
        </is>
      </c>
      <c r="E15" s="8" t="inlineStr">
        <is>
          <t>Add-On</t>
        </is>
      </c>
      <c r="F15" s="8" t="inlineStr">
        <is>
          <t>Organization / year</t>
        </is>
      </c>
      <c r="G15" s="8" t="inlineStr">
        <is>
          <t>Annual</t>
        </is>
      </c>
      <c r="H15" s="9" t="n"/>
      <c r="I15" s="13" t="n">
        <v>1250</v>
      </c>
      <c r="J15" s="8" t="inlineStr">
        <is>
          <t>USD</t>
        </is>
      </c>
      <c r="K15" s="17" t="inlineStr">
        <is>
          <t>Draft</t>
        </is>
      </c>
      <c r="L15" s="18" t="n">
        <v>46388</v>
      </c>
      <c r="M15" s="18" t="n">
        <v>46477</v>
      </c>
      <c r="N15" s="8" t="inlineStr">
        <is>
          <t>Imported from catalog/unified-catalog/unified-pricing-book.csv. Odoo cost: 0.00 USD.</t>
        </is>
      </c>
    </row>
    <row r="16">
      <c r="A16" s="8" t="inlineStr">
        <is>
          <t>FY2027-Q1</t>
        </is>
      </c>
      <c r="B16" s="8" t="inlineStr">
        <is>
          <t>CX-ADD-EMAILTXT</t>
        </is>
      </c>
      <c r="C16" s="8" t="inlineStr">
        <is>
          <t>ADD-ON | Custom Email Notifications</t>
        </is>
      </c>
      <c r="D16" s="8" t="inlineStr">
        <is>
          <t>Business; Enterprise; Ultimate</t>
        </is>
      </c>
      <c r="E16" s="8" t="inlineStr">
        <is>
          <t>Add-On</t>
        </is>
      </c>
      <c r="F16" s="8" t="inlineStr">
        <is>
          <t>Organization / year</t>
        </is>
      </c>
      <c r="G16" s="8" t="inlineStr">
        <is>
          <t>Annual</t>
        </is>
      </c>
      <c r="H16" s="9" t="n"/>
      <c r="I16" s="13" t="n">
        <v>1500</v>
      </c>
      <c r="J16" s="8" t="inlineStr">
        <is>
          <t>USD</t>
        </is>
      </c>
      <c r="K16" s="17" t="inlineStr">
        <is>
          <t>Draft</t>
        </is>
      </c>
      <c r="L16" s="18" t="n">
        <v>46388</v>
      </c>
      <c r="M16" s="18" t="n">
        <v>46477</v>
      </c>
      <c r="N16" s="8" t="inlineStr">
        <is>
          <t>Imported from catalog/unified-catalog/unified-pricing-book.csv. Odoo cost: 0.00 USD.</t>
        </is>
      </c>
    </row>
    <row r="17">
      <c r="A17" s="8" t="inlineStr">
        <is>
          <t>FY2027-Q1</t>
        </is>
      </c>
      <c r="B17" s="8" t="inlineStr">
        <is>
          <t>CX-ADD-CERUSR</t>
        </is>
      </c>
      <c r="C17" s="8" t="inlineStr">
        <is>
          <t>ADD-ON | Custom Employee Level Electronic Signing Certificate (500 signatures per year)</t>
        </is>
      </c>
      <c r="D17" s="8" t="inlineStr">
        <is>
          <t>Business; Enterprise; Ultimate</t>
        </is>
      </c>
      <c r="E17" s="8" t="inlineStr">
        <is>
          <t>Add-On</t>
        </is>
      </c>
      <c r="F17" s="8" t="inlineStr">
        <is>
          <t>Organization / year</t>
        </is>
      </c>
      <c r="G17" s="8" t="inlineStr">
        <is>
          <t>Annual</t>
        </is>
      </c>
      <c r="H17" s="9" t="n"/>
      <c r="I17" s="13" t="n">
        <v>250</v>
      </c>
      <c r="J17" s="8" t="inlineStr">
        <is>
          <t>USD</t>
        </is>
      </c>
      <c r="K17" s="17" t="inlineStr">
        <is>
          <t>Draft</t>
        </is>
      </c>
      <c r="L17" s="18" t="n">
        <v>46388</v>
      </c>
      <c r="M17" s="18" t="n">
        <v>46477</v>
      </c>
      <c r="N17" s="8" t="inlineStr">
        <is>
          <t>Imported from catalog/unified-catalog/unified-pricing-book.csv. Odoo cost: 0.00 USD.</t>
        </is>
      </c>
    </row>
    <row r="18">
      <c r="A18" s="8" t="inlineStr">
        <is>
          <t>FY2027-Q1</t>
        </is>
      </c>
      <c r="B18" s="8" t="inlineStr">
        <is>
          <t>CX-ADD-DESC</t>
        </is>
      </c>
      <c r="C18" s="8" t="inlineStr">
        <is>
          <t>ADD-ON | DESC eSeal Certificate (3-year)</t>
        </is>
      </c>
      <c r="D18" s="8" t="inlineStr">
        <is>
          <t>Business; Enterprise; Ultimate</t>
        </is>
      </c>
      <c r="E18" s="8" t="inlineStr">
        <is>
          <t>Add-On</t>
        </is>
      </c>
      <c r="F18" s="8" t="inlineStr">
        <is>
          <t>Organization / year</t>
        </is>
      </c>
      <c r="G18" s="8" t="inlineStr">
        <is>
          <t>Annual</t>
        </is>
      </c>
      <c r="H18" s="9" t="n"/>
      <c r="I18" s="13" t="n">
        <v>4500</v>
      </c>
      <c r="J18" s="8" t="inlineStr">
        <is>
          <t>USD</t>
        </is>
      </c>
      <c r="K18" s="17" t="inlineStr">
        <is>
          <t>Draft</t>
        </is>
      </c>
      <c r="L18" s="18" t="n">
        <v>46388</v>
      </c>
      <c r="M18" s="18" t="n">
        <v>46477</v>
      </c>
      <c r="N18" s="8" t="inlineStr">
        <is>
          <t>Imported from catalog/unified-catalog/unified-pricing-book.csv. Odoo cost: 0.00 USD.</t>
        </is>
      </c>
    </row>
    <row r="19">
      <c r="A19" s="8" t="inlineStr">
        <is>
          <t>FY2027-Q1</t>
        </is>
      </c>
      <c r="B19" s="8" t="inlineStr">
        <is>
          <t>CX-ADD-DMS</t>
        </is>
      </c>
      <c r="C19" s="8" t="inlineStr">
        <is>
          <t>ADD-ON | Document Management &amp; Archiving</t>
        </is>
      </c>
      <c r="D19" s="8" t="inlineStr">
        <is>
          <t>Business; Enterprise; Ultimate</t>
        </is>
      </c>
      <c r="E19" s="8" t="inlineStr">
        <is>
          <t>Add-On</t>
        </is>
      </c>
      <c r="F19" s="8" t="inlineStr">
        <is>
          <t>100 events</t>
        </is>
      </c>
      <c r="G19" s="8" t="inlineStr">
        <is>
          <t>Annual</t>
        </is>
      </c>
      <c r="H19" s="9" t="n">
        <v>100</v>
      </c>
      <c r="I19" s="13" t="n">
        <v>1500</v>
      </c>
      <c r="J19" s="8" t="inlineStr">
        <is>
          <t>USD</t>
        </is>
      </c>
      <c r="K19" s="17" t="inlineStr">
        <is>
          <t>Draft</t>
        </is>
      </c>
      <c r="L19" s="18" t="n">
        <v>46388</v>
      </c>
      <c r="M19" s="18" t="n">
        <v>46477</v>
      </c>
      <c r="N19" s="8" t="inlineStr">
        <is>
          <t>Imported from catalog/unified-catalog/unified-pricing-book.csv. Odoo cost: 0.00 USD.</t>
        </is>
      </c>
    </row>
    <row r="20">
      <c r="A20" s="8" t="inlineStr">
        <is>
          <t>FY2027-Q1</t>
        </is>
      </c>
      <c r="B20" s="8" t="inlineStr">
        <is>
          <t>CX-ADD-STG</t>
        </is>
      </c>
      <c r="C20" s="8" t="inlineStr">
        <is>
          <t>ADD-ON | Extra Archiving Storage (100)</t>
        </is>
      </c>
      <c r="D20" s="8" t="inlineStr">
        <is>
          <t>Business; Enterprise; Ultimate</t>
        </is>
      </c>
      <c r="E20" s="8" t="inlineStr">
        <is>
          <t>Add-On</t>
        </is>
      </c>
      <c r="F20" s="8" t="inlineStr">
        <is>
          <t>100 GB / year</t>
        </is>
      </c>
      <c r="G20" s="8" t="inlineStr">
        <is>
          <t>Annual</t>
        </is>
      </c>
      <c r="H20" s="9" t="n">
        <v>100</v>
      </c>
      <c r="I20" s="13" t="n">
        <v>65</v>
      </c>
      <c r="J20" s="8" t="inlineStr">
        <is>
          <t>USD</t>
        </is>
      </c>
      <c r="K20" s="17" t="inlineStr">
        <is>
          <t>Draft</t>
        </is>
      </c>
      <c r="L20" s="18" t="n">
        <v>46388</v>
      </c>
      <c r="M20" s="18" t="n">
        <v>46477</v>
      </c>
      <c r="N20" s="8" t="inlineStr">
        <is>
          <t>Imported from catalog/unified-catalog/unified-pricing-book.csv. Odoo cost: 35.00 USD.</t>
        </is>
      </c>
    </row>
    <row r="21">
      <c r="A21" s="8" t="inlineStr">
        <is>
          <t>FY2027-Q1</t>
        </is>
      </c>
      <c r="B21" s="8" t="inlineStr">
        <is>
          <t>CX-ADD-KYC-IDVERIFY1</t>
        </is>
      </c>
      <c r="C21" s="8" t="inlineStr">
        <is>
          <t>ADD-ON | Identomat ID Verification</t>
        </is>
      </c>
      <c r="D21" s="8" t="inlineStr">
        <is>
          <t>Business; Enterprise; Ultimate</t>
        </is>
      </c>
      <c r="E21" s="8" t="inlineStr">
        <is>
          <t>Add-On</t>
        </is>
      </c>
      <c r="F21" s="8" t="inlineStr">
        <is>
          <t>Event</t>
        </is>
      </c>
      <c r="G21" s="8" t="inlineStr">
        <is>
          <t>Per Event</t>
        </is>
      </c>
      <c r="H21" s="9" t="n"/>
      <c r="I21" s="13" t="n">
        <v>1.45</v>
      </c>
      <c r="J21" s="8" t="inlineStr">
        <is>
          <t>USD</t>
        </is>
      </c>
      <c r="K21" s="17" t="inlineStr">
        <is>
          <t>Draft</t>
        </is>
      </c>
      <c r="L21" s="18" t="n">
        <v>46388</v>
      </c>
      <c r="M21" s="18" t="n">
        <v>46477</v>
      </c>
      <c r="N21" s="8" t="inlineStr">
        <is>
          <t>Imported from catalog/unified-catalog/unified-pricing-book.csv. Odoo cost: 0.45 USD.</t>
        </is>
      </c>
    </row>
    <row r="22">
      <c r="A22" s="8" t="inlineStr">
        <is>
          <t>FY2027-Q1</t>
        </is>
      </c>
      <c r="B22" s="8" t="inlineStr">
        <is>
          <t>CX-ADD-KYC-LIVENESS1</t>
        </is>
      </c>
      <c r="C22" s="8" t="inlineStr">
        <is>
          <t>ADD-ON | Identomat Liveness Verification</t>
        </is>
      </c>
      <c r="D22" s="8" t="inlineStr">
        <is>
          <t>Business; Enterprise; Ultimate</t>
        </is>
      </c>
      <c r="E22" s="8" t="inlineStr">
        <is>
          <t>Add-On</t>
        </is>
      </c>
      <c r="F22" s="8" t="inlineStr">
        <is>
          <t>Event</t>
        </is>
      </c>
      <c r="G22" s="8" t="inlineStr">
        <is>
          <t>Per Event</t>
        </is>
      </c>
      <c r="H22" s="9" t="n"/>
      <c r="I22" s="13" t="n">
        <v>0.45</v>
      </c>
      <c r="J22" s="8" t="inlineStr">
        <is>
          <t>USD</t>
        </is>
      </c>
      <c r="K22" s="17" t="inlineStr">
        <is>
          <t>Draft</t>
        </is>
      </c>
      <c r="L22" s="18" t="n">
        <v>46388</v>
      </c>
      <c r="M22" s="18" t="n">
        <v>46477</v>
      </c>
      <c r="N22" s="8" t="inlineStr">
        <is>
          <t>Imported from catalog/unified-catalog/unified-pricing-book.csv. Odoo cost: 0.15 USD.</t>
        </is>
      </c>
    </row>
    <row r="23">
      <c r="A23" s="8" t="inlineStr">
        <is>
          <t>FY2027-Q1</t>
        </is>
      </c>
      <c r="B23" s="8" t="inlineStr">
        <is>
          <t>CX-ADD-CERORG2</t>
        </is>
      </c>
      <c r="C23" s="8" t="inlineStr">
        <is>
          <t>ADD-ON | Organizational Signing &amp; Sealing Certificate (AATL – DESC)</t>
        </is>
      </c>
      <c r="D23" s="8" t="inlineStr">
        <is>
          <t>Business; Enterprise; Ultimate</t>
        </is>
      </c>
      <c r="E23" s="8" t="inlineStr">
        <is>
          <t>Add-On</t>
        </is>
      </c>
      <c r="F23" s="8" t="inlineStr">
        <is>
          <t>Organization / year</t>
        </is>
      </c>
      <c r="G23" s="8" t="inlineStr">
        <is>
          <t>Annual</t>
        </is>
      </c>
      <c r="H23" s="9" t="n"/>
      <c r="I23" s="13" t="n">
        <v>550</v>
      </c>
      <c r="J23" s="8" t="inlineStr">
        <is>
          <t>USD</t>
        </is>
      </c>
      <c r="K23" s="17" t="inlineStr">
        <is>
          <t>Draft</t>
        </is>
      </c>
      <c r="L23" s="18" t="n">
        <v>46388</v>
      </c>
      <c r="M23" s="18" t="n">
        <v>46477</v>
      </c>
      <c r="N23" s="8" t="inlineStr">
        <is>
          <t>Imported from catalog/unified-catalog/unified-pricing-book.csv. Odoo cost: 0.00 USD.</t>
        </is>
      </c>
    </row>
    <row r="24">
      <c r="A24" s="8" t="inlineStr">
        <is>
          <t>FY2027-Q1</t>
        </is>
      </c>
      <c r="B24" s="8" t="inlineStr">
        <is>
          <t>CX-ADD-CERORG1</t>
        </is>
      </c>
      <c r="C24" s="8" t="inlineStr">
        <is>
          <t>ADD-ON | Organizational Signing &amp; Sealing Certificate (AATL – I.CA)</t>
        </is>
      </c>
      <c r="D24" s="8" t="inlineStr">
        <is>
          <t>Business; Enterprise; Ultimate</t>
        </is>
      </c>
      <c r="E24" s="8" t="inlineStr">
        <is>
          <t>Add-On</t>
        </is>
      </c>
      <c r="F24" s="8" t="inlineStr">
        <is>
          <t>Organization / year</t>
        </is>
      </c>
      <c r="G24" s="8" t="inlineStr">
        <is>
          <t>Annual</t>
        </is>
      </c>
      <c r="H24" s="9" t="n"/>
      <c r="I24" s="13" t="n">
        <v>550</v>
      </c>
      <c r="J24" s="8" t="inlineStr">
        <is>
          <t>USD</t>
        </is>
      </c>
      <c r="K24" s="17" t="inlineStr">
        <is>
          <t>Draft</t>
        </is>
      </c>
      <c r="L24" s="18" t="n">
        <v>46388</v>
      </c>
      <c r="M24" s="18" t="n">
        <v>46477</v>
      </c>
      <c r="N24" s="8" t="inlineStr">
        <is>
          <t>Imported from catalog/unified-catalog/unified-pricing-book.csv. Odoo cost: 0.00 USD.</t>
        </is>
      </c>
    </row>
    <row r="25">
      <c r="A25" s="8" t="inlineStr">
        <is>
          <t>FY2027-Q1</t>
        </is>
      </c>
      <c r="B25" s="8" t="inlineStr">
        <is>
          <t>CX-ADD-FREC</t>
        </is>
      </c>
      <c r="C25" s="8" t="inlineStr">
        <is>
          <t>ADD-ON | PDF Form Fields Recognition</t>
        </is>
      </c>
      <c r="D25" s="8" t="inlineStr">
        <is>
          <t>Business; Enterprise; Ultimate</t>
        </is>
      </c>
      <c r="E25" s="8" t="inlineStr">
        <is>
          <t>Add-On</t>
        </is>
      </c>
      <c r="F25" s="8" t="inlineStr">
        <is>
          <t>Organization / year</t>
        </is>
      </c>
      <c r="G25" s="8" t="inlineStr">
        <is>
          <t>Annual</t>
        </is>
      </c>
      <c r="H25" s="9" t="n"/>
      <c r="I25" s="13" t="n">
        <v>475</v>
      </c>
      <c r="J25" s="8" t="inlineStr">
        <is>
          <t>USD</t>
        </is>
      </c>
      <c r="K25" s="17" t="inlineStr">
        <is>
          <t>Draft</t>
        </is>
      </c>
      <c r="L25" s="18" t="n">
        <v>46388</v>
      </c>
      <c r="M25" s="18" t="n">
        <v>46477</v>
      </c>
      <c r="N25" s="8" t="inlineStr">
        <is>
          <t>Imported from catalog/unified-catalog/unified-pricing-book.csv. Odoo cost: 0.00 USD.</t>
        </is>
      </c>
    </row>
    <row r="26">
      <c r="A26" s="8" t="inlineStr">
        <is>
          <t>FY2027-Q1</t>
        </is>
      </c>
      <c r="B26" s="8" t="inlineStr">
        <is>
          <t>CX-ADD-DATAPREFILL</t>
        </is>
      </c>
      <c r="C26" s="8" t="inlineStr">
        <is>
          <t>ADD-ON | Pre-Fill Documents with External Data</t>
        </is>
      </c>
      <c r="D26" s="8" t="inlineStr">
        <is>
          <t>Business; Enterprise; Ultimate</t>
        </is>
      </c>
      <c r="E26" s="8" t="inlineStr">
        <is>
          <t>Add-On</t>
        </is>
      </c>
      <c r="F26" s="8" t="inlineStr">
        <is>
          <t>Organization / year</t>
        </is>
      </c>
      <c r="G26" s="8" t="inlineStr">
        <is>
          <t>Annual</t>
        </is>
      </c>
      <c r="H26" s="9" t="n"/>
      <c r="I26" s="13" t="n">
        <v>550</v>
      </c>
      <c r="J26" s="8" t="inlineStr">
        <is>
          <t>USD</t>
        </is>
      </c>
      <c r="K26" s="17" t="inlineStr">
        <is>
          <t>Draft</t>
        </is>
      </c>
      <c r="L26" s="18" t="n">
        <v>46388</v>
      </c>
      <c r="M26" s="18" t="n">
        <v>46477</v>
      </c>
      <c r="N26" s="8" t="inlineStr">
        <is>
          <t>Imported from catalog/unified-catalog/unified-pricing-book.csv. Odoo cost: 0.00 USD.</t>
        </is>
      </c>
    </row>
    <row r="27">
      <c r="A27" s="8" t="inlineStr">
        <is>
          <t>FY2027-Q1</t>
        </is>
      </c>
      <c r="B27" s="8" t="inlineStr">
        <is>
          <t>CX-ADD-PS-MD</t>
        </is>
      </c>
      <c r="C27" s="8" t="inlineStr">
        <is>
          <t>ADD-ON | Professional Services (1 MD)</t>
        </is>
      </c>
      <c r="D27" s="8" t="inlineStr">
        <is>
          <t>Business; Enterprise; Ultimate</t>
        </is>
      </c>
      <c r="E27" s="8" t="inlineStr">
        <is>
          <t>Add-On</t>
        </is>
      </c>
      <c r="F27" s="8" t="inlineStr">
        <is>
          <t>Man-day</t>
        </is>
      </c>
      <c r="G27" s="8" t="inlineStr">
        <is>
          <t>One-Time</t>
        </is>
      </c>
      <c r="H27" s="9" t="n"/>
      <c r="I27" s="13" t="n">
        <v>850</v>
      </c>
      <c r="J27" s="8" t="inlineStr">
        <is>
          <t>USD</t>
        </is>
      </c>
      <c r="K27" s="17" t="inlineStr">
        <is>
          <t>Draft</t>
        </is>
      </c>
      <c r="L27" s="18" t="n">
        <v>46388</v>
      </c>
      <c r="M27" s="18" t="n">
        <v>46477</v>
      </c>
      <c r="N27" s="8" t="inlineStr">
        <is>
          <t>Imported from catalog/unified-catalog/unified-pricing-book.csv. Odoo cost: 0.00 USD.</t>
        </is>
      </c>
    </row>
    <row r="28">
      <c r="A28" s="8" t="inlineStr">
        <is>
          <t>FY2027-Q1</t>
        </is>
      </c>
      <c r="B28" s="8" t="inlineStr">
        <is>
          <t>CX-ADD-QUICK</t>
        </is>
      </c>
      <c r="C28" s="8" t="inlineStr">
        <is>
          <t>ADD-ON | Quick Document Processing</t>
        </is>
      </c>
      <c r="D28" s="8" t="inlineStr">
        <is>
          <t>Business; Enterprise; Ultimate</t>
        </is>
      </c>
      <c r="E28" s="8" t="inlineStr">
        <is>
          <t>Add-On</t>
        </is>
      </c>
      <c r="F28" s="8" t="inlineStr">
        <is>
          <t>Organization / year</t>
        </is>
      </c>
      <c r="G28" s="8" t="inlineStr">
        <is>
          <t>Annual</t>
        </is>
      </c>
      <c r="H28" s="9" t="n"/>
      <c r="I28" s="13" t="n">
        <v>2500</v>
      </c>
      <c r="J28" s="8" t="inlineStr">
        <is>
          <t>USD</t>
        </is>
      </c>
      <c r="K28" s="17" t="inlineStr">
        <is>
          <t>Draft</t>
        </is>
      </c>
      <c r="L28" s="18" t="n">
        <v>46388</v>
      </c>
      <c r="M28" s="18" t="n">
        <v>46477</v>
      </c>
      <c r="N28" s="8" t="inlineStr">
        <is>
          <t>Imported from catalog/unified-catalog/unified-pricing-book.csv. Odoo cost: 0.00 USD.</t>
        </is>
      </c>
    </row>
    <row r="29">
      <c r="A29" s="8" t="inlineStr">
        <is>
          <t>FY2027-Q1</t>
        </is>
      </c>
      <c r="B29" s="8" t="inlineStr">
        <is>
          <t>CX-ADD-API-MD</t>
        </is>
      </c>
      <c r="C29" s="8" t="inlineStr">
        <is>
          <t>ADD-ON | REST API Integration Assistance (1 MD)</t>
        </is>
      </c>
      <c r="D29" s="8" t="inlineStr">
        <is>
          <t>Business; Enterprise; Ultimate</t>
        </is>
      </c>
      <c r="E29" s="8" t="inlineStr">
        <is>
          <t>Add-On</t>
        </is>
      </c>
      <c r="F29" s="8" t="inlineStr">
        <is>
          <t>Man-day</t>
        </is>
      </c>
      <c r="G29" s="8" t="inlineStr">
        <is>
          <t>One-Time</t>
        </is>
      </c>
      <c r="H29" s="9" t="n"/>
      <c r="I29" s="13" t="n">
        <v>850</v>
      </c>
      <c r="J29" s="8" t="inlineStr">
        <is>
          <t>USD</t>
        </is>
      </c>
      <c r="K29" s="17" t="inlineStr">
        <is>
          <t>Draft</t>
        </is>
      </c>
      <c r="L29" s="18" t="n">
        <v>46388</v>
      </c>
      <c r="M29" s="18" t="n">
        <v>46477</v>
      </c>
      <c r="N29" s="8" t="inlineStr">
        <is>
          <t>Imported from catalog/unified-catalog/unified-pricing-book.csv. Odoo cost: 0.00 USD.</t>
        </is>
      </c>
    </row>
    <row r="30">
      <c r="A30" s="8" t="inlineStr">
        <is>
          <t>FY2027-Q1</t>
        </is>
      </c>
      <c r="B30" s="8" t="inlineStr">
        <is>
          <t>CX-ADD-SAML</t>
        </is>
      </c>
      <c r="C30" s="8" t="inlineStr">
        <is>
          <t>ADD-ON | SAML 2.0 SSO</t>
        </is>
      </c>
      <c r="D30" s="8" t="inlineStr">
        <is>
          <t>Business; Enterprise; Ultimate</t>
        </is>
      </c>
      <c r="E30" s="8" t="inlineStr">
        <is>
          <t>Add-On</t>
        </is>
      </c>
      <c r="F30" s="8" t="inlineStr">
        <is>
          <t>Organization / year</t>
        </is>
      </c>
      <c r="G30" s="8" t="inlineStr">
        <is>
          <t>Annual</t>
        </is>
      </c>
      <c r="H30" s="9" t="n"/>
      <c r="I30" s="13" t="n">
        <v>1350</v>
      </c>
      <c r="J30" s="8" t="inlineStr">
        <is>
          <t>USD</t>
        </is>
      </c>
      <c r="K30" s="17" t="inlineStr">
        <is>
          <t>Draft</t>
        </is>
      </c>
      <c r="L30" s="18" t="n">
        <v>46388</v>
      </c>
      <c r="M30" s="18" t="n">
        <v>46477</v>
      </c>
      <c r="N30" s="8" t="inlineStr">
        <is>
          <t>Imported from catalog/unified-catalog/unified-pricing-book.csv. Odoo cost: 0.00 USD.</t>
        </is>
      </c>
    </row>
    <row r="31">
      <c r="A31" s="8" t="inlineStr">
        <is>
          <t>FY2027-Q1</t>
        </is>
      </c>
      <c r="B31" s="8" t="inlineStr">
        <is>
          <t>CX-ADD-SMSCREDIT</t>
        </is>
      </c>
      <c r="C31" s="8" t="inlineStr">
        <is>
          <t>ADD-ON | SMS Credits (100)</t>
        </is>
      </c>
      <c r="D31" s="8" t="inlineStr">
        <is>
          <t>Business; Enterprise; Ultimate</t>
        </is>
      </c>
      <c r="E31" s="8" t="inlineStr">
        <is>
          <t>Add-On</t>
        </is>
      </c>
      <c r="F31" s="8" t="inlineStr">
        <is>
          <t>100 SMS</t>
        </is>
      </c>
      <c r="G31" s="8" t="inlineStr">
        <is>
          <t>Per Pack</t>
        </is>
      </c>
      <c r="H31" s="9" t="n">
        <v>100</v>
      </c>
      <c r="I31" s="13" t="n">
        <v>25</v>
      </c>
      <c r="J31" s="8" t="inlineStr">
        <is>
          <t>USD</t>
        </is>
      </c>
      <c r="K31" s="17" t="inlineStr">
        <is>
          <t>Draft</t>
        </is>
      </c>
      <c r="L31" s="18" t="n">
        <v>46388</v>
      </c>
      <c r="M31" s="18" t="n">
        <v>46477</v>
      </c>
      <c r="N31" s="8" t="inlineStr">
        <is>
          <t>Imported from catalog/unified-catalog/unified-pricing-book.csv. Odoo cost: 18.00 USD.</t>
        </is>
      </c>
    </row>
    <row r="32">
      <c r="A32" s="8" t="inlineStr">
        <is>
          <t>FY2027-Q1</t>
        </is>
      </c>
      <c r="B32" s="8" t="inlineStr">
        <is>
          <t>CX-ADD-SMSOTP</t>
        </is>
      </c>
      <c r="C32" s="8" t="inlineStr">
        <is>
          <t>ADD-ON | SMS OTP Verification</t>
        </is>
      </c>
      <c r="D32" s="8" t="inlineStr">
        <is>
          <t>Business; Enterprise; Ultimate</t>
        </is>
      </c>
      <c r="E32" s="8" t="inlineStr">
        <is>
          <t>Add-On</t>
        </is>
      </c>
      <c r="F32" s="8" t="inlineStr">
        <is>
          <t>Event</t>
        </is>
      </c>
      <c r="G32" s="8" t="inlineStr">
        <is>
          <t>Annual</t>
        </is>
      </c>
      <c r="H32" s="9" t="n"/>
      <c r="I32" s="13" t="n">
        <v>380</v>
      </c>
      <c r="J32" s="8" t="inlineStr">
        <is>
          <t>USD</t>
        </is>
      </c>
      <c r="K32" s="17" t="inlineStr">
        <is>
          <t>Draft</t>
        </is>
      </c>
      <c r="L32" s="18" t="n">
        <v>46388</v>
      </c>
      <c r="M32" s="18" t="n">
        <v>46477</v>
      </c>
      <c r="N32" s="8" t="inlineStr">
        <is>
          <t>Imported from catalog/unified-catalog/unified-pricing-book.csv. Odoo cost: 0.00 USD.</t>
        </is>
      </c>
    </row>
    <row r="33">
      <c r="A33" s="8" t="inlineStr">
        <is>
          <t>FY2027-Q1</t>
        </is>
      </c>
      <c r="B33" s="8" t="inlineStr">
        <is>
          <t>CX-ADD-SMSREM</t>
        </is>
      </c>
      <c r="C33" s="8" t="inlineStr">
        <is>
          <t>ADD-ON | SMS Reminders</t>
        </is>
      </c>
      <c r="D33" s="8" t="inlineStr">
        <is>
          <t>Business; Enterprise; Ultimate</t>
        </is>
      </c>
      <c r="E33" s="8" t="inlineStr">
        <is>
          <t>Add-On</t>
        </is>
      </c>
      <c r="F33" s="8" t="inlineStr">
        <is>
          <t>Organization / year</t>
        </is>
      </c>
      <c r="G33" s="8" t="inlineStr">
        <is>
          <t>Annual</t>
        </is>
      </c>
      <c r="H33" s="9" t="n"/>
      <c r="I33" s="13" t="n">
        <v>250</v>
      </c>
      <c r="J33" s="8" t="inlineStr">
        <is>
          <t>USD</t>
        </is>
      </c>
      <c r="K33" s="17" t="inlineStr">
        <is>
          <t>Draft</t>
        </is>
      </c>
      <c r="L33" s="18" t="n">
        <v>46388</v>
      </c>
      <c r="M33" s="18" t="n">
        <v>46477</v>
      </c>
      <c r="N33" s="8" t="inlineStr">
        <is>
          <t>Imported from catalog/unified-catalog/unified-pricing-book.csv. Odoo cost: 0.00 USD.</t>
        </is>
      </c>
    </row>
    <row r="34">
      <c r="A34" s="8" t="inlineStr">
        <is>
          <t>FY2027-Q1</t>
        </is>
      </c>
      <c r="B34" s="8" t="inlineStr">
        <is>
          <t>CX-ADD-SGPROVIDER</t>
        </is>
      </c>
      <c r="C34" s="8" t="inlineStr">
        <is>
          <t>ADD-ON | Select Signature Provider</t>
        </is>
      </c>
      <c r="D34" s="8" t="inlineStr">
        <is>
          <t>Business; Enterprise; Ultimate</t>
        </is>
      </c>
      <c r="E34" s="8" t="inlineStr">
        <is>
          <t>Add-On</t>
        </is>
      </c>
      <c r="F34" s="8" t="inlineStr">
        <is>
          <t>Organization / year</t>
        </is>
      </c>
      <c r="G34" s="8" t="inlineStr">
        <is>
          <t>Annual</t>
        </is>
      </c>
      <c r="H34" s="9" t="n"/>
      <c r="I34" s="13" t="n">
        <v>450</v>
      </c>
      <c r="J34" s="8" t="inlineStr">
        <is>
          <t>USD</t>
        </is>
      </c>
      <c r="K34" s="17" t="inlineStr">
        <is>
          <t>Draft</t>
        </is>
      </c>
      <c r="L34" s="18" t="n">
        <v>46388</v>
      </c>
      <c r="M34" s="18" t="n">
        <v>46477</v>
      </c>
      <c r="N34" s="8" t="inlineStr">
        <is>
          <t>Imported from catalog/unified-catalog/unified-pricing-book.csv. Odoo cost: 0.00 USD.</t>
        </is>
      </c>
    </row>
    <row r="35">
      <c r="A35" s="8" t="inlineStr">
        <is>
          <t>FY2027-Q1</t>
        </is>
      </c>
      <c r="B35" s="8" t="inlineStr">
        <is>
          <t>CX-ADD-MSAC</t>
        </is>
      </c>
      <c r="C35" s="8" t="inlineStr">
        <is>
          <t>ADD-ON | Sharepoint Connector</t>
        </is>
      </c>
      <c r="D35" s="8" t="inlineStr">
        <is>
          <t>Business; Enterprise; Ultimate</t>
        </is>
      </c>
      <c r="E35" s="8" t="inlineStr">
        <is>
          <t>Add-On</t>
        </is>
      </c>
      <c r="F35" s="8" t="inlineStr">
        <is>
          <t>Organization / year</t>
        </is>
      </c>
      <c r="G35" s="8" t="inlineStr">
        <is>
          <t>Annual</t>
        </is>
      </c>
      <c r="H35" s="9" t="n"/>
      <c r="I35" s="13" t="n">
        <v>1150</v>
      </c>
      <c r="J35" s="8" t="inlineStr">
        <is>
          <t>USD</t>
        </is>
      </c>
      <c r="K35" s="17" t="inlineStr">
        <is>
          <t>Draft</t>
        </is>
      </c>
      <c r="L35" s="18" t="n">
        <v>46388</v>
      </c>
      <c r="M35" s="18" t="n">
        <v>46477</v>
      </c>
      <c r="N35" s="8" t="inlineStr">
        <is>
          <t>Imported from catalog/unified-catalog/unified-pricing-book.csv. Odoo cost: 0.00 USD.</t>
        </is>
      </c>
    </row>
    <row r="36">
      <c r="A36" s="8" t="inlineStr">
        <is>
          <t>FY2027-Q1</t>
        </is>
      </c>
      <c r="B36" s="8" t="inlineStr">
        <is>
          <t>CX-ADD-SIGNMODE</t>
        </is>
      </c>
      <c r="C36" s="8" t="inlineStr">
        <is>
          <t>ADD-ON | Signature Mode Selection</t>
        </is>
      </c>
      <c r="D36" s="8" t="inlineStr">
        <is>
          <t>Business; Enterprise; Ultimate</t>
        </is>
      </c>
      <c r="E36" s="8" t="inlineStr">
        <is>
          <t>Add-On</t>
        </is>
      </c>
      <c r="F36" s="8" t="inlineStr">
        <is>
          <t>Organization / year</t>
        </is>
      </c>
      <c r="G36" s="8" t="inlineStr">
        <is>
          <t>Annual</t>
        </is>
      </c>
      <c r="H36" s="9" t="n"/>
      <c r="I36" s="13" t="n">
        <v>245</v>
      </c>
      <c r="J36" s="8" t="inlineStr">
        <is>
          <t>USD</t>
        </is>
      </c>
      <c r="K36" s="17" t="inlineStr">
        <is>
          <t>Draft</t>
        </is>
      </c>
      <c r="L36" s="18" t="n">
        <v>46388</v>
      </c>
      <c r="M36" s="18" t="n">
        <v>46477</v>
      </c>
      <c r="N36" s="8" t="inlineStr">
        <is>
          <t>Imported from catalog/unified-catalog/unified-pricing-book.csv. Odoo cost: 0.00 USD.</t>
        </is>
      </c>
    </row>
    <row r="37">
      <c r="A37" s="8" t="inlineStr">
        <is>
          <t>FY2027-Q1</t>
        </is>
      </c>
      <c r="B37" s="8" t="inlineStr">
        <is>
          <t>CX-ADD-CONTROLLER</t>
        </is>
      </c>
      <c r="C37" s="8" t="inlineStr">
        <is>
          <t>ADD-ON | Transaction Controller</t>
        </is>
      </c>
      <c r="D37" s="8" t="inlineStr">
        <is>
          <t>Business; Enterprise; Ultimate</t>
        </is>
      </c>
      <c r="E37" s="8" t="inlineStr">
        <is>
          <t>Add-On</t>
        </is>
      </c>
      <c r="F37" s="8" t="inlineStr">
        <is>
          <t>Event</t>
        </is>
      </c>
      <c r="G37" s="8" t="inlineStr">
        <is>
          <t>Annual</t>
        </is>
      </c>
      <c r="H37" s="9" t="n"/>
      <c r="I37" s="13" t="n">
        <v>325</v>
      </c>
      <c r="J37" s="8" t="inlineStr">
        <is>
          <t>USD</t>
        </is>
      </c>
      <c r="K37" s="17" t="inlineStr">
        <is>
          <t>Draft</t>
        </is>
      </c>
      <c r="L37" s="18" t="n">
        <v>46388</v>
      </c>
      <c r="M37" s="18" t="n">
        <v>46477</v>
      </c>
      <c r="N37" s="8" t="inlineStr">
        <is>
          <t>Imported from catalog/unified-catalog/unified-pricing-book.csv. Odoo cost: 0.00 USD.</t>
        </is>
      </c>
    </row>
    <row r="38">
      <c r="A38" s="8" t="inlineStr">
        <is>
          <t>FY2027-Q1</t>
        </is>
      </c>
      <c r="B38" s="8" t="inlineStr">
        <is>
          <t>CX-ADD-VERIFY</t>
        </is>
      </c>
      <c r="C38" s="8" t="inlineStr">
        <is>
          <t>ADD-ON | Verification Request (100)</t>
        </is>
      </c>
      <c r="D38" s="8" t="inlineStr">
        <is>
          <t>Business; Enterprise; Ultimate</t>
        </is>
      </c>
      <c r="E38" s="8" t="inlineStr">
        <is>
          <t>Add-On</t>
        </is>
      </c>
      <c r="F38" s="8" t="inlineStr">
        <is>
          <t>100 verification requests</t>
        </is>
      </c>
      <c r="G38" s="8" t="inlineStr">
        <is>
          <t>Per Pack</t>
        </is>
      </c>
      <c r="H38" s="9" t="n">
        <v>100</v>
      </c>
      <c r="I38" s="13" t="n">
        <v>100</v>
      </c>
      <c r="J38" s="8" t="inlineStr">
        <is>
          <t>USD</t>
        </is>
      </c>
      <c r="K38" s="17" t="inlineStr">
        <is>
          <t>Draft</t>
        </is>
      </c>
      <c r="L38" s="18" t="n">
        <v>46388</v>
      </c>
      <c r="M38" s="18" t="n">
        <v>46477</v>
      </c>
      <c r="N38" s="8" t="inlineStr">
        <is>
          <t>Imported from catalog/unified-catalog/unified-pricing-book.csv. Odoo cost: 0.00 USD.</t>
        </is>
      </c>
    </row>
    <row r="39">
      <c r="A39" s="8" t="inlineStr">
        <is>
          <t>FY2027-Q1</t>
        </is>
      </c>
      <c r="B39" s="8" t="inlineStr">
        <is>
          <t>CX-ADD-QSEAL-1</t>
        </is>
      </c>
      <c r="C39" s="8" t="inlineStr">
        <is>
          <t>ADD-ON | eIDAS Qualified Seal (DataSure)</t>
        </is>
      </c>
      <c r="D39" s="8" t="inlineStr">
        <is>
          <t>Business; Enterprise; Ultimate</t>
        </is>
      </c>
      <c r="E39" s="8" t="inlineStr">
        <is>
          <t>Add-On</t>
        </is>
      </c>
      <c r="F39" s="8" t="inlineStr">
        <is>
          <t>Organization / year</t>
        </is>
      </c>
      <c r="G39" s="8" t="inlineStr">
        <is>
          <t>Annual</t>
        </is>
      </c>
      <c r="H39" s="9" t="n"/>
      <c r="I39" s="13" t="n">
        <v>45</v>
      </c>
      <c r="J39" s="8" t="inlineStr">
        <is>
          <t>USD</t>
        </is>
      </c>
      <c r="K39" s="17" t="inlineStr">
        <is>
          <t>Draft</t>
        </is>
      </c>
      <c r="L39" s="18" t="n">
        <v>46388</v>
      </c>
      <c r="M39" s="18" t="n">
        <v>46477</v>
      </c>
      <c r="N39" s="8" t="inlineStr">
        <is>
          <t>Imported from catalog/unified-catalog/unified-pricing-book.csv. Odoo cost: 0.00 USD.</t>
        </is>
      </c>
    </row>
    <row r="40">
      <c r="A40" s="8" t="inlineStr">
        <is>
          <t>FY2027-Q1</t>
        </is>
      </c>
      <c r="B40" s="8" t="inlineStr">
        <is>
          <t>CX-ADD-ESEAL-API</t>
        </is>
      </c>
      <c r="C40" s="8" t="inlineStr">
        <is>
          <t>ADD-ON | eSeal API Transaction</t>
        </is>
      </c>
      <c r="D40" s="8" t="inlineStr">
        <is>
          <t>Business; Enterprise; Ultimate</t>
        </is>
      </c>
      <c r="E40" s="8" t="inlineStr">
        <is>
          <t>Add-On</t>
        </is>
      </c>
      <c r="F40" s="8" t="inlineStr">
        <is>
          <t>Event</t>
        </is>
      </c>
      <c r="G40" s="8" t="inlineStr">
        <is>
          <t>Per Event</t>
        </is>
      </c>
      <c r="H40" s="9" t="n"/>
      <c r="I40" s="13" t="n">
        <v>1.5</v>
      </c>
      <c r="J40" s="8" t="inlineStr">
        <is>
          <t>USD</t>
        </is>
      </c>
      <c r="K40" s="17" t="inlineStr">
        <is>
          <t>Draft</t>
        </is>
      </c>
      <c r="L40" s="18" t="n">
        <v>46388</v>
      </c>
      <c r="M40" s="18" t="n">
        <v>46477</v>
      </c>
      <c r="N40" s="8" t="inlineStr">
        <is>
          <t>Imported from catalog/unified-catalog/unified-pricing-book.csv. Odoo cost: 0.00 USD.</t>
        </is>
      </c>
    </row>
    <row r="41">
      <c r="A41" s="8" t="inlineStr">
        <is>
          <t>FY2027-Q1</t>
        </is>
      </c>
      <c r="B41" s="8" t="inlineStr">
        <is>
          <t>CX-ADD-ESIGN-API</t>
        </is>
      </c>
      <c r="C41" s="8" t="inlineStr">
        <is>
          <t>ADD-ON | eSign API Transaction</t>
        </is>
      </c>
      <c r="D41" s="8" t="inlineStr">
        <is>
          <t>Business; Enterprise; Ultimate</t>
        </is>
      </c>
      <c r="E41" s="8" t="inlineStr">
        <is>
          <t>Add-On</t>
        </is>
      </c>
      <c r="F41" s="8" t="inlineStr">
        <is>
          <t>Event</t>
        </is>
      </c>
      <c r="G41" s="8" t="inlineStr">
        <is>
          <t>Per Event</t>
        </is>
      </c>
      <c r="H41" s="9" t="n"/>
      <c r="I41" s="13" t="n">
        <v>2.85</v>
      </c>
      <c r="J41" s="8" t="inlineStr">
        <is>
          <t>USD</t>
        </is>
      </c>
      <c r="K41" s="17" t="inlineStr">
        <is>
          <t>Draft</t>
        </is>
      </c>
      <c r="L41" s="18" t="n">
        <v>46388</v>
      </c>
      <c r="M41" s="18" t="n">
        <v>46477</v>
      </c>
      <c r="N41" s="8" t="inlineStr">
        <is>
          <t>Imported from catalog/unified-catalog/unified-pricing-book.csv. Odoo cost: 0.00 USD.</t>
        </is>
      </c>
    </row>
    <row r="42">
      <c r="A42" s="8" t="inlineStr">
        <is>
          <t>FY2027-Q1</t>
        </is>
      </c>
      <c r="B42" s="8" t="inlineStr">
        <is>
          <t>CX-RESTAPI-ENT</t>
        </is>
      </c>
      <c r="C42" s="8" t="inlineStr">
        <is>
          <t>ADD-ON | REST API Access</t>
        </is>
      </c>
      <c r="D42" s="8" t="inlineStr">
        <is>
          <t>Enterprise</t>
        </is>
      </c>
      <c r="E42" s="8" t="inlineStr">
        <is>
          <t>Add-On</t>
        </is>
      </c>
      <c r="F42" s="8" t="inlineStr">
        <is>
          <t>100 events</t>
        </is>
      </c>
      <c r="G42" s="8" t="inlineStr">
        <is>
          <t>Per Pack</t>
        </is>
      </c>
      <c r="H42" s="9" t="n">
        <v>100</v>
      </c>
      <c r="I42" s="13" t="n">
        <v>2500</v>
      </c>
      <c r="J42" s="8" t="inlineStr">
        <is>
          <t>USD</t>
        </is>
      </c>
      <c r="K42" s="17" t="inlineStr">
        <is>
          <t>Draft</t>
        </is>
      </c>
      <c r="L42" s="18" t="n">
        <v>46388</v>
      </c>
      <c r="M42" s="18" t="n">
        <v>46477</v>
      </c>
      <c r="N42" s="8" t="inlineStr">
        <is>
          <t>Imported from catalog/unified-catalog/unified-pricing-book.csv. Odoo cost: 0.00 USD.</t>
        </is>
      </c>
    </row>
    <row r="43">
      <c r="A43" s="8" t="inlineStr">
        <is>
          <t>FY2027-Q1</t>
        </is>
      </c>
      <c r="B43" s="8" t="inlineStr">
        <is>
          <t>CX-ADD-APPID</t>
        </is>
      </c>
      <c r="C43" s="8" t="inlineStr">
        <is>
          <t>ADD-ON | Custom Application Name</t>
        </is>
      </c>
      <c r="D43" s="8" t="inlineStr">
        <is>
          <t>Enterprise; Ultimate</t>
        </is>
      </c>
      <c r="E43" s="8" t="inlineStr">
        <is>
          <t>Add-On</t>
        </is>
      </c>
      <c r="F43" s="8" t="inlineStr">
        <is>
          <t>Organization / year</t>
        </is>
      </c>
      <c r="G43" s="8" t="inlineStr">
        <is>
          <t>Annual</t>
        </is>
      </c>
      <c r="H43" s="9" t="n"/>
      <c r="I43" s="13" t="n">
        <v>1250</v>
      </c>
      <c r="J43" s="8" t="inlineStr">
        <is>
          <t>USD</t>
        </is>
      </c>
      <c r="K43" s="17" t="inlineStr">
        <is>
          <t>Draft</t>
        </is>
      </c>
      <c r="L43" s="18" t="n">
        <v>46388</v>
      </c>
      <c r="M43" s="18" t="n">
        <v>46477</v>
      </c>
      <c r="N43" s="8" t="inlineStr">
        <is>
          <t>Imported from catalog/unified-catalog/unified-pricing-book.csv. Odoo cost: 0.00 USD.</t>
        </is>
      </c>
    </row>
    <row r="44">
      <c r="A44" s="8" t="inlineStr">
        <is>
          <t>FY2027-Q1</t>
        </is>
      </c>
      <c r="B44" s="8" t="inlineStr">
        <is>
          <t>CX-CUST-HOME</t>
        </is>
      </c>
      <c r="C44" s="8" t="inlineStr">
        <is>
          <t>ADD-ON | Custom Homepage</t>
        </is>
      </c>
      <c r="D44" s="8" t="inlineStr">
        <is>
          <t>Enterprise; Ultimate</t>
        </is>
      </c>
      <c r="E44" s="8" t="inlineStr">
        <is>
          <t>Add-On</t>
        </is>
      </c>
      <c r="F44" s="8" t="inlineStr">
        <is>
          <t>Organization / year</t>
        </is>
      </c>
      <c r="G44" s="8" t="inlineStr">
        <is>
          <t>Annual</t>
        </is>
      </c>
      <c r="H44" s="9" t="n"/>
      <c r="I44" s="13" t="n">
        <v>1150</v>
      </c>
      <c r="J44" s="8" t="inlineStr">
        <is>
          <t>USD</t>
        </is>
      </c>
      <c r="K44" s="17" t="inlineStr">
        <is>
          <t>Draft</t>
        </is>
      </c>
      <c r="L44" s="18" t="n">
        <v>46388</v>
      </c>
      <c r="M44" s="18" t="n">
        <v>46477</v>
      </c>
      <c r="N44" s="8" t="inlineStr">
        <is>
          <t>Imported from catalog/unified-catalog/unified-pricing-book.csv. Odoo cost: 0.00 USD.</t>
        </is>
      </c>
    </row>
    <row r="45">
      <c r="A45" s="8" t="inlineStr">
        <is>
          <t>FY2027-Q1</t>
        </is>
      </c>
      <c r="B45" s="8" t="inlineStr">
        <is>
          <t>CX-CUST-ROLEUI</t>
        </is>
      </c>
      <c r="C45" s="8" t="inlineStr">
        <is>
          <t>ADD-ON | Custom Role based UI</t>
        </is>
      </c>
      <c r="D45" s="8" t="inlineStr">
        <is>
          <t>Enterprise; Ultimate</t>
        </is>
      </c>
      <c r="E45" s="8" t="inlineStr">
        <is>
          <t>Add-On</t>
        </is>
      </c>
      <c r="F45" s="8" t="inlineStr">
        <is>
          <t>Organization / year</t>
        </is>
      </c>
      <c r="G45" s="8" t="inlineStr">
        <is>
          <t>Annual</t>
        </is>
      </c>
      <c r="H45" s="9" t="n"/>
      <c r="I45" s="13" t="n">
        <v>1150</v>
      </c>
      <c r="J45" s="8" t="inlineStr">
        <is>
          <t>USD</t>
        </is>
      </c>
      <c r="K45" s="17" t="inlineStr">
        <is>
          <t>Draft</t>
        </is>
      </c>
      <c r="L45" s="18" t="n">
        <v>46388</v>
      </c>
      <c r="M45" s="18" t="n">
        <v>46477</v>
      </c>
      <c r="N45" s="8" t="inlineStr">
        <is>
          <t>Imported from catalog/unified-catalog/unified-pricing-book.csv. Odoo cost: 0.00 USD.</t>
        </is>
      </c>
    </row>
    <row r="46">
      <c r="A46" s="8" t="inlineStr">
        <is>
          <t>FY2027-Q1</t>
        </is>
      </c>
      <c r="B46" s="8" t="inlineStr">
        <is>
          <t>CX-CUST-TYPE</t>
        </is>
      </c>
      <c r="C46" s="8" t="inlineStr">
        <is>
          <t>ADD-ON | Custom Upload Form</t>
        </is>
      </c>
      <c r="D46" s="8" t="inlineStr">
        <is>
          <t>Enterprise; Ultimate</t>
        </is>
      </c>
      <c r="E46" s="8" t="inlineStr">
        <is>
          <t>Add-On</t>
        </is>
      </c>
      <c r="F46" s="8" t="inlineStr">
        <is>
          <t>Organization / year</t>
        </is>
      </c>
      <c r="G46" s="8" t="inlineStr">
        <is>
          <t>Annual</t>
        </is>
      </c>
      <c r="H46" s="9" t="n"/>
      <c r="I46" s="13" t="n">
        <v>250</v>
      </c>
      <c r="J46" s="8" t="inlineStr">
        <is>
          <t>USD</t>
        </is>
      </c>
      <c r="K46" s="17" t="inlineStr">
        <is>
          <t>Draft</t>
        </is>
      </c>
      <c r="L46" s="18" t="n">
        <v>46388</v>
      </c>
      <c r="M46" s="18" t="n">
        <v>46477</v>
      </c>
      <c r="N46" s="8" t="inlineStr">
        <is>
          <t>Imported from catalog/unified-catalog/unified-pricing-book.csv. Odoo cost: 0.00 USD.</t>
        </is>
      </c>
    </row>
    <row r="47">
      <c r="A47" s="8" t="inlineStr">
        <is>
          <t>FY2027-Q1</t>
        </is>
      </c>
      <c r="B47" s="8" t="inlineStr">
        <is>
          <t>CX-CUST-WEBFORM</t>
        </is>
      </c>
      <c r="C47" s="8" t="inlineStr">
        <is>
          <t>ADD-ON | Custom Web Forms</t>
        </is>
      </c>
      <c r="D47" s="8" t="inlineStr">
        <is>
          <t>Enterprise; Ultimate</t>
        </is>
      </c>
      <c r="E47" s="8" t="inlineStr">
        <is>
          <t>Add-On</t>
        </is>
      </c>
      <c r="F47" s="8" t="inlineStr">
        <is>
          <t>Organization / year</t>
        </is>
      </c>
      <c r="G47" s="8" t="inlineStr">
        <is>
          <t>Annual</t>
        </is>
      </c>
      <c r="H47" s="9" t="n"/>
      <c r="I47" s="13" t="n">
        <v>850</v>
      </c>
      <c r="J47" s="8" t="inlineStr">
        <is>
          <t>USD</t>
        </is>
      </c>
      <c r="K47" s="17" t="inlineStr">
        <is>
          <t>Draft</t>
        </is>
      </c>
      <c r="L47" s="18" t="n">
        <v>46388</v>
      </c>
      <c r="M47" s="18" t="n">
        <v>46477</v>
      </c>
      <c r="N47" s="8" t="inlineStr">
        <is>
          <t>Imported from catalog/unified-catalog/unified-pricing-book.csv. Odoo cost: 0.00 USD.</t>
        </is>
      </c>
    </row>
    <row r="48">
      <c r="A48" s="8" t="inlineStr">
        <is>
          <t>FY2027-Q1</t>
        </is>
      </c>
      <c r="B48" s="8" t="inlineStr">
        <is>
          <t>CX-ADD-UAT</t>
        </is>
      </c>
      <c r="C48" s="8" t="inlineStr">
        <is>
          <t>ADD-ON | UAT Environment in MS Azure Cloud</t>
        </is>
      </c>
      <c r="D48" s="8" t="inlineStr">
        <is>
          <t>Enterprise; Ultimate</t>
        </is>
      </c>
      <c r="E48" s="8" t="inlineStr">
        <is>
          <t>Add-On</t>
        </is>
      </c>
      <c r="F48" s="8" t="inlineStr">
        <is>
          <t>Organization / year</t>
        </is>
      </c>
      <c r="G48" s="8" t="inlineStr">
        <is>
          <t>Annual</t>
        </is>
      </c>
      <c r="H48" s="9" t="n"/>
      <c r="I48" s="13" t="n">
        <v>2500</v>
      </c>
      <c r="J48" s="8" t="inlineStr">
        <is>
          <t>USD</t>
        </is>
      </c>
      <c r="K48" s="17" t="inlineStr">
        <is>
          <t>Draft</t>
        </is>
      </c>
      <c r="L48" s="18" t="n">
        <v>46388</v>
      </c>
      <c r="M48" s="18" t="n">
        <v>46477</v>
      </c>
      <c r="N48" s="8" t="inlineStr">
        <is>
          <t>Imported from catalog/unified-catalog/unified-pricing-book.csv. Odoo cost: 0.00 USD.</t>
        </is>
      </c>
    </row>
    <row r="49">
      <c r="A49" s="8" t="inlineStr">
        <is>
          <t>FY2027-Q1</t>
        </is>
      </c>
      <c r="B49" s="8" t="inlineStr">
        <is>
          <t>CX-ADD-BANKIDCZ-VER1</t>
        </is>
      </c>
      <c r="C49" s="8" t="inlineStr">
        <is>
          <t>ADD-ON | BankID CZ ID Verification (100)</t>
        </is>
      </c>
      <c r="D49" s="8" t="inlineStr">
        <is>
          <t>Pro; Business; Enterprise; Ultimate</t>
        </is>
      </c>
      <c r="E49" s="8" t="inlineStr">
        <is>
          <t>Add-On</t>
        </is>
      </c>
      <c r="F49" s="8" t="inlineStr">
        <is>
          <t>100 verification requests</t>
        </is>
      </c>
      <c r="G49" s="8" t="inlineStr">
        <is>
          <t>Per Pack</t>
        </is>
      </c>
      <c r="H49" s="9" t="n">
        <v>100</v>
      </c>
      <c r="I49" s="13" t="n">
        <v>8</v>
      </c>
      <c r="J49" s="8" t="inlineStr">
        <is>
          <t>USD</t>
        </is>
      </c>
      <c r="K49" s="17" t="inlineStr">
        <is>
          <t>Draft</t>
        </is>
      </c>
      <c r="L49" s="18" t="n">
        <v>46388</v>
      </c>
      <c r="M49" s="18" t="n">
        <v>46477</v>
      </c>
      <c r="N49" s="8" t="inlineStr">
        <is>
          <t>Imported from catalog/unified-catalog/unified-pricing-book.csv. Odoo cost: 100.00 USD.</t>
        </is>
      </c>
    </row>
    <row r="50">
      <c r="A50" s="8" t="inlineStr">
        <is>
          <t>FY2027-Q1</t>
        </is>
      </c>
      <c r="B50" s="8" t="inlineStr">
        <is>
          <t>CX-ADD-ONBOARDING</t>
        </is>
      </c>
      <c r="C50" s="8" t="inlineStr">
        <is>
          <t>ADD-ON | Customer Onboarding &amp; Consulting</t>
        </is>
      </c>
      <c r="D50" s="8" t="inlineStr">
        <is>
          <t>Pro; Business; Enterprise; Ultimate</t>
        </is>
      </c>
      <c r="E50" s="8" t="inlineStr">
        <is>
          <t>Add-On</t>
        </is>
      </c>
      <c r="F50" s="8" t="inlineStr">
        <is>
          <t>Unit</t>
        </is>
      </c>
      <c r="G50" s="8" t="inlineStr">
        <is>
          <t>One-Time</t>
        </is>
      </c>
      <c r="H50" s="9" t="n"/>
      <c r="I50" s="13" t="n">
        <v>920</v>
      </c>
      <c r="J50" s="8" t="inlineStr">
        <is>
          <t>USD</t>
        </is>
      </c>
      <c r="K50" s="17" t="inlineStr">
        <is>
          <t>Draft</t>
        </is>
      </c>
      <c r="L50" s="18" t="n">
        <v>46388</v>
      </c>
      <c r="M50" s="18" t="n">
        <v>46477</v>
      </c>
      <c r="N50" s="8" t="inlineStr">
        <is>
          <t>Imported from catalog/unified-catalog/unified-pricing-book.csv. Odoo cost: 0.00 USD.</t>
        </is>
      </c>
    </row>
    <row r="51">
      <c r="A51" s="8" t="inlineStr">
        <is>
          <t>FY2027-Q1</t>
        </is>
      </c>
      <c r="B51" s="8" t="inlineStr">
        <is>
          <t>CX-ADD-NAFATH-VER</t>
        </is>
      </c>
      <c r="C51" s="8" t="inlineStr">
        <is>
          <t>ADD-ON | NAFATH Identity Verification</t>
        </is>
      </c>
      <c r="D51" s="8" t="inlineStr">
        <is>
          <t>Pro; Business; Enterprise; Ultimate</t>
        </is>
      </c>
      <c r="E51" s="8" t="inlineStr">
        <is>
          <t>Add-On</t>
        </is>
      </c>
      <c r="F51" s="8" t="inlineStr">
        <is>
          <t>Event</t>
        </is>
      </c>
      <c r="G51" s="8" t="inlineStr">
        <is>
          <t>Annual</t>
        </is>
      </c>
      <c r="H51" s="9" t="n"/>
      <c r="I51" s="13" t="n">
        <v>1350</v>
      </c>
      <c r="J51" s="8" t="inlineStr">
        <is>
          <t>USD</t>
        </is>
      </c>
      <c r="K51" s="17" t="inlineStr">
        <is>
          <t>Draft</t>
        </is>
      </c>
      <c r="L51" s="18" t="n">
        <v>46388</v>
      </c>
      <c r="M51" s="18" t="n">
        <v>46477</v>
      </c>
      <c r="N51" s="8" t="inlineStr">
        <is>
          <t>Imported from catalog/unified-catalog/unified-pricing-book.csv. Odoo cost: 0.00 USD.</t>
        </is>
      </c>
    </row>
    <row r="52">
      <c r="A52" s="8" t="inlineStr">
        <is>
          <t>FY2027-Q1</t>
        </is>
      </c>
      <c r="B52" s="8" t="inlineStr">
        <is>
          <t>CX-ADD-TSA-3</t>
        </is>
      </c>
      <c r="C52" s="8" t="inlineStr">
        <is>
          <t>ADD-ON | Trusted &amp; Certified Timestamps (DESC)</t>
        </is>
      </c>
      <c r="D52" s="8" t="inlineStr">
        <is>
          <t>Pro; Business; Enterprise; Ultimate</t>
        </is>
      </c>
      <c r="E52" s="8" t="inlineStr">
        <is>
          <t>Add-On</t>
        </is>
      </c>
      <c r="F52" s="8" t="inlineStr">
        <is>
          <t>100 timestamps</t>
        </is>
      </c>
      <c r="G52" s="8" t="inlineStr">
        <is>
          <t>Per Pack</t>
        </is>
      </c>
      <c r="H52" s="9" t="n">
        <v>100</v>
      </c>
      <c r="I52" s="13" t="n">
        <v>88</v>
      </c>
      <c r="J52" s="8" t="inlineStr">
        <is>
          <t>USD</t>
        </is>
      </c>
      <c r="K52" s="17" t="inlineStr">
        <is>
          <t>Draft</t>
        </is>
      </c>
      <c r="L52" s="18" t="n">
        <v>46388</v>
      </c>
      <c r="M52" s="18" t="n">
        <v>46477</v>
      </c>
      <c r="N52" s="8" t="inlineStr">
        <is>
          <t>Imported from catalog/unified-catalog/unified-pricing-book.csv. Odoo cost: 0.00 USD.</t>
        </is>
      </c>
    </row>
    <row r="53">
      <c r="A53" s="8" t="inlineStr">
        <is>
          <t>FY2027-Q1</t>
        </is>
      </c>
      <c r="B53" s="8" t="inlineStr">
        <is>
          <t>CX-ADD-UAEPASSSIGN</t>
        </is>
      </c>
      <c r="C53" s="8" t="inlineStr">
        <is>
          <t>ADD-ON | UAE Pass Signing</t>
        </is>
      </c>
      <c r="D53" s="8" t="inlineStr">
        <is>
          <t>Pro; Business; Enterprise; Ultimate</t>
        </is>
      </c>
      <c r="E53" s="8" t="inlineStr">
        <is>
          <t>Add-On</t>
        </is>
      </c>
      <c r="F53" s="8" t="inlineStr">
        <is>
          <t>Organization / year</t>
        </is>
      </c>
      <c r="G53" s="8" t="inlineStr">
        <is>
          <t>Annual</t>
        </is>
      </c>
      <c r="H53" s="9" t="n"/>
      <c r="I53" s="13" t="n">
        <v>1850</v>
      </c>
      <c r="J53" s="8" t="inlineStr">
        <is>
          <t>USD</t>
        </is>
      </c>
      <c r="K53" s="17" t="inlineStr">
        <is>
          <t>Draft</t>
        </is>
      </c>
      <c r="L53" s="18" t="n">
        <v>46388</v>
      </c>
      <c r="M53" s="18" t="n">
        <v>46477</v>
      </c>
      <c r="N53" s="8" t="inlineStr">
        <is>
          <t>Imported from catalog/unified-catalog/unified-pricing-book.csv. Odoo cost: 0.00 USD.</t>
        </is>
      </c>
    </row>
    <row r="54">
      <c r="A54" s="8" t="inlineStr">
        <is>
          <t>FY2027-Q1</t>
        </is>
      </c>
      <c r="B54" s="8" t="inlineStr">
        <is>
          <t>CX-ADD-QSIGN</t>
        </is>
      </c>
      <c r="C54" s="8" t="inlineStr">
        <is>
          <t>ADD-ON | eIDAS Qualified Signatures (I.CA Smart Cards &amp; Tokens)</t>
        </is>
      </c>
      <c r="D54" s="8" t="inlineStr">
        <is>
          <t>Pro; Business; Enterprise; Ultimate</t>
        </is>
      </c>
      <c r="E54" s="8" t="inlineStr">
        <is>
          <t>Add-On</t>
        </is>
      </c>
      <c r="F54" s="8" t="inlineStr">
        <is>
          <t>Organization / year</t>
        </is>
      </c>
      <c r="G54" s="8" t="inlineStr">
        <is>
          <t>Annual</t>
        </is>
      </c>
      <c r="H54" s="9" t="n"/>
      <c r="I54" s="13" t="n">
        <v>250</v>
      </c>
      <c r="J54" s="8" t="inlineStr">
        <is>
          <t>USD</t>
        </is>
      </c>
      <c r="K54" s="17" t="inlineStr">
        <is>
          <t>Draft</t>
        </is>
      </c>
      <c r="L54" s="18" t="n">
        <v>46388</v>
      </c>
      <c r="M54" s="18" t="n">
        <v>46477</v>
      </c>
      <c r="N54" s="8" t="inlineStr">
        <is>
          <t>Imported from catalog/unified-catalog/unified-pricing-book.csv. Odoo cost: 0.00 USD.</t>
        </is>
      </c>
    </row>
    <row r="55">
      <c r="A55" s="8" t="inlineStr">
        <is>
          <t>FY2027-Q1</t>
        </is>
      </c>
      <c r="B55" s="8" t="inlineStr">
        <is>
          <t>CX-ADD-TSA-2</t>
        </is>
      </c>
      <c r="C55" s="8" t="inlineStr">
        <is>
          <t>ADD-ON | eIDAS Qualified Timestamp (Datasure)</t>
        </is>
      </c>
      <c r="D55" s="8" t="inlineStr">
        <is>
          <t>Pro; Business; Enterprise; Ultimate</t>
        </is>
      </c>
      <c r="E55" s="8" t="inlineStr">
        <is>
          <t>Add-On</t>
        </is>
      </c>
      <c r="F55" s="8" t="inlineStr">
        <is>
          <t>100 timestamps</t>
        </is>
      </c>
      <c r="G55" s="8" t="inlineStr">
        <is>
          <t>Per Pack</t>
        </is>
      </c>
      <c r="H55" s="9" t="n">
        <v>100</v>
      </c>
      <c r="I55" s="13" t="n">
        <v>25</v>
      </c>
      <c r="J55" s="8" t="inlineStr">
        <is>
          <t>USD</t>
        </is>
      </c>
      <c r="K55" s="17" t="inlineStr">
        <is>
          <t>Draft</t>
        </is>
      </c>
      <c r="L55" s="18" t="n">
        <v>46388</v>
      </c>
      <c r="M55" s="18" t="n">
        <v>46477</v>
      </c>
      <c r="N55" s="8" t="inlineStr">
        <is>
          <t>Imported from catalog/unified-catalog/unified-pricing-book.csv. Odoo cost: 0.00 USD.</t>
        </is>
      </c>
    </row>
    <row r="56">
      <c r="A56" s="8" t="inlineStr">
        <is>
          <t>FY2027-Q1</t>
        </is>
      </c>
      <c r="B56" s="8" t="inlineStr">
        <is>
          <t>CX-ADD-TSA-1</t>
        </is>
      </c>
      <c r="C56" s="8" t="inlineStr">
        <is>
          <t>ADD-ON | eIDAS Qualified Timestamp (I.CA)</t>
        </is>
      </c>
      <c r="D56" s="8" t="inlineStr">
        <is>
          <t>Pro; Business; Enterprise; Ultimate</t>
        </is>
      </c>
      <c r="E56" s="8" t="inlineStr">
        <is>
          <t>Add-On</t>
        </is>
      </c>
      <c r="F56" s="8" t="inlineStr">
        <is>
          <t>100 timestamps</t>
        </is>
      </c>
      <c r="G56" s="8" t="inlineStr">
        <is>
          <t>Per Pack</t>
        </is>
      </c>
      <c r="H56" s="9" t="n">
        <v>100</v>
      </c>
      <c r="I56" s="13" t="n">
        <v>29</v>
      </c>
      <c r="J56" s="8" t="inlineStr">
        <is>
          <t>USD</t>
        </is>
      </c>
      <c r="K56" s="17" t="inlineStr">
        <is>
          <t>Draft</t>
        </is>
      </c>
      <c r="L56" s="18" t="n">
        <v>46388</v>
      </c>
      <c r="M56" s="18" t="n">
        <v>46477</v>
      </c>
      <c r="N56" s="8" t="inlineStr">
        <is>
          <t>Imported from catalog/unified-catalog/unified-pricing-book.csv. Odoo cost: 0.00 USD.</t>
        </is>
      </c>
    </row>
    <row r="57">
      <c r="A57" s="17" t="inlineStr">
        <is>
          <t>FY2027-Q1</t>
        </is>
      </c>
      <c r="B57" s="17" t="inlineStr">
        <is>
          <t>CX-ADD-SHAREPOINT</t>
        </is>
      </c>
      <c r="C57" s="17" t="inlineStr">
        <is>
          <t>ADD-ON | Circularo for SharePoint</t>
        </is>
      </c>
      <c r="D57" s="17" t="inlineStr">
        <is>
          <t>Start; Pro; Business; Enterprise; Ultimate</t>
        </is>
      </c>
      <c r="E57" s="17" t="inlineStr">
        <is>
          <t>Add-On</t>
        </is>
      </c>
      <c r="F57" s="17" t="inlineStr">
        <is>
          <t>Organization / year</t>
        </is>
      </c>
      <c r="G57" s="17" t="inlineStr">
        <is>
          <t>Annual</t>
        </is>
      </c>
      <c r="H57" s="19" t="n"/>
      <c r="I57" s="13" t="n">
        <v>0</v>
      </c>
      <c r="J57" s="17" t="inlineStr">
        <is>
          <t>USD</t>
        </is>
      </c>
      <c r="K57" s="17" t="inlineStr">
        <is>
          <t>Draft</t>
        </is>
      </c>
      <c r="L57" s="18" t="n">
        <v>46388</v>
      </c>
      <c r="M57" s="18" t="n">
        <v>46477</v>
      </c>
      <c r="N57" s="17" t="inlineStr">
        <is>
          <t>Imported from catalog/unified-catalog/unified-pricing-book.csv. Price status: to_be_confirmed. Odoo cost: 0.00 USD. MSRP requires confirmation.</t>
        </is>
      </c>
    </row>
    <row r="58">
      <c r="A58" s="17" t="inlineStr">
        <is>
          <t>FY2027-Q1</t>
        </is>
      </c>
      <c r="B58" s="17" t="inlineStr">
        <is>
          <t>CX-ADD-GSUITE</t>
        </is>
      </c>
      <c r="C58" s="17" t="inlineStr">
        <is>
          <t>ADD-ON | Google Workspace Integration</t>
        </is>
      </c>
      <c r="D58" s="17" t="inlineStr">
        <is>
          <t>Start; Pro; Business; Enterprise; Ultimate</t>
        </is>
      </c>
      <c r="E58" s="17" t="inlineStr">
        <is>
          <t>Add-On</t>
        </is>
      </c>
      <c r="F58" s="17" t="inlineStr">
        <is>
          <t>Organization / year</t>
        </is>
      </c>
      <c r="G58" s="17" t="inlineStr">
        <is>
          <t>Annual</t>
        </is>
      </c>
      <c r="H58" s="19" t="n"/>
      <c r="I58" s="13" t="n">
        <v>0</v>
      </c>
      <c r="J58" s="17" t="inlineStr">
        <is>
          <t>USD</t>
        </is>
      </c>
      <c r="K58" s="17" t="inlineStr">
        <is>
          <t>Draft</t>
        </is>
      </c>
      <c r="L58" s="18" t="n">
        <v>46388</v>
      </c>
      <c r="M58" s="18" t="n">
        <v>46477</v>
      </c>
      <c r="N58" s="17" t="inlineStr">
        <is>
          <t>Imported from catalog/unified-catalog/unified-pricing-book.csv. Price status: to_be_confirmed. Odoo cost: 0.00 USD. MSRP requires confirmation.</t>
        </is>
      </c>
    </row>
    <row r="59">
      <c r="A59" s="17" t="inlineStr">
        <is>
          <t>FY2027-Q1</t>
        </is>
      </c>
      <c r="B59" s="17" t="inlineStr">
        <is>
          <t>CX-ADD-MS365</t>
        </is>
      </c>
      <c r="C59" s="17" t="inlineStr">
        <is>
          <t>ADD-ON | Microsoft Office 365 Add-in</t>
        </is>
      </c>
      <c r="D59" s="17" t="inlineStr">
        <is>
          <t>Start; Pro; Business; Enterprise; Ultimate</t>
        </is>
      </c>
      <c r="E59" s="17" t="inlineStr">
        <is>
          <t>Add-On</t>
        </is>
      </c>
      <c r="F59" s="17" t="inlineStr">
        <is>
          <t>Organization / year</t>
        </is>
      </c>
      <c r="G59" s="17" t="inlineStr">
        <is>
          <t>Annual</t>
        </is>
      </c>
      <c r="H59" s="19" t="n"/>
      <c r="I59" s="13" t="n">
        <v>0</v>
      </c>
      <c r="J59" s="17" t="inlineStr">
        <is>
          <t>USD</t>
        </is>
      </c>
      <c r="K59" s="17" t="inlineStr">
        <is>
          <t>Draft</t>
        </is>
      </c>
      <c r="L59" s="18" t="n">
        <v>46388</v>
      </c>
      <c r="M59" s="18" t="n">
        <v>46477</v>
      </c>
      <c r="N59" s="17" t="inlineStr">
        <is>
          <t>Imported from catalog/unified-catalog/unified-pricing-book.csv. Price status: to_be_confirmed. Odoo cost: 0.00 USD. MSRP requires confirmation.</t>
        </is>
      </c>
    </row>
    <row r="60">
      <c r="A60" s="8" t="inlineStr">
        <is>
          <t>FY2027-Q1</t>
        </is>
      </c>
      <c r="B60" s="8" t="inlineStr">
        <is>
          <t>CX-ADD-UAEPASSID</t>
        </is>
      </c>
      <c r="C60" s="8" t="inlineStr">
        <is>
          <t>ADD-ON | UAE Pass Identity Verification</t>
        </is>
      </c>
      <c r="D60" s="8" t="inlineStr">
        <is>
          <t>Start; Pro; Business; Enterprise; Ultimate</t>
        </is>
      </c>
      <c r="E60" s="8" t="inlineStr">
        <is>
          <t>Add-On</t>
        </is>
      </c>
      <c r="F60" s="8" t="inlineStr">
        <is>
          <t>Event</t>
        </is>
      </c>
      <c r="G60" s="8" t="inlineStr">
        <is>
          <t>Annual</t>
        </is>
      </c>
      <c r="H60" s="9" t="n"/>
      <c r="I60" s="13" t="n">
        <v>850</v>
      </c>
      <c r="J60" s="8" t="inlineStr">
        <is>
          <t>USD</t>
        </is>
      </c>
      <c r="K60" s="17" t="inlineStr">
        <is>
          <t>Draft</t>
        </is>
      </c>
      <c r="L60" s="18" t="n">
        <v>46388</v>
      </c>
      <c r="M60" s="18" t="n">
        <v>46477</v>
      </c>
      <c r="N60" s="8" t="inlineStr">
        <is>
          <t>Imported from catalog/unified-catalog/unified-pricing-book.csv. Odoo cost: 0.00 USD.</t>
        </is>
      </c>
    </row>
    <row r="61">
      <c r="A61" s="8" t="inlineStr">
        <is>
          <t>FY2027-Q1</t>
        </is>
      </c>
      <c r="B61" s="8" t="inlineStr">
        <is>
          <t>CX-ADD-HSM-UTIMACO</t>
        </is>
      </c>
      <c r="C61" s="8" t="inlineStr">
        <is>
          <t>ADD-ON | Hardware Security Module (HSM)</t>
        </is>
      </c>
      <c r="D61" s="8" t="inlineStr">
        <is>
          <t>Ultimate</t>
        </is>
      </c>
      <c r="E61" s="8" t="inlineStr">
        <is>
          <t>Add-On</t>
        </is>
      </c>
      <c r="F61" s="8" t="inlineStr">
        <is>
          <t>Organization / year</t>
        </is>
      </c>
      <c r="G61" s="8" t="inlineStr">
        <is>
          <t>Annual</t>
        </is>
      </c>
      <c r="H61" s="9" t="n"/>
      <c r="I61" s="13" t="n">
        <v>18663.03</v>
      </c>
      <c r="J61" s="8" t="inlineStr">
        <is>
          <t>USD</t>
        </is>
      </c>
      <c r="K61" s="17" t="inlineStr">
        <is>
          <t>Draft</t>
        </is>
      </c>
      <c r="L61" s="18" t="n">
        <v>46388</v>
      </c>
      <c r="M61" s="18" t="n">
        <v>46477</v>
      </c>
      <c r="N61" s="8" t="inlineStr">
        <is>
          <t>Imported from catalog/unified-catalog/unified-pricing-book.csv. Odoo cost: 13500.00 USD.</t>
        </is>
      </c>
    </row>
    <row r="62">
      <c r="A62" s="8" t="inlineStr">
        <is>
          <t>FY2027-Q1</t>
        </is>
      </c>
      <c r="B62" s="8" t="inlineStr">
        <is>
          <t>CX-RESTAPI-ULT</t>
        </is>
      </c>
      <c r="C62" s="8" t="inlineStr">
        <is>
          <t>ADD-ON | REST API Access</t>
        </is>
      </c>
      <c r="D62" s="8" t="inlineStr">
        <is>
          <t>Ultimate</t>
        </is>
      </c>
      <c r="E62" s="8" t="inlineStr">
        <is>
          <t>Add-On</t>
        </is>
      </c>
      <c r="F62" s="8" t="inlineStr">
        <is>
          <t>100 events</t>
        </is>
      </c>
      <c r="G62" s="8" t="inlineStr">
        <is>
          <t>Per Pack</t>
        </is>
      </c>
      <c r="H62" s="9" t="n">
        <v>100</v>
      </c>
      <c r="I62" s="13" t="n">
        <v>3500</v>
      </c>
      <c r="J62" s="8" t="inlineStr">
        <is>
          <t>USD</t>
        </is>
      </c>
      <c r="K62" s="17" t="inlineStr">
        <is>
          <t>Draft</t>
        </is>
      </c>
      <c r="L62" s="18" t="n">
        <v>46388</v>
      </c>
      <c r="M62" s="18" t="n">
        <v>46477</v>
      </c>
      <c r="N62" s="8" t="inlineStr">
        <is>
          <t>Imported from catalog/unified-catalog/unified-pricing-book.csv. Odoo cost: 0.00 USD.</t>
        </is>
      </c>
    </row>
    <row r="63">
      <c r="A63" s="17" t="inlineStr">
        <is>
          <t>FY2027-Q1</t>
        </is>
      </c>
      <c r="B63" s="17" t="inlineStr">
        <is>
          <t>CU-S-AI</t>
        </is>
      </c>
      <c r="C63" s="17" t="inlineStr">
        <is>
          <t>ADD-ON | Sovereign AI</t>
        </is>
      </c>
      <c r="D63" s="17" t="inlineStr">
        <is>
          <t>Ultimate</t>
        </is>
      </c>
      <c r="E63" s="17" t="inlineStr">
        <is>
          <t>Add-On</t>
        </is>
      </c>
      <c r="F63" s="17" t="inlineStr">
        <is>
          <t>Organization / year</t>
        </is>
      </c>
      <c r="G63" s="17" t="inlineStr">
        <is>
          <t>Annual</t>
        </is>
      </c>
      <c r="H63" s="19" t="n"/>
      <c r="I63" s="13" t="n">
        <v>0</v>
      </c>
      <c r="J63" s="17" t="inlineStr">
        <is>
          <t>USD</t>
        </is>
      </c>
      <c r="K63" s="17" t="inlineStr">
        <is>
          <t>Draft</t>
        </is>
      </c>
      <c r="L63" s="18" t="n">
        <v>46388</v>
      </c>
      <c r="M63" s="18" t="n">
        <v>46477</v>
      </c>
      <c r="N63" s="17" t="inlineStr">
        <is>
          <t>Imported from catalog/unified-catalog/unified-pricing-book.csv. Price status: to_be_confirmed. Odoo cost: 0.00 USD. MSRP requires confirmation.</t>
        </is>
      </c>
    </row>
    <row r="64">
      <c r="A64" s="17" t="inlineStr">
        <is>
          <t>FY2027-Q1</t>
        </is>
      </c>
      <c r="B64" s="17" t="inlineStr">
        <is>
          <t>CU-S-COLAB</t>
        </is>
      </c>
      <c r="C64" s="17" t="inlineStr">
        <is>
          <t>ADD-ON | Sovereign Collaboration</t>
        </is>
      </c>
      <c r="D64" s="17" t="inlineStr">
        <is>
          <t>Ultimate</t>
        </is>
      </c>
      <c r="E64" s="17" t="inlineStr">
        <is>
          <t>Add-On</t>
        </is>
      </c>
      <c r="F64" s="17" t="inlineStr">
        <is>
          <t>Organization / year</t>
        </is>
      </c>
      <c r="G64" s="17" t="inlineStr">
        <is>
          <t>Annual</t>
        </is>
      </c>
      <c r="H64" s="19" t="n"/>
      <c r="I64" s="13" t="n">
        <v>0</v>
      </c>
      <c r="J64" s="17" t="inlineStr">
        <is>
          <t>USD</t>
        </is>
      </c>
      <c r="K64" s="17" t="inlineStr">
        <is>
          <t>Draft</t>
        </is>
      </c>
      <c r="L64" s="18" t="n">
        <v>46388</v>
      </c>
      <c r="M64" s="18" t="n">
        <v>46477</v>
      </c>
      <c r="N64" s="17" t="inlineStr">
        <is>
          <t>Imported from catalog/unified-catalog/unified-pricing-book.csv. Price status: to_be_confirmed. Odoo cost: 0.00 USD. MSRP requires confirmation.</t>
        </is>
      </c>
    </row>
    <row r="65">
      <c r="A65" s="8" t="inlineStr">
        <is>
          <t>FY2027-Q1</t>
        </is>
      </c>
      <c r="B65" s="8" t="inlineStr">
        <is>
          <t>CU-S-VAULT</t>
        </is>
      </c>
      <c r="C65" s="8" t="inlineStr">
        <is>
          <t>ADD-ON | Sovereign Vault</t>
        </is>
      </c>
      <c r="D65" s="8" t="inlineStr">
        <is>
          <t>Ultimate</t>
        </is>
      </c>
      <c r="E65" s="8" t="inlineStr">
        <is>
          <t>Add-On</t>
        </is>
      </c>
      <c r="F65" s="8" t="inlineStr">
        <is>
          <t>100 events</t>
        </is>
      </c>
      <c r="G65" s="8" t="inlineStr">
        <is>
          <t>Annual</t>
        </is>
      </c>
      <c r="H65" s="9" t="n">
        <v>100</v>
      </c>
      <c r="I65" s="13" t="n">
        <v>136.15</v>
      </c>
      <c r="J65" s="8" t="inlineStr">
        <is>
          <t>USD</t>
        </is>
      </c>
      <c r="K65" s="17" t="inlineStr">
        <is>
          <t>Draft</t>
        </is>
      </c>
      <c r="L65" s="18" t="n">
        <v>46388</v>
      </c>
      <c r="M65" s="18" t="n">
        <v>46477</v>
      </c>
      <c r="N65" s="8" t="inlineStr">
        <is>
          <t>Imported from catalog/unified-catalog/unified-pricing-book.csv. Odoo cost: 0.00 USD.</t>
        </is>
      </c>
    </row>
    <row r="66">
      <c r="A66" s="8" t="inlineStr">
        <is>
          <t>FY2027-Q1</t>
        </is>
      </c>
      <c r="B66" s="8" t="inlineStr">
        <is>
          <t>CU-S-WORK</t>
        </is>
      </c>
      <c r="C66" s="8" t="inlineStr">
        <is>
          <t>ADD-ON | Sovereign Workspace Suite</t>
        </is>
      </c>
      <c r="D66" s="8" t="inlineStr">
        <is>
          <t>Ultimate</t>
        </is>
      </c>
      <c r="E66" s="8" t="inlineStr">
        <is>
          <t>Add-On</t>
        </is>
      </c>
      <c r="F66" s="8" t="inlineStr">
        <is>
          <t>Organization / year</t>
        </is>
      </c>
      <c r="G66" s="8" t="inlineStr">
        <is>
          <t>Annual</t>
        </is>
      </c>
      <c r="H66" s="9" t="n"/>
      <c r="I66" s="13" t="n">
        <v>266.81</v>
      </c>
      <c r="J66" s="8" t="inlineStr">
        <is>
          <t>USD</t>
        </is>
      </c>
      <c r="K66" s="17" t="inlineStr">
        <is>
          <t>Draft</t>
        </is>
      </c>
      <c r="L66" s="18" t="n">
        <v>46388</v>
      </c>
      <c r="M66" s="18" t="n">
        <v>46477</v>
      </c>
      <c r="N66" s="8" t="inlineStr">
        <is>
          <t>Imported from catalog/unified-catalog/unified-pricing-book.csv. Odoo cost: 0.00 USD.</t>
        </is>
      </c>
    </row>
    <row r="67">
      <c r="A67" s="8" t="inlineStr">
        <is>
          <t>FY2027-Q1</t>
        </is>
      </c>
      <c r="B67" s="8" t="inlineStr">
        <is>
          <t>CX-ADD-ULT-IMPL</t>
        </is>
      </c>
      <c r="C67" s="8" t="inlineStr">
        <is>
          <t>ULTIMATE | Implementation Services</t>
        </is>
      </c>
      <c r="D67" s="8" t="inlineStr">
        <is>
          <t>Ultimate</t>
        </is>
      </c>
      <c r="E67" s="8" t="inlineStr">
        <is>
          <t>Add-On</t>
        </is>
      </c>
      <c r="F67" s="8" t="inlineStr">
        <is>
          <t>Unit</t>
        </is>
      </c>
      <c r="G67" s="8" t="inlineStr">
        <is>
          <t>One-Time</t>
        </is>
      </c>
      <c r="H67" s="9" t="n"/>
      <c r="I67" s="13" t="n">
        <v>0.01</v>
      </c>
      <c r="J67" s="8" t="inlineStr">
        <is>
          <t>USD</t>
        </is>
      </c>
      <c r="K67" s="17" t="inlineStr">
        <is>
          <t>Draft</t>
        </is>
      </c>
      <c r="L67" s="18" t="n">
        <v>46388</v>
      </c>
      <c r="M67" s="18" t="n">
        <v>46477</v>
      </c>
      <c r="N67" s="8" t="inlineStr">
        <is>
          <t>Imported from catalog/unified-catalog/unified-pricing-book.csv. Price status: to_be_confirmed. Odoo cost: 0.00 USD.</t>
        </is>
      </c>
    </row>
    <row r="68">
      <c r="A68" s="8" t="inlineStr">
        <is>
          <t>FY2027-Q1</t>
        </is>
      </c>
      <c r="B68" s="8" t="inlineStr">
        <is>
          <t>CSP-BusinessX</t>
        </is>
      </c>
      <c r="C68" s="8" t="inlineStr">
        <is>
          <t>BUSINESS | Starter Pack</t>
        </is>
      </c>
      <c r="D68" s="8" t="inlineStr">
        <is>
          <t>Business</t>
        </is>
      </c>
      <c r="E68" s="8" t="inlineStr">
        <is>
          <t>Bundle</t>
        </is>
      </c>
      <c r="F68" s="8" t="inlineStr">
        <is>
          <t>Organization / year</t>
        </is>
      </c>
      <c r="G68" s="8" t="inlineStr">
        <is>
          <t>Annual</t>
        </is>
      </c>
      <c r="H68" s="9" t="n"/>
      <c r="I68" s="13" t="n">
        <v>264</v>
      </c>
      <c r="J68" s="8" t="inlineStr">
        <is>
          <t>USD</t>
        </is>
      </c>
      <c r="K68" s="17" t="inlineStr">
        <is>
          <t>Draft</t>
        </is>
      </c>
      <c r="L68" s="18" t="n">
        <v>46388</v>
      </c>
      <c r="M68" s="18" t="n">
        <v>46477</v>
      </c>
      <c r="N68" s="8" t="inlineStr">
        <is>
          <t>Imported from catalog/unified-catalog/unified-pricing-book.csv. Odoo cost: 0.00 USD.</t>
        </is>
      </c>
    </row>
    <row r="69">
      <c r="A69" s="8" t="inlineStr">
        <is>
          <t>FY2027-Q1</t>
        </is>
      </c>
      <c r="B69" s="8" t="inlineStr">
        <is>
          <t>CSP-ProX</t>
        </is>
      </c>
      <c r="C69" s="8" t="inlineStr">
        <is>
          <t>PRO | Starter Pack</t>
        </is>
      </c>
      <c r="D69" s="8" t="inlineStr">
        <is>
          <t>Pro</t>
        </is>
      </c>
      <c r="E69" s="8" t="inlineStr">
        <is>
          <t>Bundle</t>
        </is>
      </c>
      <c r="F69" s="8" t="inlineStr">
        <is>
          <t>Organization / year</t>
        </is>
      </c>
      <c r="G69" s="8" t="inlineStr">
        <is>
          <t>Annual</t>
        </is>
      </c>
      <c r="H69" s="9" t="n"/>
      <c r="I69" s="13" t="n">
        <v>204</v>
      </c>
      <c r="J69" s="8" t="inlineStr">
        <is>
          <t>USD</t>
        </is>
      </c>
      <c r="K69" s="17" t="inlineStr">
        <is>
          <t>Draft</t>
        </is>
      </c>
      <c r="L69" s="18" t="n">
        <v>46388</v>
      </c>
      <c r="M69" s="18" t="n">
        <v>46477</v>
      </c>
      <c r="N69" s="8" t="inlineStr">
        <is>
          <t>Imported from catalog/unified-catalog/unified-pricing-book.csv. Odoo cost: 0.00 USD.</t>
        </is>
      </c>
    </row>
    <row r="70">
      <c r="A70" s="8" t="inlineStr">
        <is>
          <t>FY2027-Q1</t>
        </is>
      </c>
      <c r="B70" s="8" t="inlineStr">
        <is>
          <t>CU-ADD-TEN</t>
        </is>
      </c>
      <c r="C70" s="8" t="inlineStr">
        <is>
          <t>ULTIMATE | Additional Tenant License</t>
        </is>
      </c>
      <c r="D70" s="8" t="inlineStr">
        <is>
          <t>Ultimate</t>
        </is>
      </c>
      <c r="E70" s="8" t="inlineStr">
        <is>
          <t>Server-Based Subscription</t>
        </is>
      </c>
      <c r="F70" s="8" t="inlineStr">
        <is>
          <t>Server / year</t>
        </is>
      </c>
      <c r="G70" s="8" t="inlineStr">
        <is>
          <t>Annual</t>
        </is>
      </c>
      <c r="H70" s="9" t="n"/>
      <c r="I70" s="13" t="n">
        <v>2500</v>
      </c>
      <c r="J70" s="8" t="inlineStr">
        <is>
          <t>USD</t>
        </is>
      </c>
      <c r="K70" s="17" t="inlineStr">
        <is>
          <t>Draft</t>
        </is>
      </c>
      <c r="L70" s="18" t="n">
        <v>46388</v>
      </c>
      <c r="M70" s="18" t="n">
        <v>46477</v>
      </c>
      <c r="N70" s="8" t="inlineStr">
        <is>
          <t>Imported from catalog/unified-catalog/unified-pricing-book.csv. Odoo cost: 0.00 USD.</t>
        </is>
      </c>
    </row>
    <row r="71">
      <c r="A71" s="8" t="inlineStr">
        <is>
          <t>FY2027-Q1</t>
        </is>
      </c>
      <c r="B71" s="8" t="inlineStr">
        <is>
          <t>CU-OEMMULTI</t>
        </is>
      </c>
      <c r="C71" s="8" t="inlineStr">
        <is>
          <t>ULTIMATE | Circularo OEM Multi Tenant Server</t>
        </is>
      </c>
      <c r="D71" s="8" t="inlineStr">
        <is>
          <t>Ultimate</t>
        </is>
      </c>
      <c r="E71" s="8" t="inlineStr">
        <is>
          <t>Server-Based Subscription</t>
        </is>
      </c>
      <c r="F71" s="8" t="inlineStr">
        <is>
          <t>Server / year</t>
        </is>
      </c>
      <c r="G71" s="8" t="inlineStr">
        <is>
          <t>Annual</t>
        </is>
      </c>
      <c r="H71" s="9" t="n"/>
      <c r="I71" s="13" t="n">
        <v>25000</v>
      </c>
      <c r="J71" s="8" t="inlineStr">
        <is>
          <t>USD</t>
        </is>
      </c>
      <c r="K71" s="17" t="inlineStr">
        <is>
          <t>Draft</t>
        </is>
      </c>
      <c r="L71" s="18" t="n">
        <v>46388</v>
      </c>
      <c r="M71" s="18" t="n">
        <v>46477</v>
      </c>
      <c r="N71" s="8" t="inlineStr">
        <is>
          <t>Imported from catalog/unified-catalog/unified-pricing-book.csv. Odoo cost: 0.00 USD.</t>
        </is>
      </c>
    </row>
    <row r="72">
      <c r="A72" s="8" t="inlineStr">
        <is>
          <t>FY2027-Q1</t>
        </is>
      </c>
      <c r="B72" s="8" t="inlineStr">
        <is>
          <t>CU-DMS</t>
        </is>
      </c>
      <c r="C72" s="8" t="inlineStr">
        <is>
          <t>ULTIMATE | DMS Server Subscription</t>
        </is>
      </c>
      <c r="D72" s="8" t="inlineStr">
        <is>
          <t>Ultimate</t>
        </is>
      </c>
      <c r="E72" s="8" t="inlineStr">
        <is>
          <t>Server-Based Subscription</t>
        </is>
      </c>
      <c r="F72" s="8" t="inlineStr">
        <is>
          <t>Server / year</t>
        </is>
      </c>
      <c r="G72" s="8" t="inlineStr">
        <is>
          <t>Annual</t>
        </is>
      </c>
      <c r="H72" s="9" t="n"/>
      <c r="I72" s="13" t="n">
        <v>15000</v>
      </c>
      <c r="J72" s="8" t="inlineStr">
        <is>
          <t>USD</t>
        </is>
      </c>
      <c r="K72" s="17" t="inlineStr">
        <is>
          <t>Draft</t>
        </is>
      </c>
      <c r="L72" s="18" t="n">
        <v>46388</v>
      </c>
      <c r="M72" s="18" t="n">
        <v>46477</v>
      </c>
      <c r="N72" s="8" t="inlineStr">
        <is>
          <t>Imported from catalog/unified-catalog/unified-pricing-book.csv. Odoo cost: 0.00 USD.</t>
        </is>
      </c>
    </row>
    <row r="73">
      <c r="A73" s="8" t="inlineStr">
        <is>
          <t>FY2027-Q1</t>
        </is>
      </c>
      <c r="B73" s="8" t="inlineStr">
        <is>
          <t>CU-DRMULTISRV</t>
        </is>
      </c>
      <c r="C73" s="8" t="inlineStr">
        <is>
          <t>ULTIMATE | DR Multi Tenant Server License</t>
        </is>
      </c>
      <c r="D73" s="8" t="inlineStr">
        <is>
          <t>Ultimate</t>
        </is>
      </c>
      <c r="E73" s="8" t="inlineStr">
        <is>
          <t>Server-Based Subscription</t>
        </is>
      </c>
      <c r="F73" s="8" t="inlineStr">
        <is>
          <t>Server / year</t>
        </is>
      </c>
      <c r="G73" s="8" t="inlineStr">
        <is>
          <t>Annual</t>
        </is>
      </c>
      <c r="H73" s="9" t="n"/>
      <c r="I73" s="13" t="n">
        <v>4500</v>
      </c>
      <c r="J73" s="8" t="inlineStr">
        <is>
          <t>USD</t>
        </is>
      </c>
      <c r="K73" s="17" t="inlineStr">
        <is>
          <t>Draft</t>
        </is>
      </c>
      <c r="L73" s="18" t="n">
        <v>46388</v>
      </c>
      <c r="M73" s="18" t="n">
        <v>46477</v>
      </c>
      <c r="N73" s="8" t="inlineStr">
        <is>
          <t>Imported from catalog/unified-catalog/unified-pricing-book.csv. Odoo cost: 0.00 USD.</t>
        </is>
      </c>
    </row>
    <row r="74">
      <c r="A74" s="8" t="inlineStr">
        <is>
          <t>FY2027-Q1</t>
        </is>
      </c>
      <c r="B74" s="8" t="inlineStr">
        <is>
          <t>CU-DRSINGSRV</t>
        </is>
      </c>
      <c r="C74" s="8" t="inlineStr">
        <is>
          <t>ULTIMATE | DR Single Tenant Server License</t>
        </is>
      </c>
      <c r="D74" s="8" t="inlineStr">
        <is>
          <t>Ultimate</t>
        </is>
      </c>
      <c r="E74" s="8" t="inlineStr">
        <is>
          <t>Server-Based Subscription</t>
        </is>
      </c>
      <c r="F74" s="8" t="inlineStr">
        <is>
          <t>Server / year</t>
        </is>
      </c>
      <c r="G74" s="8" t="inlineStr">
        <is>
          <t>Annual</t>
        </is>
      </c>
      <c r="H74" s="9" t="n"/>
      <c r="I74" s="13" t="n">
        <v>2225</v>
      </c>
      <c r="J74" s="8" t="inlineStr">
        <is>
          <t>USD</t>
        </is>
      </c>
      <c r="K74" s="17" t="inlineStr">
        <is>
          <t>Draft</t>
        </is>
      </c>
      <c r="L74" s="18" t="n">
        <v>46388</v>
      </c>
      <c r="M74" s="18" t="n">
        <v>46477</v>
      </c>
      <c r="N74" s="8" t="inlineStr">
        <is>
          <t>Imported from catalog/unified-catalog/unified-pricing-book.csv. Odoo cost: 0.00 USD.</t>
        </is>
      </c>
    </row>
    <row r="75">
      <c r="A75" s="8" t="inlineStr">
        <is>
          <t>FY2027-Q1</t>
        </is>
      </c>
      <c r="B75" s="8" t="inlineStr">
        <is>
          <t>CU-MULTISL</t>
        </is>
      </c>
      <c r="C75" s="8" t="inlineStr">
        <is>
          <t>ULTIMATE | Multitenant Server License Foundation Pack</t>
        </is>
      </c>
      <c r="D75" s="8" t="inlineStr">
        <is>
          <t>Ultimate</t>
        </is>
      </c>
      <c r="E75" s="8" t="inlineStr">
        <is>
          <t>Server-Based Subscription</t>
        </is>
      </c>
      <c r="F75" s="8" t="inlineStr">
        <is>
          <t>Server / year</t>
        </is>
      </c>
      <c r="G75" s="8" t="inlineStr">
        <is>
          <t>Annual</t>
        </is>
      </c>
      <c r="H75" s="9" t="n"/>
      <c r="I75" s="13" t="n">
        <v>11500</v>
      </c>
      <c r="J75" s="8" t="inlineStr">
        <is>
          <t>USD</t>
        </is>
      </c>
      <c r="K75" s="17" t="inlineStr">
        <is>
          <t>Draft</t>
        </is>
      </c>
      <c r="L75" s="18" t="n">
        <v>46388</v>
      </c>
      <c r="M75" s="18" t="n">
        <v>46477</v>
      </c>
      <c r="N75" s="8" t="inlineStr">
        <is>
          <t>Imported from catalog/unified-catalog/unified-pricing-book.csv. Odoo cost: 0.00 USD.</t>
        </is>
      </c>
    </row>
    <row r="76">
      <c r="A76" s="8" t="inlineStr">
        <is>
          <t>FY2027-Q1</t>
        </is>
      </c>
      <c r="B76" s="8" t="inlineStr">
        <is>
          <t>CU-SINGLESL</t>
        </is>
      </c>
      <c r="C76" s="8" t="inlineStr">
        <is>
          <t>ULTIMATE | Single Tenant Server License</t>
        </is>
      </c>
      <c r="D76" s="8" t="inlineStr">
        <is>
          <t>Ultimate</t>
        </is>
      </c>
      <c r="E76" s="8" t="inlineStr">
        <is>
          <t>Server-Based Subscription</t>
        </is>
      </c>
      <c r="F76" s="8" t="inlineStr">
        <is>
          <t>Server / year</t>
        </is>
      </c>
      <c r="G76" s="8" t="inlineStr">
        <is>
          <t>Annual</t>
        </is>
      </c>
      <c r="H76" s="9" t="n"/>
      <c r="I76" s="13" t="n">
        <v>8650</v>
      </c>
      <c r="J76" s="8" t="inlineStr">
        <is>
          <t>USD</t>
        </is>
      </c>
      <c r="K76" s="17" t="inlineStr">
        <is>
          <t>Draft</t>
        </is>
      </c>
      <c r="L76" s="18" t="n">
        <v>46388</v>
      </c>
      <c r="M76" s="18" t="n">
        <v>46477</v>
      </c>
      <c r="N76" s="8" t="inlineStr">
        <is>
          <t>Imported from catalog/unified-catalog/unified-pricing-book.csv. Odoo cost: 0.00 USD.</t>
        </is>
      </c>
    </row>
    <row r="77">
      <c r="A77" s="8" t="inlineStr">
        <is>
          <t>FY2027-Q1</t>
        </is>
      </c>
      <c r="B77" s="8" t="inlineStr">
        <is>
          <t>CU-ESIG</t>
        </is>
      </c>
      <c r="C77" s="8" t="inlineStr">
        <is>
          <t>ULTIMATE | eSignature Server Subscription</t>
        </is>
      </c>
      <c r="D77" s="8" t="inlineStr">
        <is>
          <t>Ultimate</t>
        </is>
      </c>
      <c r="E77" s="8" t="inlineStr">
        <is>
          <t>Server-Based Subscription</t>
        </is>
      </c>
      <c r="F77" s="8" t="inlineStr">
        <is>
          <t>Server / year</t>
        </is>
      </c>
      <c r="G77" s="8" t="inlineStr">
        <is>
          <t>Annual</t>
        </is>
      </c>
      <c r="H77" s="9" t="n"/>
      <c r="I77" s="13" t="n">
        <v>15000</v>
      </c>
      <c r="J77" s="8" t="inlineStr">
        <is>
          <t>USD</t>
        </is>
      </c>
      <c r="K77" s="17" t="inlineStr">
        <is>
          <t>Draft</t>
        </is>
      </c>
      <c r="L77" s="18" t="n">
        <v>46388</v>
      </c>
      <c r="M77" s="18" t="n">
        <v>46477</v>
      </c>
      <c r="N77" s="8" t="inlineStr">
        <is>
          <t>Imported from catalog/unified-catalog/unified-pricing-book.csv. Odoo cost: 0.00 USD.</t>
        </is>
      </c>
    </row>
    <row r="78">
      <c r="A78" s="8" t="inlineStr">
        <is>
          <t>FY2027-Q1</t>
        </is>
      </c>
      <c r="B78" s="8" t="inlineStr">
        <is>
          <t>CX-PL5x8</t>
        </is>
      </c>
      <c r="C78" s="8" t="inlineStr">
        <is>
          <t>SUPPORT | Plus Support Plan 5x8</t>
        </is>
      </c>
      <c r="D78" s="8" t="inlineStr">
        <is>
          <t>Business; Enterprise; Ultimate</t>
        </is>
      </c>
      <c r="E78" s="8" t="inlineStr">
        <is>
          <t>Support</t>
        </is>
      </c>
      <c r="F78" s="8" t="inlineStr">
        <is>
          <t>Support entitlement / year</t>
        </is>
      </c>
      <c r="G78" s="8" t="inlineStr">
        <is>
          <t>Annual</t>
        </is>
      </c>
      <c r="H78" s="9" t="n"/>
      <c r="I78" s="13" t="n">
        <v>1</v>
      </c>
      <c r="J78" s="8" t="inlineStr">
        <is>
          <t>USD</t>
        </is>
      </c>
      <c r="K78" s="17" t="inlineStr">
        <is>
          <t>Draft</t>
        </is>
      </c>
      <c r="L78" s="18" t="n">
        <v>46388</v>
      </c>
      <c r="M78" s="18" t="n">
        <v>46477</v>
      </c>
      <c r="N78" s="8" t="inlineStr">
        <is>
          <t>Imported from catalog/unified-catalog/unified-pricing-book.csv. Odoo cost: 0.00 USD.</t>
        </is>
      </c>
    </row>
    <row r="79">
      <c r="A79" s="8" t="inlineStr">
        <is>
          <t>FY2027-Q1</t>
        </is>
      </c>
      <c r="B79" s="8" t="inlineStr">
        <is>
          <t>CX-PL7x12</t>
        </is>
      </c>
      <c r="C79" s="8" t="inlineStr">
        <is>
          <t>SUPPORT | Plus Support Plan 7x12</t>
        </is>
      </c>
      <c r="D79" s="8" t="inlineStr">
        <is>
          <t>Business; Enterprise; Ultimate</t>
        </is>
      </c>
      <c r="E79" s="8" t="inlineStr">
        <is>
          <t>Support</t>
        </is>
      </c>
      <c r="F79" s="8" t="inlineStr">
        <is>
          <t>Support entitlement / year</t>
        </is>
      </c>
      <c r="G79" s="8" t="inlineStr">
        <is>
          <t>Annual</t>
        </is>
      </c>
      <c r="H79" s="9" t="n"/>
      <c r="I79" s="13" t="n">
        <v>1</v>
      </c>
      <c r="J79" s="8" t="inlineStr">
        <is>
          <t>USD</t>
        </is>
      </c>
      <c r="K79" s="17" t="inlineStr">
        <is>
          <t>Draft</t>
        </is>
      </c>
      <c r="L79" s="18" t="n">
        <v>46388</v>
      </c>
      <c r="M79" s="18" t="n">
        <v>46477</v>
      </c>
      <c r="N79" s="8" t="inlineStr">
        <is>
          <t>Imported from catalog/unified-catalog/unified-pricing-book.csv. Odoo cost: 0.00 USD.</t>
        </is>
      </c>
    </row>
    <row r="80">
      <c r="A80" s="8" t="inlineStr">
        <is>
          <t>FY2027-Q1</t>
        </is>
      </c>
      <c r="B80" s="8" t="inlineStr">
        <is>
          <t>CX-PL7x24</t>
        </is>
      </c>
      <c r="C80" s="8" t="inlineStr">
        <is>
          <t>SUPPORT | Plus Support Plan 7x24</t>
        </is>
      </c>
      <c r="D80" s="8" t="inlineStr">
        <is>
          <t>Business; Enterprise; Ultimate</t>
        </is>
      </c>
      <c r="E80" s="8" t="inlineStr">
        <is>
          <t>Support</t>
        </is>
      </c>
      <c r="F80" s="8" t="inlineStr">
        <is>
          <t>Support entitlement / year</t>
        </is>
      </c>
      <c r="G80" s="8" t="inlineStr">
        <is>
          <t>Annual</t>
        </is>
      </c>
      <c r="H80" s="9" t="n"/>
      <c r="I80" s="13" t="n">
        <v>1</v>
      </c>
      <c r="J80" s="8" t="inlineStr">
        <is>
          <t>USD</t>
        </is>
      </c>
      <c r="K80" s="17" t="inlineStr">
        <is>
          <t>Draft</t>
        </is>
      </c>
      <c r="L80" s="18" t="n">
        <v>46388</v>
      </c>
      <c r="M80" s="18" t="n">
        <v>46477</v>
      </c>
      <c r="N80" s="8" t="inlineStr">
        <is>
          <t>Imported from catalog/unified-catalog/unified-pricing-book.csv. Odoo cost: 0.00 USD.</t>
        </is>
      </c>
    </row>
    <row r="81">
      <c r="A81" s="8" t="inlineStr">
        <is>
          <t>FY2027-Q1</t>
        </is>
      </c>
      <c r="B81" s="8" t="inlineStr">
        <is>
          <t>CX-PR5x12</t>
        </is>
      </c>
      <c r="C81" s="8" t="inlineStr">
        <is>
          <t>SUPPORT | Premium Support Plan 5x12</t>
        </is>
      </c>
      <c r="D81" s="8" t="inlineStr">
        <is>
          <t>Business; Enterprise; Ultimate</t>
        </is>
      </c>
      <c r="E81" s="8" t="inlineStr">
        <is>
          <t>Support</t>
        </is>
      </c>
      <c r="F81" s="8" t="inlineStr">
        <is>
          <t>Support entitlement / year</t>
        </is>
      </c>
      <c r="G81" s="8" t="inlineStr">
        <is>
          <t>Annual</t>
        </is>
      </c>
      <c r="H81" s="9" t="n"/>
      <c r="I81" s="13" t="n">
        <v>1</v>
      </c>
      <c r="J81" s="8" t="inlineStr">
        <is>
          <t>USD</t>
        </is>
      </c>
      <c r="K81" s="17" t="inlineStr">
        <is>
          <t>Draft</t>
        </is>
      </c>
      <c r="L81" s="18" t="n">
        <v>46388</v>
      </c>
      <c r="M81" s="18" t="n">
        <v>46477</v>
      </c>
      <c r="N81" s="8" t="inlineStr">
        <is>
          <t>Imported from catalog/unified-catalog/unified-pricing-book.csv. Odoo cost: 0.00 USD.</t>
        </is>
      </c>
    </row>
    <row r="82">
      <c r="A82" s="8" t="inlineStr">
        <is>
          <t>FY2027-Q1</t>
        </is>
      </c>
      <c r="B82" s="8" t="inlineStr">
        <is>
          <t>CX-PR5x8</t>
        </is>
      </c>
      <c r="C82" s="8" t="inlineStr">
        <is>
          <t>SUPPORT | Premium Support Plan 5x8</t>
        </is>
      </c>
      <c r="D82" s="8" t="inlineStr">
        <is>
          <t>Business; Enterprise; Ultimate</t>
        </is>
      </c>
      <c r="E82" s="8" t="inlineStr">
        <is>
          <t>Support</t>
        </is>
      </c>
      <c r="F82" s="8" t="inlineStr">
        <is>
          <t>Support entitlement / year</t>
        </is>
      </c>
      <c r="G82" s="8" t="inlineStr">
        <is>
          <t>Annual</t>
        </is>
      </c>
      <c r="H82" s="9" t="n"/>
      <c r="I82" s="13" t="n">
        <v>1</v>
      </c>
      <c r="J82" s="8" t="inlineStr">
        <is>
          <t>USD</t>
        </is>
      </c>
      <c r="K82" s="17" t="inlineStr">
        <is>
          <t>Draft</t>
        </is>
      </c>
      <c r="L82" s="18" t="n">
        <v>46388</v>
      </c>
      <c r="M82" s="18" t="n">
        <v>46477</v>
      </c>
      <c r="N82" s="8" t="inlineStr">
        <is>
          <t>Imported from catalog/unified-catalog/unified-pricing-book.csv. Odoo cost: 0.00 USD.</t>
        </is>
      </c>
    </row>
    <row r="83">
      <c r="A83" s="8" t="inlineStr">
        <is>
          <t>FY2027-Q1</t>
        </is>
      </c>
      <c r="B83" s="8" t="inlineStr">
        <is>
          <t>CX-PR7x12</t>
        </is>
      </c>
      <c r="C83" s="8" t="inlineStr">
        <is>
          <t>SUPPORT | Premium Support Plan 7x12</t>
        </is>
      </c>
      <c r="D83" s="8" t="inlineStr">
        <is>
          <t>Business; Enterprise; Ultimate</t>
        </is>
      </c>
      <c r="E83" s="8" t="inlineStr">
        <is>
          <t>Support</t>
        </is>
      </c>
      <c r="F83" s="8" t="inlineStr">
        <is>
          <t>Support entitlement / year</t>
        </is>
      </c>
      <c r="G83" s="8" t="inlineStr">
        <is>
          <t>Annual</t>
        </is>
      </c>
      <c r="H83" s="9" t="n"/>
      <c r="I83" s="13" t="n">
        <v>1</v>
      </c>
      <c r="J83" s="8" t="inlineStr">
        <is>
          <t>USD</t>
        </is>
      </c>
      <c r="K83" s="17" t="inlineStr">
        <is>
          <t>Draft</t>
        </is>
      </c>
      <c r="L83" s="18" t="n">
        <v>46388</v>
      </c>
      <c r="M83" s="18" t="n">
        <v>46477</v>
      </c>
      <c r="N83" s="8" t="inlineStr">
        <is>
          <t>Imported from catalog/unified-catalog/unified-pricing-book.csv. Odoo cost: 0.00 USD.</t>
        </is>
      </c>
    </row>
    <row r="84">
      <c r="A84" s="8" t="inlineStr">
        <is>
          <t>FY2027-Q1</t>
        </is>
      </c>
      <c r="B84" s="8" t="inlineStr">
        <is>
          <t>CX-PR7x24</t>
        </is>
      </c>
      <c r="C84" s="8" t="inlineStr">
        <is>
          <t>SUPPORT | Premium Support Plan 7x24</t>
        </is>
      </c>
      <c r="D84" s="8" t="inlineStr">
        <is>
          <t>Business; Enterprise; Ultimate</t>
        </is>
      </c>
      <c r="E84" s="8" t="inlineStr">
        <is>
          <t>Support</t>
        </is>
      </c>
      <c r="F84" s="8" t="inlineStr">
        <is>
          <t>Support entitlement / year</t>
        </is>
      </c>
      <c r="G84" s="8" t="inlineStr">
        <is>
          <t>Annual</t>
        </is>
      </c>
      <c r="H84" s="9" t="n"/>
      <c r="I84" s="13" t="n">
        <v>1</v>
      </c>
      <c r="J84" s="8" t="inlineStr">
        <is>
          <t>USD</t>
        </is>
      </c>
      <c r="K84" s="17" t="inlineStr">
        <is>
          <t>Draft</t>
        </is>
      </c>
      <c r="L84" s="18" t="n">
        <v>46388</v>
      </c>
      <c r="M84" s="18" t="n">
        <v>46477</v>
      </c>
      <c r="N84" s="8" t="inlineStr">
        <is>
          <t>Imported from catalog/unified-catalog/unified-pricing-book.csv. Odoo cost: 0.00 USD.</t>
        </is>
      </c>
    </row>
    <row r="85">
      <c r="A85" s="17" t="inlineStr">
        <is>
          <t>FY2027-Q1</t>
        </is>
      </c>
      <c r="B85" s="17" t="inlineStr">
        <is>
          <t>CX-EST5x8</t>
        </is>
      </c>
      <c r="C85" s="17" t="inlineStr">
        <is>
          <t>SUPPORT | Essential Support Plan 5x8</t>
        </is>
      </c>
      <c r="D85" s="17" t="inlineStr">
        <is>
          <t>Start; Pro; Business; Enterprise</t>
        </is>
      </c>
      <c r="E85" s="17" t="inlineStr">
        <is>
          <t>Support</t>
        </is>
      </c>
      <c r="F85" s="17" t="inlineStr">
        <is>
          <t>Support entitlement / year</t>
        </is>
      </c>
      <c r="G85" s="17" t="inlineStr">
        <is>
          <t>Annual</t>
        </is>
      </c>
      <c r="H85" s="19" t="n"/>
      <c r="I85" s="13" t="n">
        <v>0</v>
      </c>
      <c r="J85" s="17" t="inlineStr">
        <is>
          <t>USD</t>
        </is>
      </c>
      <c r="K85" s="17" t="inlineStr">
        <is>
          <t>Draft</t>
        </is>
      </c>
      <c r="L85" s="18" t="n">
        <v>46388</v>
      </c>
      <c r="M85" s="18" t="n">
        <v>46477</v>
      </c>
      <c r="N85" s="17" t="inlineStr">
        <is>
          <t>Imported from catalog/unified-catalog/unified-pricing-book.csv. Price status: to_be_confirmed. Odoo cost: 0.00 USD. MSRP requires confirmation.</t>
        </is>
      </c>
    </row>
    <row r="86">
      <c r="A86" s="8" t="inlineStr">
        <is>
          <t>FY2027-Q1</t>
        </is>
      </c>
      <c r="B86" s="8" t="inlineStr">
        <is>
          <t>CX-ST5x12</t>
        </is>
      </c>
      <c r="C86" s="8" t="inlineStr">
        <is>
          <t>SUPPORT | Standard Support Plan 5x12</t>
        </is>
      </c>
      <c r="D86" s="8" t="inlineStr">
        <is>
          <t>Start; Pro; Business; Enterprise; Ultimate</t>
        </is>
      </c>
      <c r="E86" s="8" t="inlineStr">
        <is>
          <t>Support</t>
        </is>
      </c>
      <c r="F86" s="8" t="inlineStr">
        <is>
          <t>Support entitlement / year</t>
        </is>
      </c>
      <c r="G86" s="8" t="inlineStr">
        <is>
          <t>Annual</t>
        </is>
      </c>
      <c r="H86" s="9" t="n"/>
      <c r="I86" s="13" t="n">
        <v>1</v>
      </c>
      <c r="J86" s="8" t="inlineStr">
        <is>
          <t>USD</t>
        </is>
      </c>
      <c r="K86" s="17" t="inlineStr">
        <is>
          <t>Draft</t>
        </is>
      </c>
      <c r="L86" s="18" t="n">
        <v>46388</v>
      </c>
      <c r="M86" s="18" t="n">
        <v>46477</v>
      </c>
      <c r="N86" s="8" t="inlineStr">
        <is>
          <t>Imported from catalog/unified-catalog/unified-pricing-book.csv. Odoo cost: 0.00 USD.</t>
        </is>
      </c>
    </row>
    <row r="87">
      <c r="A87" s="8" t="inlineStr">
        <is>
          <t>FY2027-Q1</t>
        </is>
      </c>
      <c r="B87" s="8" t="inlineStr">
        <is>
          <t>CX-ST5x8</t>
        </is>
      </c>
      <c r="C87" s="8" t="inlineStr">
        <is>
          <t>SUPPORT | Standard Support Plan 5x8</t>
        </is>
      </c>
      <c r="D87" s="8" t="inlineStr">
        <is>
          <t>Start; Pro; Business; Enterprise; Ultimate</t>
        </is>
      </c>
      <c r="E87" s="8" t="inlineStr">
        <is>
          <t>Support</t>
        </is>
      </c>
      <c r="F87" s="8" t="inlineStr">
        <is>
          <t>Support entitlement / year</t>
        </is>
      </c>
      <c r="G87" s="8" t="inlineStr">
        <is>
          <t>Annual</t>
        </is>
      </c>
      <c r="H87" s="9" t="n"/>
      <c r="I87" s="13" t="n">
        <v>1</v>
      </c>
      <c r="J87" s="8" t="inlineStr">
        <is>
          <t>USD</t>
        </is>
      </c>
      <c r="K87" s="17" t="inlineStr">
        <is>
          <t>Draft</t>
        </is>
      </c>
      <c r="L87" s="18" t="n">
        <v>46388</v>
      </c>
      <c r="M87" s="18" t="n">
        <v>46477</v>
      </c>
      <c r="N87" s="8" t="inlineStr">
        <is>
          <t>Imported from catalog/unified-catalog/unified-pricing-book.csv. Odoo cost: 0.00 USD.</t>
        </is>
      </c>
    </row>
    <row r="88">
      <c r="A88" s="8" t="inlineStr">
        <is>
          <t>FY2027-Q1</t>
        </is>
      </c>
      <c r="B88" s="8" t="inlineStr">
        <is>
          <t>CX-ST7x12</t>
        </is>
      </c>
      <c r="C88" s="8" t="inlineStr">
        <is>
          <t>SUPPORT | Standard Support Plan 7x12</t>
        </is>
      </c>
      <c r="D88" s="8" t="inlineStr">
        <is>
          <t>Start; Pro; Business; Enterprise; Ultimate</t>
        </is>
      </c>
      <c r="E88" s="8" t="inlineStr">
        <is>
          <t>Support</t>
        </is>
      </c>
      <c r="F88" s="8" t="inlineStr">
        <is>
          <t>Support entitlement / year</t>
        </is>
      </c>
      <c r="G88" s="8" t="inlineStr">
        <is>
          <t>Annual</t>
        </is>
      </c>
      <c r="H88" s="9" t="n"/>
      <c r="I88" s="13" t="n">
        <v>1</v>
      </c>
      <c r="J88" s="8" t="inlineStr">
        <is>
          <t>USD</t>
        </is>
      </c>
      <c r="K88" s="17" t="inlineStr">
        <is>
          <t>Draft</t>
        </is>
      </c>
      <c r="L88" s="18" t="n">
        <v>46388</v>
      </c>
      <c r="M88" s="18" t="n">
        <v>46477</v>
      </c>
      <c r="N88" s="8" t="inlineStr">
        <is>
          <t>Imported from catalog/unified-catalog/unified-pricing-book.csv. Odoo cost: 0.00 USD.</t>
        </is>
      </c>
    </row>
    <row r="89">
      <c r="A89" s="8" t="inlineStr">
        <is>
          <t>FY2027-Q1</t>
        </is>
      </c>
      <c r="B89" s="8" t="inlineStr">
        <is>
          <t>CX-ST7x24</t>
        </is>
      </c>
      <c r="C89" s="8" t="inlineStr">
        <is>
          <t>SUPPORT | Standard Support Plan 7x24</t>
        </is>
      </c>
      <c r="D89" s="8" t="inlineStr">
        <is>
          <t>Start; Pro; Business; Enterprise; Ultimate</t>
        </is>
      </c>
      <c r="E89" s="8" t="inlineStr">
        <is>
          <t>Support</t>
        </is>
      </c>
      <c r="F89" s="8" t="inlineStr">
        <is>
          <t>Support entitlement / year</t>
        </is>
      </c>
      <c r="G89" s="8" t="inlineStr">
        <is>
          <t>Annual</t>
        </is>
      </c>
      <c r="H89" s="9" t="n"/>
      <c r="I89" s="13" t="n">
        <v>1</v>
      </c>
      <c r="J89" s="8" t="inlineStr">
        <is>
          <t>USD</t>
        </is>
      </c>
      <c r="K89" s="17" t="inlineStr">
        <is>
          <t>Draft</t>
        </is>
      </c>
      <c r="L89" s="18" t="n">
        <v>46388</v>
      </c>
      <c r="M89" s="18" t="n">
        <v>46477</v>
      </c>
      <c r="N89" s="8" t="inlineStr">
        <is>
          <t>Imported from catalog/unified-catalog/unified-pricing-book.csv. Odoo cost: 0.00 USD.</t>
        </is>
      </c>
    </row>
    <row r="90">
      <c r="A90" s="8" t="inlineStr">
        <is>
          <t>FY2027-Q1</t>
        </is>
      </c>
      <c r="B90" s="8" t="inlineStr">
        <is>
          <t>CX-ADD-HSM-SUPPORT</t>
        </is>
      </c>
      <c r="C90" s="8" t="inlineStr">
        <is>
          <t>ADD-ON | HSM Support &amp; Maintenance</t>
        </is>
      </c>
      <c r="D90" s="8" t="inlineStr">
        <is>
          <t>Ultimate</t>
        </is>
      </c>
      <c r="E90" s="8" t="inlineStr">
        <is>
          <t>Support</t>
        </is>
      </c>
      <c r="F90" s="8" t="inlineStr">
        <is>
          <t>Support entitlement / year</t>
        </is>
      </c>
      <c r="G90" s="8" t="inlineStr">
        <is>
          <t>Annual</t>
        </is>
      </c>
      <c r="H90" s="9" t="n"/>
      <c r="I90" s="13" t="n">
        <v>3732.6</v>
      </c>
      <c r="J90" s="8" t="inlineStr">
        <is>
          <t>USD</t>
        </is>
      </c>
      <c r="K90" s="17" t="inlineStr">
        <is>
          <t>Draft</t>
        </is>
      </c>
      <c r="L90" s="18" t="n">
        <v>46388</v>
      </c>
      <c r="M90" s="18" t="n">
        <v>46477</v>
      </c>
      <c r="N90" s="8" t="inlineStr">
        <is>
          <t>Imported from catalog/unified-catalog/unified-pricing-book.csv. Odoo cost: 3200.00 USD.</t>
        </is>
      </c>
    </row>
    <row r="91">
      <c r="A91" s="8" t="inlineStr">
        <is>
          <t>FY2027-Q1</t>
        </is>
      </c>
      <c r="B91" s="8" t="inlineStr">
        <is>
          <t>CX-ADD-SWM</t>
        </is>
      </c>
      <c r="C91" s="8" t="inlineStr">
        <is>
          <t>Annual SW Maintenance</t>
        </is>
      </c>
      <c r="D91" s="8" t="inlineStr">
        <is>
          <t>Ultimate</t>
        </is>
      </c>
      <c r="E91" s="8" t="inlineStr">
        <is>
          <t>Support</t>
        </is>
      </c>
      <c r="F91" s="8" t="inlineStr">
        <is>
          <t>Support entitlement / year</t>
        </is>
      </c>
      <c r="G91" s="8" t="inlineStr">
        <is>
          <t>Annual</t>
        </is>
      </c>
      <c r="H91" s="9" t="n"/>
      <c r="I91" s="13" t="n">
        <v>0.01</v>
      </c>
      <c r="J91" s="8" t="inlineStr">
        <is>
          <t>USD</t>
        </is>
      </c>
      <c r="K91" s="17" t="inlineStr">
        <is>
          <t>Draft</t>
        </is>
      </c>
      <c r="L91" s="18" t="n">
        <v>46388</v>
      </c>
      <c r="M91" s="18" t="n">
        <v>46477</v>
      </c>
      <c r="N91" s="8" t="inlineStr">
        <is>
          <t>Imported from catalog/unified-catalog/unified-pricing-book.csv. Price status: to_be_confirmed. Odoo cost: 0.00 USD.</t>
        </is>
      </c>
    </row>
    <row r="92">
      <c r="A92" s="8" t="inlineStr">
        <is>
          <t>FY2027-Q1</t>
        </is>
      </c>
      <c r="B92" s="8" t="inlineStr">
        <is>
          <t>CU-PL7x12</t>
        </is>
      </c>
      <c r="C92" s="8" t="inlineStr">
        <is>
          <t>ULTIMATE | Plus Support Plan</t>
        </is>
      </c>
      <c r="D92" s="8" t="inlineStr">
        <is>
          <t>Ultimate</t>
        </is>
      </c>
      <c r="E92" s="8" t="inlineStr">
        <is>
          <t>Support</t>
        </is>
      </c>
      <c r="F92" s="8" t="inlineStr">
        <is>
          <t>Support entitlement / year</t>
        </is>
      </c>
      <c r="G92" s="8" t="inlineStr">
        <is>
          <t>Annual</t>
        </is>
      </c>
      <c r="H92" s="9" t="n"/>
      <c r="I92" s="13" t="n">
        <v>1</v>
      </c>
      <c r="J92" s="8" t="inlineStr">
        <is>
          <t>USD</t>
        </is>
      </c>
      <c r="K92" s="17" t="inlineStr">
        <is>
          <t>Draft</t>
        </is>
      </c>
      <c r="L92" s="18" t="n">
        <v>46388</v>
      </c>
      <c r="M92" s="18" t="n">
        <v>46477</v>
      </c>
      <c r="N92" s="8" t="inlineStr">
        <is>
          <t>Imported from catalog/unified-catalog/unified-pricing-book.csv. Odoo cost: 0.00 USD.</t>
        </is>
      </c>
    </row>
    <row r="93">
      <c r="A93" s="8" t="inlineStr">
        <is>
          <t>FY2027-Q1</t>
        </is>
      </c>
      <c r="B93" s="8" t="inlineStr">
        <is>
          <t>CU-PL7x24</t>
        </is>
      </c>
      <c r="C93" s="8" t="inlineStr">
        <is>
          <t>ULTIMATE | Premium Support Plan</t>
        </is>
      </c>
      <c r="D93" s="8" t="inlineStr">
        <is>
          <t>Ultimate</t>
        </is>
      </c>
      <c r="E93" s="8" t="inlineStr">
        <is>
          <t>Support</t>
        </is>
      </c>
      <c r="F93" s="8" t="inlineStr">
        <is>
          <t>Support entitlement / year</t>
        </is>
      </c>
      <c r="G93" s="8" t="inlineStr">
        <is>
          <t>Annual</t>
        </is>
      </c>
      <c r="H93" s="9" t="n"/>
      <c r="I93" s="13" t="n">
        <v>1</v>
      </c>
      <c r="J93" s="8" t="inlineStr">
        <is>
          <t>USD</t>
        </is>
      </c>
      <c r="K93" s="17" t="inlineStr">
        <is>
          <t>Draft</t>
        </is>
      </c>
      <c r="L93" s="18" t="n">
        <v>46388</v>
      </c>
      <c r="M93" s="18" t="n">
        <v>46477</v>
      </c>
      <c r="N93" s="8" t="inlineStr">
        <is>
          <t>Imported from catalog/unified-catalog/unified-pricing-book.csv. Odoo cost: 0.00 USD.</t>
        </is>
      </c>
    </row>
    <row r="94">
      <c r="A94" s="8" t="inlineStr">
        <is>
          <t>FY2027-Q1</t>
        </is>
      </c>
      <c r="B94" s="8" t="inlineStr">
        <is>
          <t>CU-PL5x8</t>
        </is>
      </c>
      <c r="C94" s="8" t="inlineStr">
        <is>
          <t>ULTIMATE | Standard Support Plan</t>
        </is>
      </c>
      <c r="D94" s="8" t="inlineStr">
        <is>
          <t>Ultimate</t>
        </is>
      </c>
      <c r="E94" s="8" t="inlineStr">
        <is>
          <t>Support</t>
        </is>
      </c>
      <c r="F94" s="8" t="inlineStr">
        <is>
          <t>Support entitlement / year</t>
        </is>
      </c>
      <c r="G94" s="8" t="inlineStr">
        <is>
          <t>Annual</t>
        </is>
      </c>
      <c r="H94" s="9" t="n"/>
      <c r="I94" s="13" t="n">
        <v>1</v>
      </c>
      <c r="J94" s="8" t="inlineStr">
        <is>
          <t>USD</t>
        </is>
      </c>
      <c r="K94" s="17" t="inlineStr">
        <is>
          <t>Draft</t>
        </is>
      </c>
      <c r="L94" s="18" t="n">
        <v>46388</v>
      </c>
      <c r="M94" s="18" t="n">
        <v>46477</v>
      </c>
      <c r="N94" s="8" t="inlineStr">
        <is>
          <t>Imported from catalog/unified-catalog/unified-pricing-book.csv. Odoo cost: 0.00 USD.</t>
        </is>
      </c>
    </row>
    <row r="95">
      <c r="A95" s="8" t="inlineStr">
        <is>
          <t>FY2027-Q1</t>
        </is>
      </c>
      <c r="B95" s="8" t="inlineStr">
        <is>
          <t>CB-ESIGN-UI-10</t>
        </is>
      </c>
      <c r="C95" s="8" t="inlineStr">
        <is>
          <t>eSign Transaction (10 Users)</t>
        </is>
      </c>
      <c r="D95" s="8" t="inlineStr">
        <is>
          <t>Business</t>
        </is>
      </c>
      <c r="E95" s="8" t="inlineStr">
        <is>
          <t>Transaction-Based Subscription</t>
        </is>
      </c>
      <c r="F95" s="8" t="inlineStr">
        <is>
          <t>Transaction</t>
        </is>
      </c>
      <c r="G95" s="8" t="inlineStr">
        <is>
          <t>Annual</t>
        </is>
      </c>
      <c r="H95" s="9" t="n"/>
      <c r="I95" s="13" t="n">
        <v>1.64</v>
      </c>
      <c r="J95" s="8" t="inlineStr">
        <is>
          <t>USD</t>
        </is>
      </c>
      <c r="K95" s="17" t="inlineStr">
        <is>
          <t>Draft</t>
        </is>
      </c>
      <c r="L95" s="18" t="n">
        <v>46388</v>
      </c>
      <c r="M95" s="18" t="n">
        <v>46477</v>
      </c>
      <c r="N95" s="8" t="inlineStr">
        <is>
          <t>Imported from catalog/unified-catalog/unified-pricing-book.csv. Odoo cost: 0.00 USD.</t>
        </is>
      </c>
    </row>
    <row r="96">
      <c r="A96" s="8" t="inlineStr">
        <is>
          <t>FY2027-Q1</t>
        </is>
      </c>
      <c r="B96" s="8" t="inlineStr">
        <is>
          <t>CB-ESIGN-UI-25</t>
        </is>
      </c>
      <c r="C96" s="8" t="inlineStr">
        <is>
          <t>eSign Transaction (25 Users)</t>
        </is>
      </c>
      <c r="D96" s="8" t="inlineStr">
        <is>
          <t>Business</t>
        </is>
      </c>
      <c r="E96" s="8" t="inlineStr">
        <is>
          <t>Transaction-Based Subscription</t>
        </is>
      </c>
      <c r="F96" s="8" t="inlineStr">
        <is>
          <t>Transaction</t>
        </is>
      </c>
      <c r="G96" s="8" t="inlineStr">
        <is>
          <t>Annual</t>
        </is>
      </c>
      <c r="H96" s="9" t="n"/>
      <c r="I96" s="13" t="n">
        <v>1.94</v>
      </c>
      <c r="J96" s="8" t="inlineStr">
        <is>
          <t>USD</t>
        </is>
      </c>
      <c r="K96" s="17" t="inlineStr">
        <is>
          <t>Draft</t>
        </is>
      </c>
      <c r="L96" s="18" t="n">
        <v>46388</v>
      </c>
      <c r="M96" s="18" t="n">
        <v>46477</v>
      </c>
      <c r="N96" s="8" t="inlineStr">
        <is>
          <t>Imported from catalog/unified-catalog/unified-pricing-book.csv. Odoo cost: 0.00 USD.</t>
        </is>
      </c>
    </row>
    <row r="97">
      <c r="A97" s="8" t="inlineStr">
        <is>
          <t>FY2027-Q1</t>
        </is>
      </c>
      <c r="B97" s="8" t="inlineStr">
        <is>
          <t>CB-ESIGN-UI-50</t>
        </is>
      </c>
      <c r="C97" s="8" t="inlineStr">
        <is>
          <t>eSign Transaction (50 Users)</t>
        </is>
      </c>
      <c r="D97" s="8" t="inlineStr">
        <is>
          <t>Business</t>
        </is>
      </c>
      <c r="E97" s="8" t="inlineStr">
        <is>
          <t>Transaction-Based Subscription</t>
        </is>
      </c>
      <c r="F97" s="8" t="inlineStr">
        <is>
          <t>Transaction</t>
        </is>
      </c>
      <c r="G97" s="8" t="inlineStr">
        <is>
          <t>Annual</t>
        </is>
      </c>
      <c r="H97" s="9" t="n"/>
      <c r="I97" s="13" t="n">
        <v>2.39</v>
      </c>
      <c r="J97" s="8" t="inlineStr">
        <is>
          <t>USD</t>
        </is>
      </c>
      <c r="K97" s="17" t="inlineStr">
        <is>
          <t>Draft</t>
        </is>
      </c>
      <c r="L97" s="18" t="n">
        <v>46388</v>
      </c>
      <c r="M97" s="18" t="n">
        <v>46477</v>
      </c>
      <c r="N97" s="8" t="inlineStr">
        <is>
          <t>Imported from catalog/unified-catalog/unified-pricing-book.csv. Odoo cost: 0.00 USD.</t>
        </is>
      </c>
    </row>
    <row r="98">
      <c r="A98" s="8" t="inlineStr">
        <is>
          <t>FY2027-Q1</t>
        </is>
      </c>
      <c r="B98" s="8" t="inlineStr">
        <is>
          <t>CB-ESIGN-UI-UN</t>
        </is>
      </c>
      <c r="C98" s="8" t="inlineStr">
        <is>
          <t>eSign Transaction (Unlimited Users)</t>
        </is>
      </c>
      <c r="D98" s="8" t="inlineStr">
        <is>
          <t>Business</t>
        </is>
      </c>
      <c r="E98" s="8" t="inlineStr">
        <is>
          <t>Transaction-Based Subscription</t>
        </is>
      </c>
      <c r="F98" s="8" t="inlineStr">
        <is>
          <t>Transaction</t>
        </is>
      </c>
      <c r="G98" s="8" t="inlineStr">
        <is>
          <t>Annual</t>
        </is>
      </c>
      <c r="H98" s="9" t="n"/>
      <c r="I98" s="13" t="n">
        <v>2.99</v>
      </c>
      <c r="J98" s="8" t="inlineStr">
        <is>
          <t>USD</t>
        </is>
      </c>
      <c r="K98" s="17" t="inlineStr">
        <is>
          <t>Draft</t>
        </is>
      </c>
      <c r="L98" s="18" t="n">
        <v>46388</v>
      </c>
      <c r="M98" s="18" t="n">
        <v>46477</v>
      </c>
      <c r="N98" s="8" t="inlineStr">
        <is>
          <t>Imported from catalog/unified-catalog/unified-pricing-book.csv. Odoo cost: 0.00 USD.</t>
        </is>
      </c>
    </row>
    <row r="99">
      <c r="A99" s="8" t="inlineStr">
        <is>
          <t>FY2027-Q1</t>
        </is>
      </c>
      <c r="B99" s="8" t="inlineStr">
        <is>
          <t>CE-ESIGN-UI-10</t>
        </is>
      </c>
      <c r="C99" s="8" t="inlineStr">
        <is>
          <t>eSign Transaction (10 Users)</t>
        </is>
      </c>
      <c r="D99" s="8" t="inlineStr">
        <is>
          <t>Enterprise</t>
        </is>
      </c>
      <c r="E99" s="8" t="inlineStr">
        <is>
          <t>Transaction-Based Subscription</t>
        </is>
      </c>
      <c r="F99" s="8" t="inlineStr">
        <is>
          <t>Transaction</t>
        </is>
      </c>
      <c r="G99" s="8" t="inlineStr">
        <is>
          <t>Annual</t>
        </is>
      </c>
      <c r="H99" s="9" t="n"/>
      <c r="I99" s="13" t="n">
        <v>1.95</v>
      </c>
      <c r="J99" s="8" t="inlineStr">
        <is>
          <t>USD</t>
        </is>
      </c>
      <c r="K99" s="17" t="inlineStr">
        <is>
          <t>Draft</t>
        </is>
      </c>
      <c r="L99" s="18" t="n">
        <v>46388</v>
      </c>
      <c r="M99" s="18" t="n">
        <v>46477</v>
      </c>
      <c r="N99" s="8" t="inlineStr">
        <is>
          <t>Imported from catalog/unified-catalog/unified-pricing-book.csv. Odoo cost: 0.00 USD.</t>
        </is>
      </c>
    </row>
    <row r="100">
      <c r="A100" s="8" t="inlineStr">
        <is>
          <t>FY2027-Q1</t>
        </is>
      </c>
      <c r="B100" s="8" t="inlineStr">
        <is>
          <t>CE-ESIGN-UI-25</t>
        </is>
      </c>
      <c r="C100" s="8" t="inlineStr">
        <is>
          <t>eSign Transaction (25 Users)</t>
        </is>
      </c>
      <c r="D100" s="8" t="inlineStr">
        <is>
          <t>Enterprise</t>
        </is>
      </c>
      <c r="E100" s="8" t="inlineStr">
        <is>
          <t>Transaction-Based Subscription</t>
        </is>
      </c>
      <c r="F100" s="8" t="inlineStr">
        <is>
          <t>Transaction</t>
        </is>
      </c>
      <c r="G100" s="8" t="inlineStr">
        <is>
          <t>Annual</t>
        </is>
      </c>
      <c r="H100" s="9" t="n"/>
      <c r="I100" s="13" t="n">
        <v>2.31</v>
      </c>
      <c r="J100" s="8" t="inlineStr">
        <is>
          <t>USD</t>
        </is>
      </c>
      <c r="K100" s="17" t="inlineStr">
        <is>
          <t>Draft</t>
        </is>
      </c>
      <c r="L100" s="18" t="n">
        <v>46388</v>
      </c>
      <c r="M100" s="18" t="n">
        <v>46477</v>
      </c>
      <c r="N100" s="8" t="inlineStr">
        <is>
          <t>Imported from catalog/unified-catalog/unified-pricing-book.csv. Odoo cost: 0.00 USD.</t>
        </is>
      </c>
    </row>
    <row r="101">
      <c r="A101" s="8" t="inlineStr">
        <is>
          <t>FY2027-Q1</t>
        </is>
      </c>
      <c r="B101" s="8" t="inlineStr">
        <is>
          <t>CE-ESIGN-UI-50</t>
        </is>
      </c>
      <c r="C101" s="8" t="inlineStr">
        <is>
          <t>eSign Transaction (50 Users)</t>
        </is>
      </c>
      <c r="D101" s="8" t="inlineStr">
        <is>
          <t>Enterprise</t>
        </is>
      </c>
      <c r="E101" s="8" t="inlineStr">
        <is>
          <t>Transaction-Based Subscription</t>
        </is>
      </c>
      <c r="F101" s="8" t="inlineStr">
        <is>
          <t>Transaction</t>
        </is>
      </c>
      <c r="G101" s="8" t="inlineStr">
        <is>
          <t>Annual</t>
        </is>
      </c>
      <c r="H101" s="9" t="n"/>
      <c r="I101" s="13" t="n">
        <v>2.84</v>
      </c>
      <c r="J101" s="8" t="inlineStr">
        <is>
          <t>USD</t>
        </is>
      </c>
      <c r="K101" s="17" t="inlineStr">
        <is>
          <t>Draft</t>
        </is>
      </c>
      <c r="L101" s="18" t="n">
        <v>46388</v>
      </c>
      <c r="M101" s="18" t="n">
        <v>46477</v>
      </c>
      <c r="N101" s="8" t="inlineStr">
        <is>
          <t>Imported from catalog/unified-catalog/unified-pricing-book.csv. Odoo cost: 0.00 USD.</t>
        </is>
      </c>
    </row>
    <row r="102">
      <c r="A102" s="8" t="inlineStr">
        <is>
          <t>FY2027-Q1</t>
        </is>
      </c>
      <c r="B102" s="8" t="inlineStr">
        <is>
          <t>CE-ESIGN-UI-UN</t>
        </is>
      </c>
      <c r="C102" s="8" t="inlineStr">
        <is>
          <t>eSign Transaction (Unlimited Users)</t>
        </is>
      </c>
      <c r="D102" s="8" t="inlineStr">
        <is>
          <t>Enterprise</t>
        </is>
      </c>
      <c r="E102" s="8" t="inlineStr">
        <is>
          <t>Transaction-Based Subscription</t>
        </is>
      </c>
      <c r="F102" s="8" t="inlineStr">
        <is>
          <t>Transaction</t>
        </is>
      </c>
      <c r="G102" s="8" t="inlineStr">
        <is>
          <t>Annual</t>
        </is>
      </c>
      <c r="H102" s="9" t="n"/>
      <c r="I102" s="13" t="n">
        <v>3.55</v>
      </c>
      <c r="J102" s="8" t="inlineStr">
        <is>
          <t>USD</t>
        </is>
      </c>
      <c r="K102" s="17" t="inlineStr">
        <is>
          <t>Draft</t>
        </is>
      </c>
      <c r="L102" s="18" t="n">
        <v>46388</v>
      </c>
      <c r="M102" s="18" t="n">
        <v>46477</v>
      </c>
      <c r="N102" s="8" t="inlineStr">
        <is>
          <t>Imported from catalog/unified-catalog/unified-pricing-book.csv. Odoo cost: 0.00 USD.</t>
        </is>
      </c>
    </row>
    <row r="103">
      <c r="A103" s="8" t="inlineStr">
        <is>
          <t>FY2027-Q1</t>
        </is>
      </c>
      <c r="B103" s="8" t="inlineStr">
        <is>
          <t>CU-ESIGN-UI-UN</t>
        </is>
      </c>
      <c r="C103" s="8" t="inlineStr">
        <is>
          <t>eSign Transaction (Unlimited Users)</t>
        </is>
      </c>
      <c r="D103" s="8" t="inlineStr">
        <is>
          <t>Ultimate</t>
        </is>
      </c>
      <c r="E103" s="8" t="inlineStr">
        <is>
          <t>Transaction-Based Subscription</t>
        </is>
      </c>
      <c r="F103" s="8" t="inlineStr">
        <is>
          <t>Transaction</t>
        </is>
      </c>
      <c r="G103" s="8" t="inlineStr">
        <is>
          <t>Annual</t>
        </is>
      </c>
      <c r="H103" s="9" t="n"/>
      <c r="I103" s="13" t="n">
        <v>3.15</v>
      </c>
      <c r="J103" s="8" t="inlineStr">
        <is>
          <t>USD</t>
        </is>
      </c>
      <c r="K103" s="17" t="inlineStr">
        <is>
          <t>Draft</t>
        </is>
      </c>
      <c r="L103" s="18" t="n">
        <v>46388</v>
      </c>
      <c r="M103" s="18" t="n">
        <v>46477</v>
      </c>
      <c r="N103" s="8" t="inlineStr">
        <is>
          <t>Imported from catalog/unified-catalog/unified-pricing-book.csv. Odoo cost: 0.00 USD.</t>
        </is>
      </c>
    </row>
    <row r="104">
      <c r="A104" s="8" t="inlineStr">
        <is>
          <t>FY2027-Q1</t>
        </is>
      </c>
      <c r="B104" s="8" t="inlineStr">
        <is>
          <t>CB-LITE-USR</t>
        </is>
      </c>
      <c r="C104" s="8" t="inlineStr">
        <is>
          <t>Lite User (Prepare Only, Sign Only, Read Only)</t>
        </is>
      </c>
      <c r="D104" s="8" t="inlineStr">
        <is>
          <t>Business</t>
        </is>
      </c>
      <c r="E104" s="8" t="inlineStr">
        <is>
          <t>User-Based Subscription</t>
        </is>
      </c>
      <c r="F104" s="8" t="inlineStr">
        <is>
          <t>User / year</t>
        </is>
      </c>
      <c r="G104" s="8" t="inlineStr">
        <is>
          <t>Annual</t>
        </is>
      </c>
      <c r="H104" s="9" t="n"/>
      <c r="I104" s="13" t="n">
        <v>300</v>
      </c>
      <c r="J104" s="8" t="inlineStr">
        <is>
          <t>USD</t>
        </is>
      </c>
      <c r="K104" s="17" t="inlineStr">
        <is>
          <t>Draft</t>
        </is>
      </c>
      <c r="L104" s="18" t="n">
        <v>46388</v>
      </c>
      <c r="M104" s="18" t="n">
        <v>46477</v>
      </c>
      <c r="N104" s="8" t="inlineStr">
        <is>
          <t>Imported from catalog/unified-catalog/unified-pricing-book.csv. Odoo cost: 0.00 USD.</t>
        </is>
      </c>
    </row>
    <row r="105">
      <c r="A105" s="8" t="inlineStr">
        <is>
          <t>FY2027-Q1</t>
        </is>
      </c>
      <c r="B105" s="8" t="inlineStr">
        <is>
          <t>CB-REGU-SIGN-UN</t>
        </is>
      </c>
      <c r="C105" s="8" t="inlineStr">
        <is>
          <t>Regular User (Unlimited Transactions)</t>
        </is>
      </c>
      <c r="D105" s="8" t="inlineStr">
        <is>
          <t>Business</t>
        </is>
      </c>
      <c r="E105" s="8" t="inlineStr">
        <is>
          <t>User-Based Subscription</t>
        </is>
      </c>
      <c r="F105" s="8" t="inlineStr">
        <is>
          <t>User / year</t>
        </is>
      </c>
      <c r="G105" s="8" t="inlineStr">
        <is>
          <t>Annual</t>
        </is>
      </c>
      <c r="H105" s="9" t="n"/>
      <c r="I105" s="13" t="n">
        <v>588</v>
      </c>
      <c r="J105" s="8" t="inlineStr">
        <is>
          <t>USD</t>
        </is>
      </c>
      <c r="K105" s="17" t="inlineStr">
        <is>
          <t>Draft</t>
        </is>
      </c>
      <c r="L105" s="18" t="n">
        <v>46388</v>
      </c>
      <c r="M105" s="18" t="n">
        <v>46477</v>
      </c>
      <c r="N105" s="8" t="inlineStr">
        <is>
          <t>Imported from catalog/unified-catalog/unified-pricing-book.csv. Odoo cost: 0.00 USD.</t>
        </is>
      </c>
    </row>
    <row r="106">
      <c r="A106" s="8" t="inlineStr">
        <is>
          <t>FY2027-Q1</t>
        </is>
      </c>
      <c r="B106" s="8" t="inlineStr">
        <is>
          <t>CB-REGU-SIGN-120</t>
        </is>
      </c>
      <c r="C106" s="8" t="inlineStr">
        <is>
          <t>Regular User (up to 120 Transactions)</t>
        </is>
      </c>
      <c r="D106" s="8" t="inlineStr">
        <is>
          <t>Business</t>
        </is>
      </c>
      <c r="E106" s="8" t="inlineStr">
        <is>
          <t>User-Based Subscription</t>
        </is>
      </c>
      <c r="F106" s="8" t="inlineStr">
        <is>
          <t>User / year</t>
        </is>
      </c>
      <c r="G106" s="8" t="inlineStr">
        <is>
          <t>Annual</t>
        </is>
      </c>
      <c r="H106" s="9" t="n"/>
      <c r="I106" s="13" t="n">
        <v>264.6</v>
      </c>
      <c r="J106" s="8" t="inlineStr">
        <is>
          <t>USD</t>
        </is>
      </c>
      <c r="K106" s="17" t="inlineStr">
        <is>
          <t>Draft</t>
        </is>
      </c>
      <c r="L106" s="18" t="n">
        <v>46388</v>
      </c>
      <c r="M106" s="18" t="n">
        <v>46477</v>
      </c>
      <c r="N106" s="8" t="inlineStr">
        <is>
          <t>Imported from catalog/unified-catalog/unified-pricing-book.csv. Odoo cost: 0.00 USD.</t>
        </is>
      </c>
    </row>
    <row r="107">
      <c r="A107" s="8" t="inlineStr">
        <is>
          <t>FY2027-Q1</t>
        </is>
      </c>
      <c r="B107" s="8" t="inlineStr">
        <is>
          <t>CE-LITE-USR</t>
        </is>
      </c>
      <c r="C107" s="8" t="inlineStr">
        <is>
          <t>Lite User (Prepare Only, Sign Only, Read Only)</t>
        </is>
      </c>
      <c r="D107" s="8" t="inlineStr">
        <is>
          <t>Enterprise</t>
        </is>
      </c>
      <c r="E107" s="8" t="inlineStr">
        <is>
          <t>User-Based Subscription</t>
        </is>
      </c>
      <c r="F107" s="8" t="inlineStr">
        <is>
          <t>User / year</t>
        </is>
      </c>
      <c r="G107" s="8" t="inlineStr">
        <is>
          <t>Annual</t>
        </is>
      </c>
      <c r="H107" s="9" t="n"/>
      <c r="I107" s="13" t="n">
        <v>408</v>
      </c>
      <c r="J107" s="8" t="inlineStr">
        <is>
          <t>USD</t>
        </is>
      </c>
      <c r="K107" s="17" t="inlineStr">
        <is>
          <t>Draft</t>
        </is>
      </c>
      <c r="L107" s="18" t="n">
        <v>46388</v>
      </c>
      <c r="M107" s="18" t="n">
        <v>46477</v>
      </c>
      <c r="N107" s="8" t="inlineStr">
        <is>
          <t>Imported from catalog/unified-catalog/unified-pricing-book.csv. Odoo cost: 0.00 USD.</t>
        </is>
      </c>
    </row>
    <row r="108">
      <c r="A108" s="8" t="inlineStr">
        <is>
          <t>FY2027-Q1</t>
        </is>
      </c>
      <c r="B108" s="8" t="inlineStr">
        <is>
          <t>CE-REGU-SIGN-UN</t>
        </is>
      </c>
      <c r="C108" s="8" t="inlineStr">
        <is>
          <t>Regular User (Unlimited Transactions)</t>
        </is>
      </c>
      <c r="D108" s="8" t="inlineStr">
        <is>
          <t>Enterprise</t>
        </is>
      </c>
      <c r="E108" s="8" t="inlineStr">
        <is>
          <t>User-Based Subscription</t>
        </is>
      </c>
      <c r="F108" s="8" t="inlineStr">
        <is>
          <t>User / year</t>
        </is>
      </c>
      <c r="G108" s="8" t="inlineStr">
        <is>
          <t>Annual</t>
        </is>
      </c>
      <c r="H108" s="9" t="n"/>
      <c r="I108" s="13" t="n">
        <v>816</v>
      </c>
      <c r="J108" s="8" t="inlineStr">
        <is>
          <t>USD</t>
        </is>
      </c>
      <c r="K108" s="17" t="inlineStr">
        <is>
          <t>Draft</t>
        </is>
      </c>
      <c r="L108" s="18" t="n">
        <v>46388</v>
      </c>
      <c r="M108" s="18" t="n">
        <v>46477</v>
      </c>
      <c r="N108" s="8" t="inlineStr">
        <is>
          <t>Imported from catalog/unified-catalog/unified-pricing-book.csv. Odoo cost: 0.00 USD.</t>
        </is>
      </c>
    </row>
    <row r="109">
      <c r="A109" s="8" t="inlineStr">
        <is>
          <t>FY2027-Q1</t>
        </is>
      </c>
      <c r="B109" s="8" t="inlineStr">
        <is>
          <t>CE-REGU-SIGN-120</t>
        </is>
      </c>
      <c r="C109" s="8" t="inlineStr">
        <is>
          <t>Regular User (up to 120 Transactions)</t>
        </is>
      </c>
      <c r="D109" s="8" t="inlineStr">
        <is>
          <t>Enterprise</t>
        </is>
      </c>
      <c r="E109" s="8" t="inlineStr">
        <is>
          <t>User-Based Subscription</t>
        </is>
      </c>
      <c r="F109" s="8" t="inlineStr">
        <is>
          <t>User / year</t>
        </is>
      </c>
      <c r="G109" s="8" t="inlineStr">
        <is>
          <t>Annual</t>
        </is>
      </c>
      <c r="H109" s="9" t="n"/>
      <c r="I109" s="13" t="n">
        <v>367.2</v>
      </c>
      <c r="J109" s="8" t="inlineStr">
        <is>
          <t>USD</t>
        </is>
      </c>
      <c r="K109" s="17" t="inlineStr">
        <is>
          <t>Draft</t>
        </is>
      </c>
      <c r="L109" s="18" t="n">
        <v>46388</v>
      </c>
      <c r="M109" s="18" t="n">
        <v>46477</v>
      </c>
      <c r="N109" s="8" t="inlineStr">
        <is>
          <t>Imported from catalog/unified-catalog/unified-pricing-book.csv. Odoo cost: 0.00 USD.</t>
        </is>
      </c>
    </row>
    <row r="110">
      <c r="A110" s="8" t="inlineStr">
        <is>
          <t>FY2027-Q1</t>
        </is>
      </c>
      <c r="B110" s="8" t="inlineStr">
        <is>
          <t>CP-REGU-SIGN-UN</t>
        </is>
      </c>
      <c r="C110" s="8" t="inlineStr">
        <is>
          <t>Regular User (Unlimited Transactions)</t>
        </is>
      </c>
      <c r="D110" s="8" t="inlineStr">
        <is>
          <t>Pro</t>
        </is>
      </c>
      <c r="E110" s="8" t="inlineStr">
        <is>
          <t>User-Based Subscription</t>
        </is>
      </c>
      <c r="F110" s="8" t="inlineStr">
        <is>
          <t>User / year</t>
        </is>
      </c>
      <c r="G110" s="8" t="inlineStr">
        <is>
          <t>Annual</t>
        </is>
      </c>
      <c r="H110" s="9" t="n"/>
      <c r="I110" s="13" t="n">
        <v>456</v>
      </c>
      <c r="J110" s="8" t="inlineStr">
        <is>
          <t>USD</t>
        </is>
      </c>
      <c r="K110" s="17" t="inlineStr">
        <is>
          <t>Draft</t>
        </is>
      </c>
      <c r="L110" s="18" t="n">
        <v>46388</v>
      </c>
      <c r="M110" s="18" t="n">
        <v>46477</v>
      </c>
      <c r="N110" s="8" t="inlineStr">
        <is>
          <t>Imported from catalog/unified-catalog/unified-pricing-book.csv. Odoo cost: 0.00 USD.</t>
        </is>
      </c>
    </row>
    <row r="111">
      <c r="A111" s="8" t="inlineStr">
        <is>
          <t>FY2027-Q1</t>
        </is>
      </c>
      <c r="B111" s="8" t="inlineStr">
        <is>
          <t>CP-REGU-SIGN-120</t>
        </is>
      </c>
      <c r="C111" s="8" t="inlineStr">
        <is>
          <t>Regular User (up to 120 Transactions)</t>
        </is>
      </c>
      <c r="D111" s="8" t="inlineStr">
        <is>
          <t>Pro</t>
        </is>
      </c>
      <c r="E111" s="8" t="inlineStr">
        <is>
          <t>User-Based Subscription</t>
        </is>
      </c>
      <c r="F111" s="8" t="inlineStr">
        <is>
          <t>User / year</t>
        </is>
      </c>
      <c r="G111" s="8" t="inlineStr">
        <is>
          <t>Annual</t>
        </is>
      </c>
      <c r="H111" s="9" t="n"/>
      <c r="I111" s="13" t="n">
        <v>205.2</v>
      </c>
      <c r="J111" s="8" t="inlineStr">
        <is>
          <t>USD</t>
        </is>
      </c>
      <c r="K111" s="17" t="inlineStr">
        <is>
          <t>Draft</t>
        </is>
      </c>
      <c r="L111" s="18" t="n">
        <v>46388</v>
      </c>
      <c r="M111" s="18" t="n">
        <v>46477</v>
      </c>
      <c r="N111" s="8" t="inlineStr">
        <is>
          <t>Imported from catalog/unified-catalog/unified-pricing-book.csv. Odoo cost: 0.00 USD.</t>
        </is>
      </c>
    </row>
    <row r="112">
      <c r="A112" s="8" t="inlineStr">
        <is>
          <t>FY2027-Q1</t>
        </is>
      </c>
      <c r="B112" s="8" t="inlineStr">
        <is>
          <t>CX-REGU-SIGN-60</t>
        </is>
      </c>
      <c r="C112" s="8" t="inlineStr">
        <is>
          <t>Regular User (up to 60 Transactions)</t>
        </is>
      </c>
      <c r="D112" s="8" t="inlineStr">
        <is>
          <t>Start</t>
        </is>
      </c>
      <c r="E112" s="8" t="inlineStr">
        <is>
          <t>User-Based Subscription</t>
        </is>
      </c>
      <c r="F112" s="8" t="inlineStr">
        <is>
          <t>User / year</t>
        </is>
      </c>
      <c r="G112" s="8" t="inlineStr">
        <is>
          <t>Annual</t>
        </is>
      </c>
      <c r="H112" s="9" t="n"/>
      <c r="I112" s="13" t="n">
        <v>120</v>
      </c>
      <c r="J112" s="8" t="inlineStr">
        <is>
          <t>USD</t>
        </is>
      </c>
      <c r="K112" s="17" t="inlineStr">
        <is>
          <t>Draft</t>
        </is>
      </c>
      <c r="L112" s="18" t="n">
        <v>46388</v>
      </c>
      <c r="M112" s="18" t="n">
        <v>46477</v>
      </c>
      <c r="N112" s="8" t="inlineStr">
        <is>
          <t>Imported from catalog/unified-catalog/unified-pricing-book.csv. Odoo cost: 0.00 USD.</t>
        </is>
      </c>
    </row>
    <row r="113">
      <c r="A113" s="8" t="inlineStr">
        <is>
          <t>FY2027-Q1</t>
        </is>
      </c>
      <c r="B113" s="8" t="inlineStr">
        <is>
          <t>CU-LITE-USR</t>
        </is>
      </c>
      <c r="C113" s="8" t="inlineStr">
        <is>
          <t>Lite User (Prepare Only, Sign Only, Read Only)</t>
        </is>
      </c>
      <c r="D113" s="8" t="inlineStr">
        <is>
          <t>Ultimate</t>
        </is>
      </c>
      <c r="E113" s="8" t="inlineStr">
        <is>
          <t>User-Based Subscription</t>
        </is>
      </c>
      <c r="F113" s="8" t="inlineStr">
        <is>
          <t>User / year</t>
        </is>
      </c>
      <c r="G113" s="8" t="inlineStr">
        <is>
          <t>Annual</t>
        </is>
      </c>
      <c r="H113" s="9" t="n"/>
      <c r="I113" s="13" t="n">
        <v>294</v>
      </c>
      <c r="J113" s="8" t="inlineStr">
        <is>
          <t>USD</t>
        </is>
      </c>
      <c r="K113" s="17" t="inlineStr">
        <is>
          <t>Draft</t>
        </is>
      </c>
      <c r="L113" s="18" t="n">
        <v>46388</v>
      </c>
      <c r="M113" s="18" t="n">
        <v>46477</v>
      </c>
      <c r="N113" s="8" t="inlineStr">
        <is>
          <t>Imported from catalog/unified-catalog/unified-pricing-book.csv. Odoo cost: 0.00 USD.</t>
        </is>
      </c>
    </row>
    <row r="114">
      <c r="A114" s="8" t="inlineStr">
        <is>
          <t>FY2027-Q1</t>
        </is>
      </c>
      <c r="B114" s="8" t="inlineStr">
        <is>
          <t>CU-REGU-SIGN-UN</t>
        </is>
      </c>
      <c r="C114" s="8" t="inlineStr">
        <is>
          <t>Regular User (Unlimited Transactions)</t>
        </is>
      </c>
      <c r="D114" s="8" t="inlineStr">
        <is>
          <t>Ultimate</t>
        </is>
      </c>
      <c r="E114" s="8" t="inlineStr">
        <is>
          <t>User-Based Subscription</t>
        </is>
      </c>
      <c r="F114" s="8" t="inlineStr">
        <is>
          <t>User / year</t>
        </is>
      </c>
      <c r="G114" s="8" t="inlineStr">
        <is>
          <t>Annual</t>
        </is>
      </c>
      <c r="H114" s="9" t="n"/>
      <c r="I114" s="13" t="n">
        <v>864</v>
      </c>
      <c r="J114" s="8" t="inlineStr">
        <is>
          <t>USD</t>
        </is>
      </c>
      <c r="K114" s="17" t="inlineStr">
        <is>
          <t>Draft</t>
        </is>
      </c>
      <c r="L114" s="18" t="n">
        <v>46388</v>
      </c>
      <c r="M114" s="18" t="n">
        <v>46477</v>
      </c>
      <c r="N114" s="8" t="inlineStr">
        <is>
          <t>Imported from catalog/unified-catalog/unified-pricing-book.csv. Odoo cost: 0.00 USD.</t>
        </is>
      </c>
    </row>
  </sheetData>
  <autoFilter ref="A4:N114"/>
  <mergeCells count="2">
    <mergeCell ref="A2:N2"/>
    <mergeCell ref="A1:N1"/>
  </mergeCells>
  <dataValidations count="2">
    <dataValidation sqref="K5:K114" showDropDown="0" showInputMessage="0" showErrorMessage="0" allowBlank="0" type="list">
      <formula1>"Draft,Active,Retired"</formula1>
    </dataValidation>
    <dataValidation sqref="G5:G114" showDropDown="0" showInputMessage="0" showErrorMessage="0" allowBlank="0" type="list">
      <formula1>"Annual,Per Event,Per Pack,One-Time"</formula1>
    </dataValidation>
  </dataValidations>
  <pageMargins left="0.2" right="0.2" top="0.35" bottom="0.35" header="0.5" footer="0.5"/>
  <pageSetup orientation="landscape" fitToHeight="1" fitToWidth="1"/>
  <tableParts count="1">
    <tablePart xmlns:r="http://schemas.openxmlformats.org/officeDocument/2006/relationships" r:id="rId1"/>
  </tableParts>
</worksheet>
</file>

<file path=xl/worksheets/sheet8.xml><?xml version="1.0" encoding="utf-8"?>
<worksheet xmlns="http://schemas.openxmlformats.org/spreadsheetml/2006/main">
  <sheetPr>
    <tabColor rgb="007000FF"/>
    <outlinePr summaryBelow="1" summaryRight="1"/>
    <pageSetUpPr fitToPage="1"/>
  </sheetPr>
  <dimension ref="A1:V114"/>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24" customWidth="1" min="1" max="1"/>
    <col width="20" customWidth="1" min="2" max="2"/>
    <col width="31" customWidth="1" min="3" max="3"/>
    <col width="20" customWidth="1" min="4" max="4"/>
    <col width="20" customWidth="1" min="5" max="5"/>
    <col width="20"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3" customWidth="1" min="17" max="17"/>
    <col width="24" customWidth="1" min="18" max="18"/>
    <col width="24" customWidth="1" min="19" max="19"/>
    <col width="24" customWidth="1" min="20" max="20"/>
    <col width="24" customWidth="1" min="21" max="21"/>
    <col width="42" customWidth="1" min="22" max="22"/>
  </cols>
  <sheetData>
    <row r="1" ht="34" customHeight="1">
      <c r="A1" s="1" t="inlineStr">
        <is>
          <t>Partner Buy Price Matrix</t>
        </is>
      </c>
    </row>
    <row r="2" ht="32" customHeight="1">
      <c r="A2" s="2" t="inlineStr">
        <is>
          <t>Tier-specific prices generated from the single-SKU master Price Book.</t>
        </is>
      </c>
    </row>
    <row r="3"/>
    <row r="4" ht="34" customHeight="1">
      <c r="A4" s="6" t="inlineStr">
        <is>
          <t>Price Book Version</t>
        </is>
      </c>
      <c r="B4" s="6" t="inlineStr">
        <is>
          <t>SKU</t>
        </is>
      </c>
      <c r="C4" s="6" t="inlineStr">
        <is>
          <t>Product</t>
        </is>
      </c>
      <c r="D4" s="6" t="inlineStr">
        <is>
          <t>Plan</t>
        </is>
      </c>
      <c r="E4" s="6" t="inlineStr">
        <is>
          <t>Price Basis</t>
        </is>
      </c>
      <c r="F4" s="6" t="inlineStr">
        <is>
          <t>MSRP</t>
        </is>
      </c>
      <c r="G4" s="6" t="inlineStr">
        <is>
          <t>Target Customer Discount</t>
        </is>
      </c>
      <c r="H4" s="6" t="inlineStr">
        <is>
          <t>Target Customer Sell Price</t>
        </is>
      </c>
      <c r="I4" s="6" t="inlineStr">
        <is>
          <t>Authorized Buy Price</t>
        </is>
      </c>
      <c r="J4" s="6" t="inlineStr">
        <is>
          <t>Advanced Buy Price</t>
        </is>
      </c>
      <c r="K4" s="6" t="inlineStr">
        <is>
          <t>Strategic Buy Price</t>
        </is>
      </c>
      <c r="L4" s="6" t="inlineStr">
        <is>
          <t>Authorized Margin</t>
        </is>
      </c>
      <c r="M4" s="6" t="inlineStr">
        <is>
          <t>Advanced Margin</t>
        </is>
      </c>
      <c r="N4" s="6" t="inlineStr">
        <is>
          <t>Strategic Margin</t>
        </is>
      </c>
      <c r="O4" s="6" t="inlineStr">
        <is>
          <t>Commercial Floor Price</t>
        </is>
      </c>
      <c r="P4" s="6" t="inlineStr">
        <is>
          <t>Customer Sell Price Approval Threshold</t>
        </is>
      </c>
      <c r="Q4" s="6" t="inlineStr">
        <is>
          <t>Max Customer Discount</t>
        </is>
      </c>
      <c r="R4" s="6" t="inlineStr">
        <is>
          <t>Authorized Circularo Price Realization</t>
        </is>
      </c>
      <c r="S4" s="6" t="inlineStr">
        <is>
          <t>Advanced Circularo Price Realization</t>
        </is>
      </c>
      <c r="T4" s="6" t="inlineStr">
        <is>
          <t>Strategic Circularo Price Realization</t>
        </is>
      </c>
      <c r="U4" s="6" t="inlineStr">
        <is>
          <t>Floor Circularo Price Realization</t>
        </is>
      </c>
      <c r="V4" s="6" t="inlineStr">
        <is>
          <t>Notes</t>
        </is>
      </c>
    </row>
    <row r="5">
      <c r="A5" s="8">
        <f>'Price Book'!A5</f>
        <v/>
      </c>
      <c r="B5" s="8">
        <f>'Price Book'!B5</f>
        <v/>
      </c>
      <c r="C5" s="8">
        <f>'Price Book'!C5</f>
        <v/>
      </c>
      <c r="D5" s="8">
        <f>'Price Book'!D5</f>
        <v/>
      </c>
      <c r="E5" s="8">
        <f>'Price Book'!G5</f>
        <v/>
      </c>
      <c r="F5" s="10">
        <f>'Price Book'!I5</f>
        <v/>
      </c>
      <c r="G5" s="11">
        <f>'Price Book'!J5</f>
        <v/>
      </c>
      <c r="H5" s="10">
        <f>'Price Book'!K5</f>
        <v/>
      </c>
      <c r="I5" s="12">
        <f>IFERROR(H5*(1-L5),"")</f>
        <v/>
      </c>
      <c r="J5" s="12">
        <f>IFERROR(H5*(1-M5),"")</f>
        <v/>
      </c>
      <c r="K5" s="12">
        <f>IFERROR(H5*(1-N5),"")</f>
        <v/>
      </c>
      <c r="L5" s="14">
        <f>IF(D5="Start",'Partner Tiers'!$D$5,IF(D5="Pro",'Partner Tiers'!$E$5,IF(D5="Business",'Partner Tiers'!$F$5,IF(D5="Enterprise",'Partner Tiers'!$G$5,""))))</f>
        <v/>
      </c>
      <c r="M5" s="14">
        <f>IF(D5="Start",'Partner Tiers'!$D$6,IF(D5="Pro",'Partner Tiers'!$E$6,IF(D5="Business",'Partner Tiers'!$F$6,IF(D5="Enterprise",'Partner Tiers'!$G$6,""))))</f>
        <v/>
      </c>
      <c r="N5" s="14">
        <f>IF(D5="Start",'Partner Tiers'!$D$7,IF(D5="Pro",'Partner Tiers'!$E$7,IF(D5="Business",'Partner Tiers'!$F$7,IF(D5="Enterprise",'Partner Tiers'!$G$7,""))))</f>
        <v/>
      </c>
      <c r="O5" s="10">
        <f>'Price Book'!M5</f>
        <v/>
      </c>
      <c r="P5" s="10">
        <f>'Price Book'!N5</f>
        <v/>
      </c>
      <c r="Q5" s="11">
        <f>'Price Book'!O5</f>
        <v/>
      </c>
      <c r="R5" s="14">
        <f>IFERROR(I5/F5,"")</f>
        <v/>
      </c>
      <c r="S5" s="14">
        <f>IFERROR(J5/F5,"")</f>
        <v/>
      </c>
      <c r="T5" s="14">
        <f>IFERROR(K5/F5,"")</f>
        <v/>
      </c>
      <c r="U5" s="11">
        <f>'Price Book'!R5</f>
        <v/>
      </c>
      <c r="V5" s="8">
        <f>'Price Book'!AG5</f>
        <v/>
      </c>
    </row>
    <row r="6">
      <c r="A6" s="8">
        <f>'Price Book'!A6</f>
        <v/>
      </c>
      <c r="B6" s="8">
        <f>'Price Book'!B6</f>
        <v/>
      </c>
      <c r="C6" s="8">
        <f>'Price Book'!C6</f>
        <v/>
      </c>
      <c r="D6" s="8">
        <f>'Price Book'!D6</f>
        <v/>
      </c>
      <c r="E6" s="8">
        <f>'Price Book'!G6</f>
        <v/>
      </c>
      <c r="F6" s="10">
        <f>'Price Book'!I6</f>
        <v/>
      </c>
      <c r="G6" s="11">
        <f>'Price Book'!J6</f>
        <v/>
      </c>
      <c r="H6" s="10">
        <f>'Price Book'!K6</f>
        <v/>
      </c>
      <c r="I6" s="12">
        <f>IFERROR(H6*(1-L6),"")</f>
        <v/>
      </c>
      <c r="J6" s="12">
        <f>IFERROR(H6*(1-M6),"")</f>
        <v/>
      </c>
      <c r="K6" s="12">
        <f>IFERROR(H6*(1-N6),"")</f>
        <v/>
      </c>
      <c r="L6" s="14">
        <f>IF(D6="Start",'Partner Tiers'!$D$5,IF(D6="Pro",'Partner Tiers'!$E$5,IF(D6="Business",'Partner Tiers'!$F$5,IF(D6="Enterprise",'Partner Tiers'!$G$5,""))))</f>
        <v/>
      </c>
      <c r="M6" s="14">
        <f>IF(D6="Start",'Partner Tiers'!$D$6,IF(D6="Pro",'Partner Tiers'!$E$6,IF(D6="Business",'Partner Tiers'!$F$6,IF(D6="Enterprise",'Partner Tiers'!$G$6,""))))</f>
        <v/>
      </c>
      <c r="N6" s="14">
        <f>IF(D6="Start",'Partner Tiers'!$D$7,IF(D6="Pro",'Partner Tiers'!$E$7,IF(D6="Business",'Partner Tiers'!$F$7,IF(D6="Enterprise",'Partner Tiers'!$G$7,""))))</f>
        <v/>
      </c>
      <c r="O6" s="10">
        <f>'Price Book'!M6</f>
        <v/>
      </c>
      <c r="P6" s="10">
        <f>'Price Book'!N6</f>
        <v/>
      </c>
      <c r="Q6" s="11">
        <f>'Price Book'!O6</f>
        <v/>
      </c>
      <c r="R6" s="14">
        <f>IFERROR(I6/F6,"")</f>
        <v/>
      </c>
      <c r="S6" s="14">
        <f>IFERROR(J6/F6,"")</f>
        <v/>
      </c>
      <c r="T6" s="14">
        <f>IFERROR(K6/F6,"")</f>
        <v/>
      </c>
      <c r="U6" s="11">
        <f>'Price Book'!R6</f>
        <v/>
      </c>
      <c r="V6" s="8">
        <f>'Price Book'!AG6</f>
        <v/>
      </c>
    </row>
    <row r="7">
      <c r="A7" s="8">
        <f>'Price Book'!A7</f>
        <v/>
      </c>
      <c r="B7" s="8">
        <f>'Price Book'!B7</f>
        <v/>
      </c>
      <c r="C7" s="8">
        <f>'Price Book'!C7</f>
        <v/>
      </c>
      <c r="D7" s="8">
        <f>'Price Book'!D7</f>
        <v/>
      </c>
      <c r="E7" s="8">
        <f>'Price Book'!G7</f>
        <v/>
      </c>
      <c r="F7" s="10">
        <f>'Price Book'!I7</f>
        <v/>
      </c>
      <c r="G7" s="11">
        <f>'Price Book'!J7</f>
        <v/>
      </c>
      <c r="H7" s="10">
        <f>'Price Book'!K7</f>
        <v/>
      </c>
      <c r="I7" s="12">
        <f>IFERROR(H7*(1-L7),"")</f>
        <v/>
      </c>
      <c r="J7" s="12">
        <f>IFERROR(H7*(1-M7),"")</f>
        <v/>
      </c>
      <c r="K7" s="12">
        <f>IFERROR(H7*(1-N7),"")</f>
        <v/>
      </c>
      <c r="L7" s="14">
        <f>IF(D7="Start",'Partner Tiers'!$D$5,IF(D7="Pro",'Partner Tiers'!$E$5,IF(D7="Business",'Partner Tiers'!$F$5,IF(D7="Enterprise",'Partner Tiers'!$G$5,""))))</f>
        <v/>
      </c>
      <c r="M7" s="14">
        <f>IF(D7="Start",'Partner Tiers'!$D$6,IF(D7="Pro",'Partner Tiers'!$E$6,IF(D7="Business",'Partner Tiers'!$F$6,IF(D7="Enterprise",'Partner Tiers'!$G$6,""))))</f>
        <v/>
      </c>
      <c r="N7" s="14">
        <f>IF(D7="Start",'Partner Tiers'!$D$7,IF(D7="Pro",'Partner Tiers'!$E$7,IF(D7="Business",'Partner Tiers'!$F$7,IF(D7="Enterprise",'Partner Tiers'!$G$7,""))))</f>
        <v/>
      </c>
      <c r="O7" s="10">
        <f>'Price Book'!M7</f>
        <v/>
      </c>
      <c r="P7" s="10">
        <f>'Price Book'!N7</f>
        <v/>
      </c>
      <c r="Q7" s="11">
        <f>'Price Book'!O7</f>
        <v/>
      </c>
      <c r="R7" s="14">
        <f>IFERROR(I7/F7,"")</f>
        <v/>
      </c>
      <c r="S7" s="14">
        <f>IFERROR(J7/F7,"")</f>
        <v/>
      </c>
      <c r="T7" s="14">
        <f>IFERROR(K7/F7,"")</f>
        <v/>
      </c>
      <c r="U7" s="11">
        <f>'Price Book'!R7</f>
        <v/>
      </c>
      <c r="V7" s="8">
        <f>'Price Book'!AG7</f>
        <v/>
      </c>
    </row>
    <row r="8">
      <c r="A8" s="8">
        <f>'Price Book'!A8</f>
        <v/>
      </c>
      <c r="B8" s="8">
        <f>'Price Book'!B8</f>
        <v/>
      </c>
      <c r="C8" s="8">
        <f>'Price Book'!C8</f>
        <v/>
      </c>
      <c r="D8" s="8">
        <f>'Price Book'!D8</f>
        <v/>
      </c>
      <c r="E8" s="8">
        <f>'Price Book'!G8</f>
        <v/>
      </c>
      <c r="F8" s="10">
        <f>'Price Book'!I8</f>
        <v/>
      </c>
      <c r="G8" s="11">
        <f>'Price Book'!J8</f>
        <v/>
      </c>
      <c r="H8" s="10">
        <f>'Price Book'!K8</f>
        <v/>
      </c>
      <c r="I8" s="12">
        <f>IFERROR(H8*(1-L8),"")</f>
        <v/>
      </c>
      <c r="J8" s="12">
        <f>IFERROR(H8*(1-M8),"")</f>
        <v/>
      </c>
      <c r="K8" s="12">
        <f>IFERROR(H8*(1-N8),"")</f>
        <v/>
      </c>
      <c r="L8" s="14">
        <f>IF(D8="Start",'Partner Tiers'!$D$5,IF(D8="Pro",'Partner Tiers'!$E$5,IF(D8="Business",'Partner Tiers'!$F$5,IF(D8="Enterprise",'Partner Tiers'!$G$5,""))))</f>
        <v/>
      </c>
      <c r="M8" s="14">
        <f>IF(D8="Start",'Partner Tiers'!$D$6,IF(D8="Pro",'Partner Tiers'!$E$6,IF(D8="Business",'Partner Tiers'!$F$6,IF(D8="Enterprise",'Partner Tiers'!$G$6,""))))</f>
        <v/>
      </c>
      <c r="N8" s="14">
        <f>IF(D8="Start",'Partner Tiers'!$D$7,IF(D8="Pro",'Partner Tiers'!$E$7,IF(D8="Business",'Partner Tiers'!$F$7,IF(D8="Enterprise",'Partner Tiers'!$G$7,""))))</f>
        <v/>
      </c>
      <c r="O8" s="10">
        <f>'Price Book'!M8</f>
        <v/>
      </c>
      <c r="P8" s="10">
        <f>'Price Book'!N8</f>
        <v/>
      </c>
      <c r="Q8" s="11">
        <f>'Price Book'!O8</f>
        <v/>
      </c>
      <c r="R8" s="14">
        <f>IFERROR(I8/F8,"")</f>
        <v/>
      </c>
      <c r="S8" s="14">
        <f>IFERROR(J8/F8,"")</f>
        <v/>
      </c>
      <c r="T8" s="14">
        <f>IFERROR(K8/F8,"")</f>
        <v/>
      </c>
      <c r="U8" s="11">
        <f>'Price Book'!R8</f>
        <v/>
      </c>
      <c r="V8" s="8">
        <f>'Price Book'!AG8</f>
        <v/>
      </c>
    </row>
    <row r="9">
      <c r="A9" s="8">
        <f>'Price Book'!A9</f>
        <v/>
      </c>
      <c r="B9" s="8">
        <f>'Price Book'!B9</f>
        <v/>
      </c>
      <c r="C9" s="8">
        <f>'Price Book'!C9</f>
        <v/>
      </c>
      <c r="D9" s="8">
        <f>'Price Book'!D9</f>
        <v/>
      </c>
      <c r="E9" s="8">
        <f>'Price Book'!G9</f>
        <v/>
      </c>
      <c r="F9" s="10">
        <f>'Price Book'!I9</f>
        <v/>
      </c>
      <c r="G9" s="11">
        <f>'Price Book'!J9</f>
        <v/>
      </c>
      <c r="H9" s="10">
        <f>'Price Book'!K9</f>
        <v/>
      </c>
      <c r="I9" s="12">
        <f>IFERROR(H9*(1-L9),"")</f>
        <v/>
      </c>
      <c r="J9" s="12">
        <f>IFERROR(H9*(1-M9),"")</f>
        <v/>
      </c>
      <c r="K9" s="12">
        <f>IFERROR(H9*(1-N9),"")</f>
        <v/>
      </c>
      <c r="L9" s="14">
        <f>IF(D9="Start",'Partner Tiers'!$D$5,IF(D9="Pro",'Partner Tiers'!$E$5,IF(D9="Business",'Partner Tiers'!$F$5,IF(D9="Enterprise",'Partner Tiers'!$G$5,""))))</f>
        <v/>
      </c>
      <c r="M9" s="14">
        <f>IF(D9="Start",'Partner Tiers'!$D$6,IF(D9="Pro",'Partner Tiers'!$E$6,IF(D9="Business",'Partner Tiers'!$F$6,IF(D9="Enterprise",'Partner Tiers'!$G$6,""))))</f>
        <v/>
      </c>
      <c r="N9" s="14">
        <f>IF(D9="Start",'Partner Tiers'!$D$7,IF(D9="Pro",'Partner Tiers'!$E$7,IF(D9="Business",'Partner Tiers'!$F$7,IF(D9="Enterprise",'Partner Tiers'!$G$7,""))))</f>
        <v/>
      </c>
      <c r="O9" s="10">
        <f>'Price Book'!M9</f>
        <v/>
      </c>
      <c r="P9" s="10">
        <f>'Price Book'!N9</f>
        <v/>
      </c>
      <c r="Q9" s="11">
        <f>'Price Book'!O9</f>
        <v/>
      </c>
      <c r="R9" s="14">
        <f>IFERROR(I9/F9,"")</f>
        <v/>
      </c>
      <c r="S9" s="14">
        <f>IFERROR(J9/F9,"")</f>
        <v/>
      </c>
      <c r="T9" s="14">
        <f>IFERROR(K9/F9,"")</f>
        <v/>
      </c>
      <c r="U9" s="11">
        <f>'Price Book'!R9</f>
        <v/>
      </c>
      <c r="V9" s="8">
        <f>'Price Book'!AG9</f>
        <v/>
      </c>
    </row>
    <row r="10">
      <c r="A10" s="8">
        <f>'Price Book'!A10</f>
        <v/>
      </c>
      <c r="B10" s="8">
        <f>'Price Book'!B10</f>
        <v/>
      </c>
      <c r="C10" s="8">
        <f>'Price Book'!C10</f>
        <v/>
      </c>
      <c r="D10" s="8">
        <f>'Price Book'!D10</f>
        <v/>
      </c>
      <c r="E10" s="8">
        <f>'Price Book'!G10</f>
        <v/>
      </c>
      <c r="F10" s="10">
        <f>'Price Book'!I10</f>
        <v/>
      </c>
      <c r="G10" s="11">
        <f>'Price Book'!J10</f>
        <v/>
      </c>
      <c r="H10" s="10">
        <f>'Price Book'!K10</f>
        <v/>
      </c>
      <c r="I10" s="12">
        <f>IFERROR(H10*(1-L10),"")</f>
        <v/>
      </c>
      <c r="J10" s="12">
        <f>IFERROR(H10*(1-M10),"")</f>
        <v/>
      </c>
      <c r="K10" s="12">
        <f>IFERROR(H10*(1-N10),"")</f>
        <v/>
      </c>
      <c r="L10" s="14">
        <f>IF(D10="Start",'Partner Tiers'!$D$5,IF(D10="Pro",'Partner Tiers'!$E$5,IF(D10="Business",'Partner Tiers'!$F$5,IF(D10="Enterprise",'Partner Tiers'!$G$5,""))))</f>
        <v/>
      </c>
      <c r="M10" s="14">
        <f>IF(D10="Start",'Partner Tiers'!$D$6,IF(D10="Pro",'Partner Tiers'!$E$6,IF(D10="Business",'Partner Tiers'!$F$6,IF(D10="Enterprise",'Partner Tiers'!$G$6,""))))</f>
        <v/>
      </c>
      <c r="N10" s="14">
        <f>IF(D10="Start",'Partner Tiers'!$D$7,IF(D10="Pro",'Partner Tiers'!$E$7,IF(D10="Business",'Partner Tiers'!$F$7,IF(D10="Enterprise",'Partner Tiers'!$G$7,""))))</f>
        <v/>
      </c>
      <c r="O10" s="10">
        <f>'Price Book'!M10</f>
        <v/>
      </c>
      <c r="P10" s="10">
        <f>'Price Book'!N10</f>
        <v/>
      </c>
      <c r="Q10" s="11">
        <f>'Price Book'!O10</f>
        <v/>
      </c>
      <c r="R10" s="14">
        <f>IFERROR(I10/F10,"")</f>
        <v/>
      </c>
      <c r="S10" s="14">
        <f>IFERROR(J10/F10,"")</f>
        <v/>
      </c>
      <c r="T10" s="14">
        <f>IFERROR(K10/F10,"")</f>
        <v/>
      </c>
      <c r="U10" s="11">
        <f>'Price Book'!R10</f>
        <v/>
      </c>
      <c r="V10" s="8">
        <f>'Price Book'!AG10</f>
        <v/>
      </c>
    </row>
    <row r="11">
      <c r="A11" s="8">
        <f>'Price Book'!A11</f>
        <v/>
      </c>
      <c r="B11" s="8">
        <f>'Price Book'!B11</f>
        <v/>
      </c>
      <c r="C11" s="8">
        <f>'Price Book'!C11</f>
        <v/>
      </c>
      <c r="D11" s="8">
        <f>'Price Book'!D11</f>
        <v/>
      </c>
      <c r="E11" s="8">
        <f>'Price Book'!G11</f>
        <v/>
      </c>
      <c r="F11" s="10">
        <f>'Price Book'!I11</f>
        <v/>
      </c>
      <c r="G11" s="11">
        <f>'Price Book'!J11</f>
        <v/>
      </c>
      <c r="H11" s="10">
        <f>'Price Book'!K11</f>
        <v/>
      </c>
      <c r="I11" s="12">
        <f>IFERROR(H11*(1-L11),"")</f>
        <v/>
      </c>
      <c r="J11" s="12">
        <f>IFERROR(H11*(1-M11),"")</f>
        <v/>
      </c>
      <c r="K11" s="12">
        <f>IFERROR(H11*(1-N11),"")</f>
        <v/>
      </c>
      <c r="L11" s="14">
        <f>IF(D11="Start",'Partner Tiers'!$D$5,IF(D11="Pro",'Partner Tiers'!$E$5,IF(D11="Business",'Partner Tiers'!$F$5,IF(D11="Enterprise",'Partner Tiers'!$G$5,""))))</f>
        <v/>
      </c>
      <c r="M11" s="14">
        <f>IF(D11="Start",'Partner Tiers'!$D$6,IF(D11="Pro",'Partner Tiers'!$E$6,IF(D11="Business",'Partner Tiers'!$F$6,IF(D11="Enterprise",'Partner Tiers'!$G$6,""))))</f>
        <v/>
      </c>
      <c r="N11" s="14">
        <f>IF(D11="Start",'Partner Tiers'!$D$7,IF(D11="Pro",'Partner Tiers'!$E$7,IF(D11="Business",'Partner Tiers'!$F$7,IF(D11="Enterprise",'Partner Tiers'!$G$7,""))))</f>
        <v/>
      </c>
      <c r="O11" s="10">
        <f>'Price Book'!M11</f>
        <v/>
      </c>
      <c r="P11" s="10">
        <f>'Price Book'!N11</f>
        <v/>
      </c>
      <c r="Q11" s="11">
        <f>'Price Book'!O11</f>
        <v/>
      </c>
      <c r="R11" s="14">
        <f>IFERROR(I11/F11,"")</f>
        <v/>
      </c>
      <c r="S11" s="14">
        <f>IFERROR(J11/F11,"")</f>
        <v/>
      </c>
      <c r="T11" s="14">
        <f>IFERROR(K11/F11,"")</f>
        <v/>
      </c>
      <c r="U11" s="11">
        <f>'Price Book'!R11</f>
        <v/>
      </c>
      <c r="V11" s="8">
        <f>'Price Book'!AG11</f>
        <v/>
      </c>
    </row>
    <row r="12">
      <c r="A12" s="8">
        <f>'Price Book'!A12</f>
        <v/>
      </c>
      <c r="B12" s="8">
        <f>'Price Book'!B12</f>
        <v/>
      </c>
      <c r="C12" s="8">
        <f>'Price Book'!C12</f>
        <v/>
      </c>
      <c r="D12" s="8">
        <f>'Price Book'!D12</f>
        <v/>
      </c>
      <c r="E12" s="8">
        <f>'Price Book'!G12</f>
        <v/>
      </c>
      <c r="F12" s="10">
        <f>'Price Book'!I12</f>
        <v/>
      </c>
      <c r="G12" s="11">
        <f>'Price Book'!J12</f>
        <v/>
      </c>
      <c r="H12" s="10">
        <f>'Price Book'!K12</f>
        <v/>
      </c>
      <c r="I12" s="12">
        <f>IFERROR(H12*(1-L12),"")</f>
        <v/>
      </c>
      <c r="J12" s="12">
        <f>IFERROR(H12*(1-M12),"")</f>
        <v/>
      </c>
      <c r="K12" s="12">
        <f>IFERROR(H12*(1-N12),"")</f>
        <v/>
      </c>
      <c r="L12" s="14">
        <f>IF(D12="Start",'Partner Tiers'!$D$5,IF(D12="Pro",'Partner Tiers'!$E$5,IF(D12="Business",'Partner Tiers'!$F$5,IF(D12="Enterprise",'Partner Tiers'!$G$5,""))))</f>
        <v/>
      </c>
      <c r="M12" s="14">
        <f>IF(D12="Start",'Partner Tiers'!$D$6,IF(D12="Pro",'Partner Tiers'!$E$6,IF(D12="Business",'Partner Tiers'!$F$6,IF(D12="Enterprise",'Partner Tiers'!$G$6,""))))</f>
        <v/>
      </c>
      <c r="N12" s="14">
        <f>IF(D12="Start",'Partner Tiers'!$D$7,IF(D12="Pro",'Partner Tiers'!$E$7,IF(D12="Business",'Partner Tiers'!$F$7,IF(D12="Enterprise",'Partner Tiers'!$G$7,""))))</f>
        <v/>
      </c>
      <c r="O12" s="10">
        <f>'Price Book'!M12</f>
        <v/>
      </c>
      <c r="P12" s="10">
        <f>'Price Book'!N12</f>
        <v/>
      </c>
      <c r="Q12" s="11">
        <f>'Price Book'!O12</f>
        <v/>
      </c>
      <c r="R12" s="14">
        <f>IFERROR(I12/F12,"")</f>
        <v/>
      </c>
      <c r="S12" s="14">
        <f>IFERROR(J12/F12,"")</f>
        <v/>
      </c>
      <c r="T12" s="14">
        <f>IFERROR(K12/F12,"")</f>
        <v/>
      </c>
      <c r="U12" s="11">
        <f>'Price Book'!R12</f>
        <v/>
      </c>
      <c r="V12" s="8">
        <f>'Price Book'!AG12</f>
        <v/>
      </c>
    </row>
    <row r="13">
      <c r="A13" s="8">
        <f>'Price Book'!A13</f>
        <v/>
      </c>
      <c r="B13" s="8">
        <f>'Price Book'!B13</f>
        <v/>
      </c>
      <c r="C13" s="8">
        <f>'Price Book'!C13</f>
        <v/>
      </c>
      <c r="D13" s="8">
        <f>'Price Book'!D13</f>
        <v/>
      </c>
      <c r="E13" s="8">
        <f>'Price Book'!G13</f>
        <v/>
      </c>
      <c r="F13" s="10">
        <f>'Price Book'!I13</f>
        <v/>
      </c>
      <c r="G13" s="11">
        <f>'Price Book'!J13</f>
        <v/>
      </c>
      <c r="H13" s="10">
        <f>'Price Book'!K13</f>
        <v/>
      </c>
      <c r="I13" s="12">
        <f>IFERROR(H13*(1-L13),"")</f>
        <v/>
      </c>
      <c r="J13" s="12">
        <f>IFERROR(H13*(1-M13),"")</f>
        <v/>
      </c>
      <c r="K13" s="12">
        <f>IFERROR(H13*(1-N13),"")</f>
        <v/>
      </c>
      <c r="L13" s="14">
        <f>IF(D13="Start",'Partner Tiers'!$D$5,IF(D13="Pro",'Partner Tiers'!$E$5,IF(D13="Business",'Partner Tiers'!$F$5,IF(D13="Enterprise",'Partner Tiers'!$G$5,""))))</f>
        <v/>
      </c>
      <c r="M13" s="14">
        <f>IF(D13="Start",'Partner Tiers'!$D$6,IF(D13="Pro",'Partner Tiers'!$E$6,IF(D13="Business",'Partner Tiers'!$F$6,IF(D13="Enterprise",'Partner Tiers'!$G$6,""))))</f>
        <v/>
      </c>
      <c r="N13" s="14">
        <f>IF(D13="Start",'Partner Tiers'!$D$7,IF(D13="Pro",'Partner Tiers'!$E$7,IF(D13="Business",'Partner Tiers'!$F$7,IF(D13="Enterprise",'Partner Tiers'!$G$7,""))))</f>
        <v/>
      </c>
      <c r="O13" s="10">
        <f>'Price Book'!M13</f>
        <v/>
      </c>
      <c r="P13" s="10">
        <f>'Price Book'!N13</f>
        <v/>
      </c>
      <c r="Q13" s="11">
        <f>'Price Book'!O13</f>
        <v/>
      </c>
      <c r="R13" s="14">
        <f>IFERROR(I13/F13,"")</f>
        <v/>
      </c>
      <c r="S13" s="14">
        <f>IFERROR(J13/F13,"")</f>
        <v/>
      </c>
      <c r="T13" s="14">
        <f>IFERROR(K13/F13,"")</f>
        <v/>
      </c>
      <c r="U13" s="11">
        <f>'Price Book'!R13</f>
        <v/>
      </c>
      <c r="V13" s="8">
        <f>'Price Book'!AG13</f>
        <v/>
      </c>
    </row>
    <row r="14">
      <c r="A14" s="8">
        <f>'Price Book'!A14</f>
        <v/>
      </c>
      <c r="B14" s="8">
        <f>'Price Book'!B14</f>
        <v/>
      </c>
      <c r="C14" s="8">
        <f>'Price Book'!C14</f>
        <v/>
      </c>
      <c r="D14" s="8">
        <f>'Price Book'!D14</f>
        <v/>
      </c>
      <c r="E14" s="8">
        <f>'Price Book'!G14</f>
        <v/>
      </c>
      <c r="F14" s="10">
        <f>'Price Book'!I14</f>
        <v/>
      </c>
      <c r="G14" s="11">
        <f>'Price Book'!J14</f>
        <v/>
      </c>
      <c r="H14" s="10">
        <f>'Price Book'!K14</f>
        <v/>
      </c>
      <c r="I14" s="12">
        <f>IFERROR(H14*(1-L14),"")</f>
        <v/>
      </c>
      <c r="J14" s="12">
        <f>IFERROR(H14*(1-M14),"")</f>
        <v/>
      </c>
      <c r="K14" s="12">
        <f>IFERROR(H14*(1-N14),"")</f>
        <v/>
      </c>
      <c r="L14" s="14">
        <f>IF(D14="Start",'Partner Tiers'!$D$5,IF(D14="Pro",'Partner Tiers'!$E$5,IF(D14="Business",'Partner Tiers'!$F$5,IF(D14="Enterprise",'Partner Tiers'!$G$5,""))))</f>
        <v/>
      </c>
      <c r="M14" s="14">
        <f>IF(D14="Start",'Partner Tiers'!$D$6,IF(D14="Pro",'Partner Tiers'!$E$6,IF(D14="Business",'Partner Tiers'!$F$6,IF(D14="Enterprise",'Partner Tiers'!$G$6,""))))</f>
        <v/>
      </c>
      <c r="N14" s="14">
        <f>IF(D14="Start",'Partner Tiers'!$D$7,IF(D14="Pro",'Partner Tiers'!$E$7,IF(D14="Business",'Partner Tiers'!$F$7,IF(D14="Enterprise",'Partner Tiers'!$G$7,""))))</f>
        <v/>
      </c>
      <c r="O14" s="10">
        <f>'Price Book'!M14</f>
        <v/>
      </c>
      <c r="P14" s="10">
        <f>'Price Book'!N14</f>
        <v/>
      </c>
      <c r="Q14" s="11">
        <f>'Price Book'!O14</f>
        <v/>
      </c>
      <c r="R14" s="14">
        <f>IFERROR(I14/F14,"")</f>
        <v/>
      </c>
      <c r="S14" s="14">
        <f>IFERROR(J14/F14,"")</f>
        <v/>
      </c>
      <c r="T14" s="14">
        <f>IFERROR(K14/F14,"")</f>
        <v/>
      </c>
      <c r="U14" s="11">
        <f>'Price Book'!R14</f>
        <v/>
      </c>
      <c r="V14" s="8">
        <f>'Price Book'!AG14</f>
        <v/>
      </c>
    </row>
    <row r="15">
      <c r="A15" s="8">
        <f>'Price Book'!A15</f>
        <v/>
      </c>
      <c r="B15" s="8">
        <f>'Price Book'!B15</f>
        <v/>
      </c>
      <c r="C15" s="8">
        <f>'Price Book'!C15</f>
        <v/>
      </c>
      <c r="D15" s="8">
        <f>'Price Book'!D15</f>
        <v/>
      </c>
      <c r="E15" s="8">
        <f>'Price Book'!G15</f>
        <v/>
      </c>
      <c r="F15" s="10">
        <f>'Price Book'!I15</f>
        <v/>
      </c>
      <c r="G15" s="11">
        <f>'Price Book'!J15</f>
        <v/>
      </c>
      <c r="H15" s="10">
        <f>'Price Book'!K15</f>
        <v/>
      </c>
      <c r="I15" s="12">
        <f>IFERROR(H15*(1-L15),"")</f>
        <v/>
      </c>
      <c r="J15" s="12">
        <f>IFERROR(H15*(1-M15),"")</f>
        <v/>
      </c>
      <c r="K15" s="12">
        <f>IFERROR(H15*(1-N15),"")</f>
        <v/>
      </c>
      <c r="L15" s="14">
        <f>IF(D15="Start",'Partner Tiers'!$D$5,IF(D15="Pro",'Partner Tiers'!$E$5,IF(D15="Business",'Partner Tiers'!$F$5,IF(D15="Enterprise",'Partner Tiers'!$G$5,""))))</f>
        <v/>
      </c>
      <c r="M15" s="14">
        <f>IF(D15="Start",'Partner Tiers'!$D$6,IF(D15="Pro",'Partner Tiers'!$E$6,IF(D15="Business",'Partner Tiers'!$F$6,IF(D15="Enterprise",'Partner Tiers'!$G$6,""))))</f>
        <v/>
      </c>
      <c r="N15" s="14">
        <f>IF(D15="Start",'Partner Tiers'!$D$7,IF(D15="Pro",'Partner Tiers'!$E$7,IF(D15="Business",'Partner Tiers'!$F$7,IF(D15="Enterprise",'Partner Tiers'!$G$7,""))))</f>
        <v/>
      </c>
      <c r="O15" s="10">
        <f>'Price Book'!M15</f>
        <v/>
      </c>
      <c r="P15" s="10">
        <f>'Price Book'!N15</f>
        <v/>
      </c>
      <c r="Q15" s="11">
        <f>'Price Book'!O15</f>
        <v/>
      </c>
      <c r="R15" s="14">
        <f>IFERROR(I15/F15,"")</f>
        <v/>
      </c>
      <c r="S15" s="14">
        <f>IFERROR(J15/F15,"")</f>
        <v/>
      </c>
      <c r="T15" s="14">
        <f>IFERROR(K15/F15,"")</f>
        <v/>
      </c>
      <c r="U15" s="11">
        <f>'Price Book'!R15</f>
        <v/>
      </c>
      <c r="V15" s="8">
        <f>'Price Book'!AG15</f>
        <v/>
      </c>
    </row>
    <row r="16">
      <c r="A16" s="8">
        <f>'Price Book'!A16</f>
        <v/>
      </c>
      <c r="B16" s="8">
        <f>'Price Book'!B16</f>
        <v/>
      </c>
      <c r="C16" s="8">
        <f>'Price Book'!C16</f>
        <v/>
      </c>
      <c r="D16" s="8">
        <f>'Price Book'!D16</f>
        <v/>
      </c>
      <c r="E16" s="8">
        <f>'Price Book'!G16</f>
        <v/>
      </c>
      <c r="F16" s="10">
        <f>'Price Book'!I16</f>
        <v/>
      </c>
      <c r="G16" s="11">
        <f>'Price Book'!J16</f>
        <v/>
      </c>
      <c r="H16" s="10">
        <f>'Price Book'!K16</f>
        <v/>
      </c>
      <c r="I16" s="12">
        <f>IFERROR(H16*(1-L16),"")</f>
        <v/>
      </c>
      <c r="J16" s="12">
        <f>IFERROR(H16*(1-M16),"")</f>
        <v/>
      </c>
      <c r="K16" s="12">
        <f>IFERROR(H16*(1-N16),"")</f>
        <v/>
      </c>
      <c r="L16" s="14">
        <f>IF(D16="Start",'Partner Tiers'!$D$5,IF(D16="Pro",'Partner Tiers'!$E$5,IF(D16="Business",'Partner Tiers'!$F$5,IF(D16="Enterprise",'Partner Tiers'!$G$5,""))))</f>
        <v/>
      </c>
      <c r="M16" s="14">
        <f>IF(D16="Start",'Partner Tiers'!$D$6,IF(D16="Pro",'Partner Tiers'!$E$6,IF(D16="Business",'Partner Tiers'!$F$6,IF(D16="Enterprise",'Partner Tiers'!$G$6,""))))</f>
        <v/>
      </c>
      <c r="N16" s="14">
        <f>IF(D16="Start",'Partner Tiers'!$D$7,IF(D16="Pro",'Partner Tiers'!$E$7,IF(D16="Business",'Partner Tiers'!$F$7,IF(D16="Enterprise",'Partner Tiers'!$G$7,""))))</f>
        <v/>
      </c>
      <c r="O16" s="10">
        <f>'Price Book'!M16</f>
        <v/>
      </c>
      <c r="P16" s="10">
        <f>'Price Book'!N16</f>
        <v/>
      </c>
      <c r="Q16" s="11">
        <f>'Price Book'!O16</f>
        <v/>
      </c>
      <c r="R16" s="14">
        <f>IFERROR(I16/F16,"")</f>
        <v/>
      </c>
      <c r="S16" s="14">
        <f>IFERROR(J16/F16,"")</f>
        <v/>
      </c>
      <c r="T16" s="14">
        <f>IFERROR(K16/F16,"")</f>
        <v/>
      </c>
      <c r="U16" s="11">
        <f>'Price Book'!R16</f>
        <v/>
      </c>
      <c r="V16" s="8">
        <f>'Price Book'!AG16</f>
        <v/>
      </c>
    </row>
    <row r="17">
      <c r="A17" s="8">
        <f>'Price Book'!A17</f>
        <v/>
      </c>
      <c r="B17" s="8">
        <f>'Price Book'!B17</f>
        <v/>
      </c>
      <c r="C17" s="8">
        <f>'Price Book'!C17</f>
        <v/>
      </c>
      <c r="D17" s="8">
        <f>'Price Book'!D17</f>
        <v/>
      </c>
      <c r="E17" s="8">
        <f>'Price Book'!G17</f>
        <v/>
      </c>
      <c r="F17" s="10">
        <f>'Price Book'!I17</f>
        <v/>
      </c>
      <c r="G17" s="11">
        <f>'Price Book'!J17</f>
        <v/>
      </c>
      <c r="H17" s="10">
        <f>'Price Book'!K17</f>
        <v/>
      </c>
      <c r="I17" s="12">
        <f>IFERROR(H17*(1-L17),"")</f>
        <v/>
      </c>
      <c r="J17" s="12">
        <f>IFERROR(H17*(1-M17),"")</f>
        <v/>
      </c>
      <c r="K17" s="12">
        <f>IFERROR(H17*(1-N17),"")</f>
        <v/>
      </c>
      <c r="L17" s="14">
        <f>IF(D17="Start",'Partner Tiers'!$D$5,IF(D17="Pro",'Partner Tiers'!$E$5,IF(D17="Business",'Partner Tiers'!$F$5,IF(D17="Enterprise",'Partner Tiers'!$G$5,""))))</f>
        <v/>
      </c>
      <c r="M17" s="14">
        <f>IF(D17="Start",'Partner Tiers'!$D$6,IF(D17="Pro",'Partner Tiers'!$E$6,IF(D17="Business",'Partner Tiers'!$F$6,IF(D17="Enterprise",'Partner Tiers'!$G$6,""))))</f>
        <v/>
      </c>
      <c r="N17" s="14">
        <f>IF(D17="Start",'Partner Tiers'!$D$7,IF(D17="Pro",'Partner Tiers'!$E$7,IF(D17="Business",'Partner Tiers'!$F$7,IF(D17="Enterprise",'Partner Tiers'!$G$7,""))))</f>
        <v/>
      </c>
      <c r="O17" s="10">
        <f>'Price Book'!M17</f>
        <v/>
      </c>
      <c r="P17" s="10">
        <f>'Price Book'!N17</f>
        <v/>
      </c>
      <c r="Q17" s="11">
        <f>'Price Book'!O17</f>
        <v/>
      </c>
      <c r="R17" s="14">
        <f>IFERROR(I17/F17,"")</f>
        <v/>
      </c>
      <c r="S17" s="14">
        <f>IFERROR(J17/F17,"")</f>
        <v/>
      </c>
      <c r="T17" s="14">
        <f>IFERROR(K17/F17,"")</f>
        <v/>
      </c>
      <c r="U17" s="11">
        <f>'Price Book'!R17</f>
        <v/>
      </c>
      <c r="V17" s="8">
        <f>'Price Book'!AG17</f>
        <v/>
      </c>
    </row>
    <row r="18">
      <c r="A18" s="8">
        <f>'Price Book'!A18</f>
        <v/>
      </c>
      <c r="B18" s="8">
        <f>'Price Book'!B18</f>
        <v/>
      </c>
      <c r="C18" s="8">
        <f>'Price Book'!C18</f>
        <v/>
      </c>
      <c r="D18" s="8">
        <f>'Price Book'!D18</f>
        <v/>
      </c>
      <c r="E18" s="8">
        <f>'Price Book'!G18</f>
        <v/>
      </c>
      <c r="F18" s="10">
        <f>'Price Book'!I18</f>
        <v/>
      </c>
      <c r="G18" s="11">
        <f>'Price Book'!J18</f>
        <v/>
      </c>
      <c r="H18" s="10">
        <f>'Price Book'!K18</f>
        <v/>
      </c>
      <c r="I18" s="12">
        <f>IFERROR(H18*(1-L18),"")</f>
        <v/>
      </c>
      <c r="J18" s="12">
        <f>IFERROR(H18*(1-M18),"")</f>
        <v/>
      </c>
      <c r="K18" s="12">
        <f>IFERROR(H18*(1-N18),"")</f>
        <v/>
      </c>
      <c r="L18" s="14">
        <f>IF(D18="Start",'Partner Tiers'!$D$5,IF(D18="Pro",'Partner Tiers'!$E$5,IF(D18="Business",'Partner Tiers'!$F$5,IF(D18="Enterprise",'Partner Tiers'!$G$5,""))))</f>
        <v/>
      </c>
      <c r="M18" s="14">
        <f>IF(D18="Start",'Partner Tiers'!$D$6,IF(D18="Pro",'Partner Tiers'!$E$6,IF(D18="Business",'Partner Tiers'!$F$6,IF(D18="Enterprise",'Partner Tiers'!$G$6,""))))</f>
        <v/>
      </c>
      <c r="N18" s="14">
        <f>IF(D18="Start",'Partner Tiers'!$D$7,IF(D18="Pro",'Partner Tiers'!$E$7,IF(D18="Business",'Partner Tiers'!$F$7,IF(D18="Enterprise",'Partner Tiers'!$G$7,""))))</f>
        <v/>
      </c>
      <c r="O18" s="10">
        <f>'Price Book'!M18</f>
        <v/>
      </c>
      <c r="P18" s="10">
        <f>'Price Book'!N18</f>
        <v/>
      </c>
      <c r="Q18" s="11">
        <f>'Price Book'!O18</f>
        <v/>
      </c>
      <c r="R18" s="14">
        <f>IFERROR(I18/F18,"")</f>
        <v/>
      </c>
      <c r="S18" s="14">
        <f>IFERROR(J18/F18,"")</f>
        <v/>
      </c>
      <c r="T18" s="14">
        <f>IFERROR(K18/F18,"")</f>
        <v/>
      </c>
      <c r="U18" s="11">
        <f>'Price Book'!R18</f>
        <v/>
      </c>
      <c r="V18" s="8">
        <f>'Price Book'!AG18</f>
        <v/>
      </c>
    </row>
    <row r="19">
      <c r="A19" s="8">
        <f>'Price Book'!A19</f>
        <v/>
      </c>
      <c r="B19" s="8">
        <f>'Price Book'!B19</f>
        <v/>
      </c>
      <c r="C19" s="8">
        <f>'Price Book'!C19</f>
        <v/>
      </c>
      <c r="D19" s="8">
        <f>'Price Book'!D19</f>
        <v/>
      </c>
      <c r="E19" s="8">
        <f>'Price Book'!G19</f>
        <v/>
      </c>
      <c r="F19" s="10">
        <f>'Price Book'!I19</f>
        <v/>
      </c>
      <c r="G19" s="11">
        <f>'Price Book'!J19</f>
        <v/>
      </c>
      <c r="H19" s="10">
        <f>'Price Book'!K19</f>
        <v/>
      </c>
      <c r="I19" s="12">
        <f>IFERROR(H19*(1-L19),"")</f>
        <v/>
      </c>
      <c r="J19" s="12">
        <f>IFERROR(H19*(1-M19),"")</f>
        <v/>
      </c>
      <c r="K19" s="12">
        <f>IFERROR(H19*(1-N19),"")</f>
        <v/>
      </c>
      <c r="L19" s="14">
        <f>IF(D19="Start",'Partner Tiers'!$D$5,IF(D19="Pro",'Partner Tiers'!$E$5,IF(D19="Business",'Partner Tiers'!$F$5,IF(D19="Enterprise",'Partner Tiers'!$G$5,""))))</f>
        <v/>
      </c>
      <c r="M19" s="14">
        <f>IF(D19="Start",'Partner Tiers'!$D$6,IF(D19="Pro",'Partner Tiers'!$E$6,IF(D19="Business",'Partner Tiers'!$F$6,IF(D19="Enterprise",'Partner Tiers'!$G$6,""))))</f>
        <v/>
      </c>
      <c r="N19" s="14">
        <f>IF(D19="Start",'Partner Tiers'!$D$7,IF(D19="Pro",'Partner Tiers'!$E$7,IF(D19="Business",'Partner Tiers'!$F$7,IF(D19="Enterprise",'Partner Tiers'!$G$7,""))))</f>
        <v/>
      </c>
      <c r="O19" s="10">
        <f>'Price Book'!M19</f>
        <v/>
      </c>
      <c r="P19" s="10">
        <f>'Price Book'!N19</f>
        <v/>
      </c>
      <c r="Q19" s="11">
        <f>'Price Book'!O19</f>
        <v/>
      </c>
      <c r="R19" s="14">
        <f>IFERROR(I19/F19,"")</f>
        <v/>
      </c>
      <c r="S19" s="14">
        <f>IFERROR(J19/F19,"")</f>
        <v/>
      </c>
      <c r="T19" s="14">
        <f>IFERROR(K19/F19,"")</f>
        <v/>
      </c>
      <c r="U19" s="11">
        <f>'Price Book'!R19</f>
        <v/>
      </c>
      <c r="V19" s="8">
        <f>'Price Book'!AG19</f>
        <v/>
      </c>
    </row>
    <row r="20">
      <c r="A20" s="8">
        <f>'Price Book'!A20</f>
        <v/>
      </c>
      <c r="B20" s="8">
        <f>'Price Book'!B20</f>
        <v/>
      </c>
      <c r="C20" s="8">
        <f>'Price Book'!C20</f>
        <v/>
      </c>
      <c r="D20" s="8">
        <f>'Price Book'!D20</f>
        <v/>
      </c>
      <c r="E20" s="8">
        <f>'Price Book'!G20</f>
        <v/>
      </c>
      <c r="F20" s="10">
        <f>'Price Book'!I20</f>
        <v/>
      </c>
      <c r="G20" s="11">
        <f>'Price Book'!J20</f>
        <v/>
      </c>
      <c r="H20" s="10">
        <f>'Price Book'!K20</f>
        <v/>
      </c>
      <c r="I20" s="12">
        <f>IFERROR(H20*(1-L20),"")</f>
        <v/>
      </c>
      <c r="J20" s="12">
        <f>IFERROR(H20*(1-M20),"")</f>
        <v/>
      </c>
      <c r="K20" s="12">
        <f>IFERROR(H20*(1-N20),"")</f>
        <v/>
      </c>
      <c r="L20" s="14">
        <f>IF(D20="Start",'Partner Tiers'!$D$5,IF(D20="Pro",'Partner Tiers'!$E$5,IF(D20="Business",'Partner Tiers'!$F$5,IF(D20="Enterprise",'Partner Tiers'!$G$5,""))))</f>
        <v/>
      </c>
      <c r="M20" s="14">
        <f>IF(D20="Start",'Partner Tiers'!$D$6,IF(D20="Pro",'Partner Tiers'!$E$6,IF(D20="Business",'Partner Tiers'!$F$6,IF(D20="Enterprise",'Partner Tiers'!$G$6,""))))</f>
        <v/>
      </c>
      <c r="N20" s="14">
        <f>IF(D20="Start",'Partner Tiers'!$D$7,IF(D20="Pro",'Partner Tiers'!$E$7,IF(D20="Business",'Partner Tiers'!$F$7,IF(D20="Enterprise",'Partner Tiers'!$G$7,""))))</f>
        <v/>
      </c>
      <c r="O20" s="10">
        <f>'Price Book'!M20</f>
        <v/>
      </c>
      <c r="P20" s="10">
        <f>'Price Book'!N20</f>
        <v/>
      </c>
      <c r="Q20" s="11">
        <f>'Price Book'!O20</f>
        <v/>
      </c>
      <c r="R20" s="14">
        <f>IFERROR(I20/F20,"")</f>
        <v/>
      </c>
      <c r="S20" s="14">
        <f>IFERROR(J20/F20,"")</f>
        <v/>
      </c>
      <c r="T20" s="14">
        <f>IFERROR(K20/F20,"")</f>
        <v/>
      </c>
      <c r="U20" s="11">
        <f>'Price Book'!R20</f>
        <v/>
      </c>
      <c r="V20" s="8">
        <f>'Price Book'!AG20</f>
        <v/>
      </c>
    </row>
    <row r="21">
      <c r="A21" s="8">
        <f>'Price Book'!A21</f>
        <v/>
      </c>
      <c r="B21" s="8">
        <f>'Price Book'!B21</f>
        <v/>
      </c>
      <c r="C21" s="8">
        <f>'Price Book'!C21</f>
        <v/>
      </c>
      <c r="D21" s="8">
        <f>'Price Book'!D21</f>
        <v/>
      </c>
      <c r="E21" s="8">
        <f>'Price Book'!G21</f>
        <v/>
      </c>
      <c r="F21" s="10">
        <f>'Price Book'!I21</f>
        <v/>
      </c>
      <c r="G21" s="11">
        <f>'Price Book'!J21</f>
        <v/>
      </c>
      <c r="H21" s="10">
        <f>'Price Book'!K21</f>
        <v/>
      </c>
      <c r="I21" s="12">
        <f>IFERROR(H21*(1-L21),"")</f>
        <v/>
      </c>
      <c r="J21" s="12">
        <f>IFERROR(H21*(1-M21),"")</f>
        <v/>
      </c>
      <c r="K21" s="12">
        <f>IFERROR(H21*(1-N21),"")</f>
        <v/>
      </c>
      <c r="L21" s="14">
        <f>IF(D21="Start",'Partner Tiers'!$D$5,IF(D21="Pro",'Partner Tiers'!$E$5,IF(D21="Business",'Partner Tiers'!$F$5,IF(D21="Enterprise",'Partner Tiers'!$G$5,""))))</f>
        <v/>
      </c>
      <c r="M21" s="14">
        <f>IF(D21="Start",'Partner Tiers'!$D$6,IF(D21="Pro",'Partner Tiers'!$E$6,IF(D21="Business",'Partner Tiers'!$F$6,IF(D21="Enterprise",'Partner Tiers'!$G$6,""))))</f>
        <v/>
      </c>
      <c r="N21" s="14">
        <f>IF(D21="Start",'Partner Tiers'!$D$7,IF(D21="Pro",'Partner Tiers'!$E$7,IF(D21="Business",'Partner Tiers'!$F$7,IF(D21="Enterprise",'Partner Tiers'!$G$7,""))))</f>
        <v/>
      </c>
      <c r="O21" s="10">
        <f>'Price Book'!M21</f>
        <v/>
      </c>
      <c r="P21" s="10">
        <f>'Price Book'!N21</f>
        <v/>
      </c>
      <c r="Q21" s="11">
        <f>'Price Book'!O21</f>
        <v/>
      </c>
      <c r="R21" s="14">
        <f>IFERROR(I21/F21,"")</f>
        <v/>
      </c>
      <c r="S21" s="14">
        <f>IFERROR(J21/F21,"")</f>
        <v/>
      </c>
      <c r="T21" s="14">
        <f>IFERROR(K21/F21,"")</f>
        <v/>
      </c>
      <c r="U21" s="11">
        <f>'Price Book'!R21</f>
        <v/>
      </c>
      <c r="V21" s="8">
        <f>'Price Book'!AG21</f>
        <v/>
      </c>
    </row>
    <row r="22">
      <c r="A22" s="8">
        <f>'Price Book'!A22</f>
        <v/>
      </c>
      <c r="B22" s="8">
        <f>'Price Book'!B22</f>
        <v/>
      </c>
      <c r="C22" s="8">
        <f>'Price Book'!C22</f>
        <v/>
      </c>
      <c r="D22" s="8">
        <f>'Price Book'!D22</f>
        <v/>
      </c>
      <c r="E22" s="8">
        <f>'Price Book'!G22</f>
        <v/>
      </c>
      <c r="F22" s="10">
        <f>'Price Book'!I22</f>
        <v/>
      </c>
      <c r="G22" s="11">
        <f>'Price Book'!J22</f>
        <v/>
      </c>
      <c r="H22" s="10">
        <f>'Price Book'!K22</f>
        <v/>
      </c>
      <c r="I22" s="12">
        <f>IFERROR(H22*(1-L22),"")</f>
        <v/>
      </c>
      <c r="J22" s="12">
        <f>IFERROR(H22*(1-M22),"")</f>
        <v/>
      </c>
      <c r="K22" s="12">
        <f>IFERROR(H22*(1-N22),"")</f>
        <v/>
      </c>
      <c r="L22" s="14">
        <f>IF(D22="Start",'Partner Tiers'!$D$5,IF(D22="Pro",'Partner Tiers'!$E$5,IF(D22="Business",'Partner Tiers'!$F$5,IF(D22="Enterprise",'Partner Tiers'!$G$5,""))))</f>
        <v/>
      </c>
      <c r="M22" s="14">
        <f>IF(D22="Start",'Partner Tiers'!$D$6,IF(D22="Pro",'Partner Tiers'!$E$6,IF(D22="Business",'Partner Tiers'!$F$6,IF(D22="Enterprise",'Partner Tiers'!$G$6,""))))</f>
        <v/>
      </c>
      <c r="N22" s="14">
        <f>IF(D22="Start",'Partner Tiers'!$D$7,IF(D22="Pro",'Partner Tiers'!$E$7,IF(D22="Business",'Partner Tiers'!$F$7,IF(D22="Enterprise",'Partner Tiers'!$G$7,""))))</f>
        <v/>
      </c>
      <c r="O22" s="10">
        <f>'Price Book'!M22</f>
        <v/>
      </c>
      <c r="P22" s="10">
        <f>'Price Book'!N22</f>
        <v/>
      </c>
      <c r="Q22" s="11">
        <f>'Price Book'!O22</f>
        <v/>
      </c>
      <c r="R22" s="14">
        <f>IFERROR(I22/F22,"")</f>
        <v/>
      </c>
      <c r="S22" s="14">
        <f>IFERROR(J22/F22,"")</f>
        <v/>
      </c>
      <c r="T22" s="14">
        <f>IFERROR(K22/F22,"")</f>
        <v/>
      </c>
      <c r="U22" s="11">
        <f>'Price Book'!R22</f>
        <v/>
      </c>
      <c r="V22" s="8">
        <f>'Price Book'!AG22</f>
        <v/>
      </c>
    </row>
    <row r="23">
      <c r="A23" s="8">
        <f>'Price Book'!A23</f>
        <v/>
      </c>
      <c r="B23" s="8">
        <f>'Price Book'!B23</f>
        <v/>
      </c>
      <c r="C23" s="8">
        <f>'Price Book'!C23</f>
        <v/>
      </c>
      <c r="D23" s="8">
        <f>'Price Book'!D23</f>
        <v/>
      </c>
      <c r="E23" s="8">
        <f>'Price Book'!G23</f>
        <v/>
      </c>
      <c r="F23" s="10">
        <f>'Price Book'!I23</f>
        <v/>
      </c>
      <c r="G23" s="11">
        <f>'Price Book'!J23</f>
        <v/>
      </c>
      <c r="H23" s="10">
        <f>'Price Book'!K23</f>
        <v/>
      </c>
      <c r="I23" s="12">
        <f>IFERROR(H23*(1-L23),"")</f>
        <v/>
      </c>
      <c r="J23" s="12">
        <f>IFERROR(H23*(1-M23),"")</f>
        <v/>
      </c>
      <c r="K23" s="12">
        <f>IFERROR(H23*(1-N23),"")</f>
        <v/>
      </c>
      <c r="L23" s="14">
        <f>IF(D23="Start",'Partner Tiers'!$D$5,IF(D23="Pro",'Partner Tiers'!$E$5,IF(D23="Business",'Partner Tiers'!$F$5,IF(D23="Enterprise",'Partner Tiers'!$G$5,""))))</f>
        <v/>
      </c>
      <c r="M23" s="14">
        <f>IF(D23="Start",'Partner Tiers'!$D$6,IF(D23="Pro",'Partner Tiers'!$E$6,IF(D23="Business",'Partner Tiers'!$F$6,IF(D23="Enterprise",'Partner Tiers'!$G$6,""))))</f>
        <v/>
      </c>
      <c r="N23" s="14">
        <f>IF(D23="Start",'Partner Tiers'!$D$7,IF(D23="Pro",'Partner Tiers'!$E$7,IF(D23="Business",'Partner Tiers'!$F$7,IF(D23="Enterprise",'Partner Tiers'!$G$7,""))))</f>
        <v/>
      </c>
      <c r="O23" s="10">
        <f>'Price Book'!M23</f>
        <v/>
      </c>
      <c r="P23" s="10">
        <f>'Price Book'!N23</f>
        <v/>
      </c>
      <c r="Q23" s="11">
        <f>'Price Book'!O23</f>
        <v/>
      </c>
      <c r="R23" s="14">
        <f>IFERROR(I23/F23,"")</f>
        <v/>
      </c>
      <c r="S23" s="14">
        <f>IFERROR(J23/F23,"")</f>
        <v/>
      </c>
      <c r="T23" s="14">
        <f>IFERROR(K23/F23,"")</f>
        <v/>
      </c>
      <c r="U23" s="11">
        <f>'Price Book'!R23</f>
        <v/>
      </c>
      <c r="V23" s="8">
        <f>'Price Book'!AG23</f>
        <v/>
      </c>
    </row>
    <row r="24">
      <c r="A24" s="8">
        <f>'Price Book'!A24</f>
        <v/>
      </c>
      <c r="B24" s="8">
        <f>'Price Book'!B24</f>
        <v/>
      </c>
      <c r="C24" s="8">
        <f>'Price Book'!C24</f>
        <v/>
      </c>
      <c r="D24" s="8">
        <f>'Price Book'!D24</f>
        <v/>
      </c>
      <c r="E24" s="8">
        <f>'Price Book'!G24</f>
        <v/>
      </c>
      <c r="F24" s="10">
        <f>'Price Book'!I24</f>
        <v/>
      </c>
      <c r="G24" s="11">
        <f>'Price Book'!J24</f>
        <v/>
      </c>
      <c r="H24" s="10">
        <f>'Price Book'!K24</f>
        <v/>
      </c>
      <c r="I24" s="12">
        <f>IFERROR(H24*(1-L24),"")</f>
        <v/>
      </c>
      <c r="J24" s="12">
        <f>IFERROR(H24*(1-M24),"")</f>
        <v/>
      </c>
      <c r="K24" s="12">
        <f>IFERROR(H24*(1-N24),"")</f>
        <v/>
      </c>
      <c r="L24" s="14">
        <f>IF(D24="Start",'Partner Tiers'!$D$5,IF(D24="Pro",'Partner Tiers'!$E$5,IF(D24="Business",'Partner Tiers'!$F$5,IF(D24="Enterprise",'Partner Tiers'!$G$5,""))))</f>
        <v/>
      </c>
      <c r="M24" s="14">
        <f>IF(D24="Start",'Partner Tiers'!$D$6,IF(D24="Pro",'Partner Tiers'!$E$6,IF(D24="Business",'Partner Tiers'!$F$6,IF(D24="Enterprise",'Partner Tiers'!$G$6,""))))</f>
        <v/>
      </c>
      <c r="N24" s="14">
        <f>IF(D24="Start",'Partner Tiers'!$D$7,IF(D24="Pro",'Partner Tiers'!$E$7,IF(D24="Business",'Partner Tiers'!$F$7,IF(D24="Enterprise",'Partner Tiers'!$G$7,""))))</f>
        <v/>
      </c>
      <c r="O24" s="10">
        <f>'Price Book'!M24</f>
        <v/>
      </c>
      <c r="P24" s="10">
        <f>'Price Book'!N24</f>
        <v/>
      </c>
      <c r="Q24" s="11">
        <f>'Price Book'!O24</f>
        <v/>
      </c>
      <c r="R24" s="14">
        <f>IFERROR(I24/F24,"")</f>
        <v/>
      </c>
      <c r="S24" s="14">
        <f>IFERROR(J24/F24,"")</f>
        <v/>
      </c>
      <c r="T24" s="14">
        <f>IFERROR(K24/F24,"")</f>
        <v/>
      </c>
      <c r="U24" s="11">
        <f>'Price Book'!R24</f>
        <v/>
      </c>
      <c r="V24" s="8">
        <f>'Price Book'!AG24</f>
        <v/>
      </c>
    </row>
    <row r="25">
      <c r="A25" s="8">
        <f>'Price Book'!A25</f>
        <v/>
      </c>
      <c r="B25" s="8">
        <f>'Price Book'!B25</f>
        <v/>
      </c>
      <c r="C25" s="8">
        <f>'Price Book'!C25</f>
        <v/>
      </c>
      <c r="D25" s="8">
        <f>'Price Book'!D25</f>
        <v/>
      </c>
      <c r="E25" s="8">
        <f>'Price Book'!G25</f>
        <v/>
      </c>
      <c r="F25" s="10">
        <f>'Price Book'!I25</f>
        <v/>
      </c>
      <c r="G25" s="11">
        <f>'Price Book'!J25</f>
        <v/>
      </c>
      <c r="H25" s="10">
        <f>'Price Book'!K25</f>
        <v/>
      </c>
      <c r="I25" s="12">
        <f>IFERROR(H25*(1-L25),"")</f>
        <v/>
      </c>
      <c r="J25" s="12">
        <f>IFERROR(H25*(1-M25),"")</f>
        <v/>
      </c>
      <c r="K25" s="12">
        <f>IFERROR(H25*(1-N25),"")</f>
        <v/>
      </c>
      <c r="L25" s="14">
        <f>IF(D25="Start",'Partner Tiers'!$D$5,IF(D25="Pro",'Partner Tiers'!$E$5,IF(D25="Business",'Partner Tiers'!$F$5,IF(D25="Enterprise",'Partner Tiers'!$G$5,""))))</f>
        <v/>
      </c>
      <c r="M25" s="14">
        <f>IF(D25="Start",'Partner Tiers'!$D$6,IF(D25="Pro",'Partner Tiers'!$E$6,IF(D25="Business",'Partner Tiers'!$F$6,IF(D25="Enterprise",'Partner Tiers'!$G$6,""))))</f>
        <v/>
      </c>
      <c r="N25" s="14">
        <f>IF(D25="Start",'Partner Tiers'!$D$7,IF(D25="Pro",'Partner Tiers'!$E$7,IF(D25="Business",'Partner Tiers'!$F$7,IF(D25="Enterprise",'Partner Tiers'!$G$7,""))))</f>
        <v/>
      </c>
      <c r="O25" s="10">
        <f>'Price Book'!M25</f>
        <v/>
      </c>
      <c r="P25" s="10">
        <f>'Price Book'!N25</f>
        <v/>
      </c>
      <c r="Q25" s="11">
        <f>'Price Book'!O25</f>
        <v/>
      </c>
      <c r="R25" s="14">
        <f>IFERROR(I25/F25,"")</f>
        <v/>
      </c>
      <c r="S25" s="14">
        <f>IFERROR(J25/F25,"")</f>
        <v/>
      </c>
      <c r="T25" s="14">
        <f>IFERROR(K25/F25,"")</f>
        <v/>
      </c>
      <c r="U25" s="11">
        <f>'Price Book'!R25</f>
        <v/>
      </c>
      <c r="V25" s="8">
        <f>'Price Book'!AG25</f>
        <v/>
      </c>
    </row>
    <row r="26">
      <c r="A26" s="8">
        <f>'Price Book'!A26</f>
        <v/>
      </c>
      <c r="B26" s="8">
        <f>'Price Book'!B26</f>
        <v/>
      </c>
      <c r="C26" s="8">
        <f>'Price Book'!C26</f>
        <v/>
      </c>
      <c r="D26" s="8">
        <f>'Price Book'!D26</f>
        <v/>
      </c>
      <c r="E26" s="8">
        <f>'Price Book'!G26</f>
        <v/>
      </c>
      <c r="F26" s="10">
        <f>'Price Book'!I26</f>
        <v/>
      </c>
      <c r="G26" s="11">
        <f>'Price Book'!J26</f>
        <v/>
      </c>
      <c r="H26" s="10">
        <f>'Price Book'!K26</f>
        <v/>
      </c>
      <c r="I26" s="12">
        <f>IFERROR(H26*(1-L26),"")</f>
        <v/>
      </c>
      <c r="J26" s="12">
        <f>IFERROR(H26*(1-M26),"")</f>
        <v/>
      </c>
      <c r="K26" s="12">
        <f>IFERROR(H26*(1-N26),"")</f>
        <v/>
      </c>
      <c r="L26" s="14">
        <f>IF(D26="Start",'Partner Tiers'!$D$5,IF(D26="Pro",'Partner Tiers'!$E$5,IF(D26="Business",'Partner Tiers'!$F$5,IF(D26="Enterprise",'Partner Tiers'!$G$5,""))))</f>
        <v/>
      </c>
      <c r="M26" s="14">
        <f>IF(D26="Start",'Partner Tiers'!$D$6,IF(D26="Pro",'Partner Tiers'!$E$6,IF(D26="Business",'Partner Tiers'!$F$6,IF(D26="Enterprise",'Partner Tiers'!$G$6,""))))</f>
        <v/>
      </c>
      <c r="N26" s="14">
        <f>IF(D26="Start",'Partner Tiers'!$D$7,IF(D26="Pro",'Partner Tiers'!$E$7,IF(D26="Business",'Partner Tiers'!$F$7,IF(D26="Enterprise",'Partner Tiers'!$G$7,""))))</f>
        <v/>
      </c>
      <c r="O26" s="10">
        <f>'Price Book'!M26</f>
        <v/>
      </c>
      <c r="P26" s="10">
        <f>'Price Book'!N26</f>
        <v/>
      </c>
      <c r="Q26" s="11">
        <f>'Price Book'!O26</f>
        <v/>
      </c>
      <c r="R26" s="14">
        <f>IFERROR(I26/F26,"")</f>
        <v/>
      </c>
      <c r="S26" s="14">
        <f>IFERROR(J26/F26,"")</f>
        <v/>
      </c>
      <c r="T26" s="14">
        <f>IFERROR(K26/F26,"")</f>
        <v/>
      </c>
      <c r="U26" s="11">
        <f>'Price Book'!R26</f>
        <v/>
      </c>
      <c r="V26" s="8">
        <f>'Price Book'!AG26</f>
        <v/>
      </c>
    </row>
    <row r="27">
      <c r="A27" s="8">
        <f>'Price Book'!A27</f>
        <v/>
      </c>
      <c r="B27" s="8">
        <f>'Price Book'!B27</f>
        <v/>
      </c>
      <c r="C27" s="8">
        <f>'Price Book'!C27</f>
        <v/>
      </c>
      <c r="D27" s="8">
        <f>'Price Book'!D27</f>
        <v/>
      </c>
      <c r="E27" s="8">
        <f>'Price Book'!G27</f>
        <v/>
      </c>
      <c r="F27" s="10">
        <f>'Price Book'!I27</f>
        <v/>
      </c>
      <c r="G27" s="11">
        <f>'Price Book'!J27</f>
        <v/>
      </c>
      <c r="H27" s="10">
        <f>'Price Book'!K27</f>
        <v/>
      </c>
      <c r="I27" s="12">
        <f>IFERROR(H27*(1-L27),"")</f>
        <v/>
      </c>
      <c r="J27" s="12">
        <f>IFERROR(H27*(1-M27),"")</f>
        <v/>
      </c>
      <c r="K27" s="12">
        <f>IFERROR(H27*(1-N27),"")</f>
        <v/>
      </c>
      <c r="L27" s="14">
        <f>IF(D27="Start",'Partner Tiers'!$D$5,IF(D27="Pro",'Partner Tiers'!$E$5,IF(D27="Business",'Partner Tiers'!$F$5,IF(D27="Enterprise",'Partner Tiers'!$G$5,""))))</f>
        <v/>
      </c>
      <c r="M27" s="14">
        <f>IF(D27="Start",'Partner Tiers'!$D$6,IF(D27="Pro",'Partner Tiers'!$E$6,IF(D27="Business",'Partner Tiers'!$F$6,IF(D27="Enterprise",'Partner Tiers'!$G$6,""))))</f>
        <v/>
      </c>
      <c r="N27" s="14">
        <f>IF(D27="Start",'Partner Tiers'!$D$7,IF(D27="Pro",'Partner Tiers'!$E$7,IF(D27="Business",'Partner Tiers'!$F$7,IF(D27="Enterprise",'Partner Tiers'!$G$7,""))))</f>
        <v/>
      </c>
      <c r="O27" s="10">
        <f>'Price Book'!M27</f>
        <v/>
      </c>
      <c r="P27" s="10">
        <f>'Price Book'!N27</f>
        <v/>
      </c>
      <c r="Q27" s="11">
        <f>'Price Book'!O27</f>
        <v/>
      </c>
      <c r="R27" s="14">
        <f>IFERROR(I27/F27,"")</f>
        <v/>
      </c>
      <c r="S27" s="14">
        <f>IFERROR(J27/F27,"")</f>
        <v/>
      </c>
      <c r="T27" s="14">
        <f>IFERROR(K27/F27,"")</f>
        <v/>
      </c>
      <c r="U27" s="11">
        <f>'Price Book'!R27</f>
        <v/>
      </c>
      <c r="V27" s="8">
        <f>'Price Book'!AG27</f>
        <v/>
      </c>
    </row>
    <row r="28">
      <c r="A28" s="8">
        <f>'Price Book'!A28</f>
        <v/>
      </c>
      <c r="B28" s="8">
        <f>'Price Book'!B28</f>
        <v/>
      </c>
      <c r="C28" s="8">
        <f>'Price Book'!C28</f>
        <v/>
      </c>
      <c r="D28" s="8">
        <f>'Price Book'!D28</f>
        <v/>
      </c>
      <c r="E28" s="8">
        <f>'Price Book'!G28</f>
        <v/>
      </c>
      <c r="F28" s="10">
        <f>'Price Book'!I28</f>
        <v/>
      </c>
      <c r="G28" s="11">
        <f>'Price Book'!J28</f>
        <v/>
      </c>
      <c r="H28" s="10">
        <f>'Price Book'!K28</f>
        <v/>
      </c>
      <c r="I28" s="12">
        <f>IFERROR(H28*(1-L28),"")</f>
        <v/>
      </c>
      <c r="J28" s="12">
        <f>IFERROR(H28*(1-M28),"")</f>
        <v/>
      </c>
      <c r="K28" s="12">
        <f>IFERROR(H28*(1-N28),"")</f>
        <v/>
      </c>
      <c r="L28" s="14">
        <f>IF(D28="Start",'Partner Tiers'!$D$5,IF(D28="Pro",'Partner Tiers'!$E$5,IF(D28="Business",'Partner Tiers'!$F$5,IF(D28="Enterprise",'Partner Tiers'!$G$5,""))))</f>
        <v/>
      </c>
      <c r="M28" s="14">
        <f>IF(D28="Start",'Partner Tiers'!$D$6,IF(D28="Pro",'Partner Tiers'!$E$6,IF(D28="Business",'Partner Tiers'!$F$6,IF(D28="Enterprise",'Partner Tiers'!$G$6,""))))</f>
        <v/>
      </c>
      <c r="N28" s="14">
        <f>IF(D28="Start",'Partner Tiers'!$D$7,IF(D28="Pro",'Partner Tiers'!$E$7,IF(D28="Business",'Partner Tiers'!$F$7,IF(D28="Enterprise",'Partner Tiers'!$G$7,""))))</f>
        <v/>
      </c>
      <c r="O28" s="10">
        <f>'Price Book'!M28</f>
        <v/>
      </c>
      <c r="P28" s="10">
        <f>'Price Book'!N28</f>
        <v/>
      </c>
      <c r="Q28" s="11">
        <f>'Price Book'!O28</f>
        <v/>
      </c>
      <c r="R28" s="14">
        <f>IFERROR(I28/F28,"")</f>
        <v/>
      </c>
      <c r="S28" s="14">
        <f>IFERROR(J28/F28,"")</f>
        <v/>
      </c>
      <c r="T28" s="14">
        <f>IFERROR(K28/F28,"")</f>
        <v/>
      </c>
      <c r="U28" s="11">
        <f>'Price Book'!R28</f>
        <v/>
      </c>
      <c r="V28" s="8">
        <f>'Price Book'!AG28</f>
        <v/>
      </c>
    </row>
    <row r="29">
      <c r="A29" s="8">
        <f>'Price Book'!A29</f>
        <v/>
      </c>
      <c r="B29" s="8">
        <f>'Price Book'!B29</f>
        <v/>
      </c>
      <c r="C29" s="8">
        <f>'Price Book'!C29</f>
        <v/>
      </c>
      <c r="D29" s="8">
        <f>'Price Book'!D29</f>
        <v/>
      </c>
      <c r="E29" s="8">
        <f>'Price Book'!G29</f>
        <v/>
      </c>
      <c r="F29" s="10">
        <f>'Price Book'!I29</f>
        <v/>
      </c>
      <c r="G29" s="11">
        <f>'Price Book'!J29</f>
        <v/>
      </c>
      <c r="H29" s="10">
        <f>'Price Book'!K29</f>
        <v/>
      </c>
      <c r="I29" s="12">
        <f>IFERROR(H29*(1-L29),"")</f>
        <v/>
      </c>
      <c r="J29" s="12">
        <f>IFERROR(H29*(1-M29),"")</f>
        <v/>
      </c>
      <c r="K29" s="12">
        <f>IFERROR(H29*(1-N29),"")</f>
        <v/>
      </c>
      <c r="L29" s="14">
        <f>IF(D29="Start",'Partner Tiers'!$D$5,IF(D29="Pro",'Partner Tiers'!$E$5,IF(D29="Business",'Partner Tiers'!$F$5,IF(D29="Enterprise",'Partner Tiers'!$G$5,""))))</f>
        <v/>
      </c>
      <c r="M29" s="14">
        <f>IF(D29="Start",'Partner Tiers'!$D$6,IF(D29="Pro",'Partner Tiers'!$E$6,IF(D29="Business",'Partner Tiers'!$F$6,IF(D29="Enterprise",'Partner Tiers'!$G$6,""))))</f>
        <v/>
      </c>
      <c r="N29" s="14">
        <f>IF(D29="Start",'Partner Tiers'!$D$7,IF(D29="Pro",'Partner Tiers'!$E$7,IF(D29="Business",'Partner Tiers'!$F$7,IF(D29="Enterprise",'Partner Tiers'!$G$7,""))))</f>
        <v/>
      </c>
      <c r="O29" s="10">
        <f>'Price Book'!M29</f>
        <v/>
      </c>
      <c r="P29" s="10">
        <f>'Price Book'!N29</f>
        <v/>
      </c>
      <c r="Q29" s="11">
        <f>'Price Book'!O29</f>
        <v/>
      </c>
      <c r="R29" s="14">
        <f>IFERROR(I29/F29,"")</f>
        <v/>
      </c>
      <c r="S29" s="14">
        <f>IFERROR(J29/F29,"")</f>
        <v/>
      </c>
      <c r="T29" s="14">
        <f>IFERROR(K29/F29,"")</f>
        <v/>
      </c>
      <c r="U29" s="11">
        <f>'Price Book'!R29</f>
        <v/>
      </c>
      <c r="V29" s="8">
        <f>'Price Book'!AG29</f>
        <v/>
      </c>
    </row>
    <row r="30">
      <c r="A30" s="8">
        <f>'Price Book'!A30</f>
        <v/>
      </c>
      <c r="B30" s="8">
        <f>'Price Book'!B30</f>
        <v/>
      </c>
      <c r="C30" s="8">
        <f>'Price Book'!C30</f>
        <v/>
      </c>
      <c r="D30" s="8">
        <f>'Price Book'!D30</f>
        <v/>
      </c>
      <c r="E30" s="8">
        <f>'Price Book'!G30</f>
        <v/>
      </c>
      <c r="F30" s="10">
        <f>'Price Book'!I30</f>
        <v/>
      </c>
      <c r="G30" s="11">
        <f>'Price Book'!J30</f>
        <v/>
      </c>
      <c r="H30" s="10">
        <f>'Price Book'!K30</f>
        <v/>
      </c>
      <c r="I30" s="12">
        <f>IFERROR(H30*(1-L30),"")</f>
        <v/>
      </c>
      <c r="J30" s="12">
        <f>IFERROR(H30*(1-M30),"")</f>
        <v/>
      </c>
      <c r="K30" s="12">
        <f>IFERROR(H30*(1-N30),"")</f>
        <v/>
      </c>
      <c r="L30" s="14">
        <f>IF(D30="Start",'Partner Tiers'!$D$5,IF(D30="Pro",'Partner Tiers'!$E$5,IF(D30="Business",'Partner Tiers'!$F$5,IF(D30="Enterprise",'Partner Tiers'!$G$5,""))))</f>
        <v/>
      </c>
      <c r="M30" s="14">
        <f>IF(D30="Start",'Partner Tiers'!$D$6,IF(D30="Pro",'Partner Tiers'!$E$6,IF(D30="Business",'Partner Tiers'!$F$6,IF(D30="Enterprise",'Partner Tiers'!$G$6,""))))</f>
        <v/>
      </c>
      <c r="N30" s="14">
        <f>IF(D30="Start",'Partner Tiers'!$D$7,IF(D30="Pro",'Partner Tiers'!$E$7,IF(D30="Business",'Partner Tiers'!$F$7,IF(D30="Enterprise",'Partner Tiers'!$G$7,""))))</f>
        <v/>
      </c>
      <c r="O30" s="10">
        <f>'Price Book'!M30</f>
        <v/>
      </c>
      <c r="P30" s="10">
        <f>'Price Book'!N30</f>
        <v/>
      </c>
      <c r="Q30" s="11">
        <f>'Price Book'!O30</f>
        <v/>
      </c>
      <c r="R30" s="14">
        <f>IFERROR(I30/F30,"")</f>
        <v/>
      </c>
      <c r="S30" s="14">
        <f>IFERROR(J30/F30,"")</f>
        <v/>
      </c>
      <c r="T30" s="14">
        <f>IFERROR(K30/F30,"")</f>
        <v/>
      </c>
      <c r="U30" s="11">
        <f>'Price Book'!R30</f>
        <v/>
      </c>
      <c r="V30" s="8">
        <f>'Price Book'!AG30</f>
        <v/>
      </c>
    </row>
    <row r="31">
      <c r="A31" s="8">
        <f>'Price Book'!A31</f>
        <v/>
      </c>
      <c r="B31" s="8">
        <f>'Price Book'!B31</f>
        <v/>
      </c>
      <c r="C31" s="8">
        <f>'Price Book'!C31</f>
        <v/>
      </c>
      <c r="D31" s="8">
        <f>'Price Book'!D31</f>
        <v/>
      </c>
      <c r="E31" s="8">
        <f>'Price Book'!G31</f>
        <v/>
      </c>
      <c r="F31" s="10">
        <f>'Price Book'!I31</f>
        <v/>
      </c>
      <c r="G31" s="11">
        <f>'Price Book'!J31</f>
        <v/>
      </c>
      <c r="H31" s="10">
        <f>'Price Book'!K31</f>
        <v/>
      </c>
      <c r="I31" s="12">
        <f>IFERROR(H31*(1-L31),"")</f>
        <v/>
      </c>
      <c r="J31" s="12">
        <f>IFERROR(H31*(1-M31),"")</f>
        <v/>
      </c>
      <c r="K31" s="12">
        <f>IFERROR(H31*(1-N31),"")</f>
        <v/>
      </c>
      <c r="L31" s="14">
        <f>IF(D31="Start",'Partner Tiers'!$D$5,IF(D31="Pro",'Partner Tiers'!$E$5,IF(D31="Business",'Partner Tiers'!$F$5,IF(D31="Enterprise",'Partner Tiers'!$G$5,""))))</f>
        <v/>
      </c>
      <c r="M31" s="14">
        <f>IF(D31="Start",'Partner Tiers'!$D$6,IF(D31="Pro",'Partner Tiers'!$E$6,IF(D31="Business",'Partner Tiers'!$F$6,IF(D31="Enterprise",'Partner Tiers'!$G$6,""))))</f>
        <v/>
      </c>
      <c r="N31" s="14">
        <f>IF(D31="Start",'Partner Tiers'!$D$7,IF(D31="Pro",'Partner Tiers'!$E$7,IF(D31="Business",'Partner Tiers'!$F$7,IF(D31="Enterprise",'Partner Tiers'!$G$7,""))))</f>
        <v/>
      </c>
      <c r="O31" s="10">
        <f>'Price Book'!M31</f>
        <v/>
      </c>
      <c r="P31" s="10">
        <f>'Price Book'!N31</f>
        <v/>
      </c>
      <c r="Q31" s="11">
        <f>'Price Book'!O31</f>
        <v/>
      </c>
      <c r="R31" s="14">
        <f>IFERROR(I31/F31,"")</f>
        <v/>
      </c>
      <c r="S31" s="14">
        <f>IFERROR(J31/F31,"")</f>
        <v/>
      </c>
      <c r="T31" s="14">
        <f>IFERROR(K31/F31,"")</f>
        <v/>
      </c>
      <c r="U31" s="11">
        <f>'Price Book'!R31</f>
        <v/>
      </c>
      <c r="V31" s="8">
        <f>'Price Book'!AG31</f>
        <v/>
      </c>
    </row>
    <row r="32">
      <c r="A32" s="8">
        <f>'Price Book'!A32</f>
        <v/>
      </c>
      <c r="B32" s="8">
        <f>'Price Book'!B32</f>
        <v/>
      </c>
      <c r="C32" s="8">
        <f>'Price Book'!C32</f>
        <v/>
      </c>
      <c r="D32" s="8">
        <f>'Price Book'!D32</f>
        <v/>
      </c>
      <c r="E32" s="8">
        <f>'Price Book'!G32</f>
        <v/>
      </c>
      <c r="F32" s="10">
        <f>'Price Book'!I32</f>
        <v/>
      </c>
      <c r="G32" s="11">
        <f>'Price Book'!J32</f>
        <v/>
      </c>
      <c r="H32" s="10">
        <f>'Price Book'!K32</f>
        <v/>
      </c>
      <c r="I32" s="12">
        <f>IFERROR(H32*(1-L32),"")</f>
        <v/>
      </c>
      <c r="J32" s="12">
        <f>IFERROR(H32*(1-M32),"")</f>
        <v/>
      </c>
      <c r="K32" s="12">
        <f>IFERROR(H32*(1-N32),"")</f>
        <v/>
      </c>
      <c r="L32" s="14">
        <f>IF(D32="Start",'Partner Tiers'!$D$5,IF(D32="Pro",'Partner Tiers'!$E$5,IF(D32="Business",'Partner Tiers'!$F$5,IF(D32="Enterprise",'Partner Tiers'!$G$5,""))))</f>
        <v/>
      </c>
      <c r="M32" s="14">
        <f>IF(D32="Start",'Partner Tiers'!$D$6,IF(D32="Pro",'Partner Tiers'!$E$6,IF(D32="Business",'Partner Tiers'!$F$6,IF(D32="Enterprise",'Partner Tiers'!$G$6,""))))</f>
        <v/>
      </c>
      <c r="N32" s="14">
        <f>IF(D32="Start",'Partner Tiers'!$D$7,IF(D32="Pro",'Partner Tiers'!$E$7,IF(D32="Business",'Partner Tiers'!$F$7,IF(D32="Enterprise",'Partner Tiers'!$G$7,""))))</f>
        <v/>
      </c>
      <c r="O32" s="10">
        <f>'Price Book'!M32</f>
        <v/>
      </c>
      <c r="P32" s="10">
        <f>'Price Book'!N32</f>
        <v/>
      </c>
      <c r="Q32" s="11">
        <f>'Price Book'!O32</f>
        <v/>
      </c>
      <c r="R32" s="14">
        <f>IFERROR(I32/F32,"")</f>
        <v/>
      </c>
      <c r="S32" s="14">
        <f>IFERROR(J32/F32,"")</f>
        <v/>
      </c>
      <c r="T32" s="14">
        <f>IFERROR(K32/F32,"")</f>
        <v/>
      </c>
      <c r="U32" s="11">
        <f>'Price Book'!R32</f>
        <v/>
      </c>
      <c r="V32" s="8">
        <f>'Price Book'!AG32</f>
        <v/>
      </c>
    </row>
    <row r="33">
      <c r="A33" s="8">
        <f>'Price Book'!A33</f>
        <v/>
      </c>
      <c r="B33" s="8">
        <f>'Price Book'!B33</f>
        <v/>
      </c>
      <c r="C33" s="8">
        <f>'Price Book'!C33</f>
        <v/>
      </c>
      <c r="D33" s="8">
        <f>'Price Book'!D33</f>
        <v/>
      </c>
      <c r="E33" s="8">
        <f>'Price Book'!G33</f>
        <v/>
      </c>
      <c r="F33" s="10">
        <f>'Price Book'!I33</f>
        <v/>
      </c>
      <c r="G33" s="11">
        <f>'Price Book'!J33</f>
        <v/>
      </c>
      <c r="H33" s="10">
        <f>'Price Book'!K33</f>
        <v/>
      </c>
      <c r="I33" s="12">
        <f>IFERROR(H33*(1-L33),"")</f>
        <v/>
      </c>
      <c r="J33" s="12">
        <f>IFERROR(H33*(1-M33),"")</f>
        <v/>
      </c>
      <c r="K33" s="12">
        <f>IFERROR(H33*(1-N33),"")</f>
        <v/>
      </c>
      <c r="L33" s="14">
        <f>IF(D33="Start",'Partner Tiers'!$D$5,IF(D33="Pro",'Partner Tiers'!$E$5,IF(D33="Business",'Partner Tiers'!$F$5,IF(D33="Enterprise",'Partner Tiers'!$G$5,""))))</f>
        <v/>
      </c>
      <c r="M33" s="14">
        <f>IF(D33="Start",'Partner Tiers'!$D$6,IF(D33="Pro",'Partner Tiers'!$E$6,IF(D33="Business",'Partner Tiers'!$F$6,IF(D33="Enterprise",'Partner Tiers'!$G$6,""))))</f>
        <v/>
      </c>
      <c r="N33" s="14">
        <f>IF(D33="Start",'Partner Tiers'!$D$7,IF(D33="Pro",'Partner Tiers'!$E$7,IF(D33="Business",'Partner Tiers'!$F$7,IF(D33="Enterprise",'Partner Tiers'!$G$7,""))))</f>
        <v/>
      </c>
      <c r="O33" s="10">
        <f>'Price Book'!M33</f>
        <v/>
      </c>
      <c r="P33" s="10">
        <f>'Price Book'!N33</f>
        <v/>
      </c>
      <c r="Q33" s="11">
        <f>'Price Book'!O33</f>
        <v/>
      </c>
      <c r="R33" s="14">
        <f>IFERROR(I33/F33,"")</f>
        <v/>
      </c>
      <c r="S33" s="14">
        <f>IFERROR(J33/F33,"")</f>
        <v/>
      </c>
      <c r="T33" s="14">
        <f>IFERROR(K33/F33,"")</f>
        <v/>
      </c>
      <c r="U33" s="11">
        <f>'Price Book'!R33</f>
        <v/>
      </c>
      <c r="V33" s="8">
        <f>'Price Book'!AG33</f>
        <v/>
      </c>
    </row>
    <row r="34">
      <c r="A34" s="8">
        <f>'Price Book'!A34</f>
        <v/>
      </c>
      <c r="B34" s="8">
        <f>'Price Book'!B34</f>
        <v/>
      </c>
      <c r="C34" s="8">
        <f>'Price Book'!C34</f>
        <v/>
      </c>
      <c r="D34" s="8">
        <f>'Price Book'!D34</f>
        <v/>
      </c>
      <c r="E34" s="8">
        <f>'Price Book'!G34</f>
        <v/>
      </c>
      <c r="F34" s="10">
        <f>'Price Book'!I34</f>
        <v/>
      </c>
      <c r="G34" s="11">
        <f>'Price Book'!J34</f>
        <v/>
      </c>
      <c r="H34" s="10">
        <f>'Price Book'!K34</f>
        <v/>
      </c>
      <c r="I34" s="12">
        <f>IFERROR(H34*(1-L34),"")</f>
        <v/>
      </c>
      <c r="J34" s="12">
        <f>IFERROR(H34*(1-M34),"")</f>
        <v/>
      </c>
      <c r="K34" s="12">
        <f>IFERROR(H34*(1-N34),"")</f>
        <v/>
      </c>
      <c r="L34" s="14">
        <f>IF(D34="Start",'Partner Tiers'!$D$5,IF(D34="Pro",'Partner Tiers'!$E$5,IF(D34="Business",'Partner Tiers'!$F$5,IF(D34="Enterprise",'Partner Tiers'!$G$5,""))))</f>
        <v/>
      </c>
      <c r="M34" s="14">
        <f>IF(D34="Start",'Partner Tiers'!$D$6,IF(D34="Pro",'Partner Tiers'!$E$6,IF(D34="Business",'Partner Tiers'!$F$6,IF(D34="Enterprise",'Partner Tiers'!$G$6,""))))</f>
        <v/>
      </c>
      <c r="N34" s="14">
        <f>IF(D34="Start",'Partner Tiers'!$D$7,IF(D34="Pro",'Partner Tiers'!$E$7,IF(D34="Business",'Partner Tiers'!$F$7,IF(D34="Enterprise",'Partner Tiers'!$G$7,""))))</f>
        <v/>
      </c>
      <c r="O34" s="10">
        <f>'Price Book'!M34</f>
        <v/>
      </c>
      <c r="P34" s="10">
        <f>'Price Book'!N34</f>
        <v/>
      </c>
      <c r="Q34" s="11">
        <f>'Price Book'!O34</f>
        <v/>
      </c>
      <c r="R34" s="14">
        <f>IFERROR(I34/F34,"")</f>
        <v/>
      </c>
      <c r="S34" s="14">
        <f>IFERROR(J34/F34,"")</f>
        <v/>
      </c>
      <c r="T34" s="14">
        <f>IFERROR(K34/F34,"")</f>
        <v/>
      </c>
      <c r="U34" s="11">
        <f>'Price Book'!R34</f>
        <v/>
      </c>
      <c r="V34" s="8">
        <f>'Price Book'!AG34</f>
        <v/>
      </c>
    </row>
    <row r="35">
      <c r="A35" s="8">
        <f>'Price Book'!A35</f>
        <v/>
      </c>
      <c r="B35" s="8">
        <f>'Price Book'!B35</f>
        <v/>
      </c>
      <c r="C35" s="8">
        <f>'Price Book'!C35</f>
        <v/>
      </c>
      <c r="D35" s="8">
        <f>'Price Book'!D35</f>
        <v/>
      </c>
      <c r="E35" s="8">
        <f>'Price Book'!G35</f>
        <v/>
      </c>
      <c r="F35" s="10">
        <f>'Price Book'!I35</f>
        <v/>
      </c>
      <c r="G35" s="11">
        <f>'Price Book'!J35</f>
        <v/>
      </c>
      <c r="H35" s="10">
        <f>'Price Book'!K35</f>
        <v/>
      </c>
      <c r="I35" s="12">
        <f>IFERROR(H35*(1-L35),"")</f>
        <v/>
      </c>
      <c r="J35" s="12">
        <f>IFERROR(H35*(1-M35),"")</f>
        <v/>
      </c>
      <c r="K35" s="12">
        <f>IFERROR(H35*(1-N35),"")</f>
        <v/>
      </c>
      <c r="L35" s="14">
        <f>IF(D35="Start",'Partner Tiers'!$D$5,IF(D35="Pro",'Partner Tiers'!$E$5,IF(D35="Business",'Partner Tiers'!$F$5,IF(D35="Enterprise",'Partner Tiers'!$G$5,""))))</f>
        <v/>
      </c>
      <c r="M35" s="14">
        <f>IF(D35="Start",'Partner Tiers'!$D$6,IF(D35="Pro",'Partner Tiers'!$E$6,IF(D35="Business",'Partner Tiers'!$F$6,IF(D35="Enterprise",'Partner Tiers'!$G$6,""))))</f>
        <v/>
      </c>
      <c r="N35" s="14">
        <f>IF(D35="Start",'Partner Tiers'!$D$7,IF(D35="Pro",'Partner Tiers'!$E$7,IF(D35="Business",'Partner Tiers'!$F$7,IF(D35="Enterprise",'Partner Tiers'!$G$7,""))))</f>
        <v/>
      </c>
      <c r="O35" s="10">
        <f>'Price Book'!M35</f>
        <v/>
      </c>
      <c r="P35" s="10">
        <f>'Price Book'!N35</f>
        <v/>
      </c>
      <c r="Q35" s="11">
        <f>'Price Book'!O35</f>
        <v/>
      </c>
      <c r="R35" s="14">
        <f>IFERROR(I35/F35,"")</f>
        <v/>
      </c>
      <c r="S35" s="14">
        <f>IFERROR(J35/F35,"")</f>
        <v/>
      </c>
      <c r="T35" s="14">
        <f>IFERROR(K35/F35,"")</f>
        <v/>
      </c>
      <c r="U35" s="11">
        <f>'Price Book'!R35</f>
        <v/>
      </c>
      <c r="V35" s="8">
        <f>'Price Book'!AG35</f>
        <v/>
      </c>
    </row>
    <row r="36">
      <c r="A36" s="8">
        <f>'Price Book'!A36</f>
        <v/>
      </c>
      <c r="B36" s="8">
        <f>'Price Book'!B36</f>
        <v/>
      </c>
      <c r="C36" s="8">
        <f>'Price Book'!C36</f>
        <v/>
      </c>
      <c r="D36" s="8">
        <f>'Price Book'!D36</f>
        <v/>
      </c>
      <c r="E36" s="8">
        <f>'Price Book'!G36</f>
        <v/>
      </c>
      <c r="F36" s="10">
        <f>'Price Book'!I36</f>
        <v/>
      </c>
      <c r="G36" s="11">
        <f>'Price Book'!J36</f>
        <v/>
      </c>
      <c r="H36" s="10">
        <f>'Price Book'!K36</f>
        <v/>
      </c>
      <c r="I36" s="12">
        <f>IFERROR(H36*(1-L36),"")</f>
        <v/>
      </c>
      <c r="J36" s="12">
        <f>IFERROR(H36*(1-M36),"")</f>
        <v/>
      </c>
      <c r="K36" s="12">
        <f>IFERROR(H36*(1-N36),"")</f>
        <v/>
      </c>
      <c r="L36" s="14">
        <f>IF(D36="Start",'Partner Tiers'!$D$5,IF(D36="Pro",'Partner Tiers'!$E$5,IF(D36="Business",'Partner Tiers'!$F$5,IF(D36="Enterprise",'Partner Tiers'!$G$5,""))))</f>
        <v/>
      </c>
      <c r="M36" s="14">
        <f>IF(D36="Start",'Partner Tiers'!$D$6,IF(D36="Pro",'Partner Tiers'!$E$6,IF(D36="Business",'Partner Tiers'!$F$6,IF(D36="Enterprise",'Partner Tiers'!$G$6,""))))</f>
        <v/>
      </c>
      <c r="N36" s="14">
        <f>IF(D36="Start",'Partner Tiers'!$D$7,IF(D36="Pro",'Partner Tiers'!$E$7,IF(D36="Business",'Partner Tiers'!$F$7,IF(D36="Enterprise",'Partner Tiers'!$G$7,""))))</f>
        <v/>
      </c>
      <c r="O36" s="10">
        <f>'Price Book'!M36</f>
        <v/>
      </c>
      <c r="P36" s="10">
        <f>'Price Book'!N36</f>
        <v/>
      </c>
      <c r="Q36" s="11">
        <f>'Price Book'!O36</f>
        <v/>
      </c>
      <c r="R36" s="14">
        <f>IFERROR(I36/F36,"")</f>
        <v/>
      </c>
      <c r="S36" s="14">
        <f>IFERROR(J36/F36,"")</f>
        <v/>
      </c>
      <c r="T36" s="14">
        <f>IFERROR(K36/F36,"")</f>
        <v/>
      </c>
      <c r="U36" s="11">
        <f>'Price Book'!R36</f>
        <v/>
      </c>
      <c r="V36" s="8">
        <f>'Price Book'!AG36</f>
        <v/>
      </c>
    </row>
    <row r="37">
      <c r="A37" s="8">
        <f>'Price Book'!A37</f>
        <v/>
      </c>
      <c r="B37" s="8">
        <f>'Price Book'!B37</f>
        <v/>
      </c>
      <c r="C37" s="8">
        <f>'Price Book'!C37</f>
        <v/>
      </c>
      <c r="D37" s="8">
        <f>'Price Book'!D37</f>
        <v/>
      </c>
      <c r="E37" s="8">
        <f>'Price Book'!G37</f>
        <v/>
      </c>
      <c r="F37" s="10">
        <f>'Price Book'!I37</f>
        <v/>
      </c>
      <c r="G37" s="11">
        <f>'Price Book'!J37</f>
        <v/>
      </c>
      <c r="H37" s="10">
        <f>'Price Book'!K37</f>
        <v/>
      </c>
      <c r="I37" s="12">
        <f>IFERROR(H37*(1-L37),"")</f>
        <v/>
      </c>
      <c r="J37" s="12">
        <f>IFERROR(H37*(1-M37),"")</f>
        <v/>
      </c>
      <c r="K37" s="12">
        <f>IFERROR(H37*(1-N37),"")</f>
        <v/>
      </c>
      <c r="L37" s="14">
        <f>IF(D37="Start",'Partner Tiers'!$D$5,IF(D37="Pro",'Partner Tiers'!$E$5,IF(D37="Business",'Partner Tiers'!$F$5,IF(D37="Enterprise",'Partner Tiers'!$G$5,""))))</f>
        <v/>
      </c>
      <c r="M37" s="14">
        <f>IF(D37="Start",'Partner Tiers'!$D$6,IF(D37="Pro",'Partner Tiers'!$E$6,IF(D37="Business",'Partner Tiers'!$F$6,IF(D37="Enterprise",'Partner Tiers'!$G$6,""))))</f>
        <v/>
      </c>
      <c r="N37" s="14">
        <f>IF(D37="Start",'Partner Tiers'!$D$7,IF(D37="Pro",'Partner Tiers'!$E$7,IF(D37="Business",'Partner Tiers'!$F$7,IF(D37="Enterprise",'Partner Tiers'!$G$7,""))))</f>
        <v/>
      </c>
      <c r="O37" s="10">
        <f>'Price Book'!M37</f>
        <v/>
      </c>
      <c r="P37" s="10">
        <f>'Price Book'!N37</f>
        <v/>
      </c>
      <c r="Q37" s="11">
        <f>'Price Book'!O37</f>
        <v/>
      </c>
      <c r="R37" s="14">
        <f>IFERROR(I37/F37,"")</f>
        <v/>
      </c>
      <c r="S37" s="14">
        <f>IFERROR(J37/F37,"")</f>
        <v/>
      </c>
      <c r="T37" s="14">
        <f>IFERROR(K37/F37,"")</f>
        <v/>
      </c>
      <c r="U37" s="11">
        <f>'Price Book'!R37</f>
        <v/>
      </c>
      <c r="V37" s="8">
        <f>'Price Book'!AG37</f>
        <v/>
      </c>
    </row>
    <row r="38">
      <c r="A38" s="8">
        <f>'Price Book'!A38</f>
        <v/>
      </c>
      <c r="B38" s="8">
        <f>'Price Book'!B38</f>
        <v/>
      </c>
      <c r="C38" s="8">
        <f>'Price Book'!C38</f>
        <v/>
      </c>
      <c r="D38" s="8">
        <f>'Price Book'!D38</f>
        <v/>
      </c>
      <c r="E38" s="8">
        <f>'Price Book'!G38</f>
        <v/>
      </c>
      <c r="F38" s="10">
        <f>'Price Book'!I38</f>
        <v/>
      </c>
      <c r="G38" s="11">
        <f>'Price Book'!J38</f>
        <v/>
      </c>
      <c r="H38" s="10">
        <f>'Price Book'!K38</f>
        <v/>
      </c>
      <c r="I38" s="12">
        <f>IFERROR(H38*(1-L38),"")</f>
        <v/>
      </c>
      <c r="J38" s="12">
        <f>IFERROR(H38*(1-M38),"")</f>
        <v/>
      </c>
      <c r="K38" s="12">
        <f>IFERROR(H38*(1-N38),"")</f>
        <v/>
      </c>
      <c r="L38" s="14">
        <f>IF(D38="Start",'Partner Tiers'!$D$5,IF(D38="Pro",'Partner Tiers'!$E$5,IF(D38="Business",'Partner Tiers'!$F$5,IF(D38="Enterprise",'Partner Tiers'!$G$5,""))))</f>
        <v/>
      </c>
      <c r="M38" s="14">
        <f>IF(D38="Start",'Partner Tiers'!$D$6,IF(D38="Pro",'Partner Tiers'!$E$6,IF(D38="Business",'Partner Tiers'!$F$6,IF(D38="Enterprise",'Partner Tiers'!$G$6,""))))</f>
        <v/>
      </c>
      <c r="N38" s="14">
        <f>IF(D38="Start",'Partner Tiers'!$D$7,IF(D38="Pro",'Partner Tiers'!$E$7,IF(D38="Business",'Partner Tiers'!$F$7,IF(D38="Enterprise",'Partner Tiers'!$G$7,""))))</f>
        <v/>
      </c>
      <c r="O38" s="10">
        <f>'Price Book'!M38</f>
        <v/>
      </c>
      <c r="P38" s="10">
        <f>'Price Book'!N38</f>
        <v/>
      </c>
      <c r="Q38" s="11">
        <f>'Price Book'!O38</f>
        <v/>
      </c>
      <c r="R38" s="14">
        <f>IFERROR(I38/F38,"")</f>
        <v/>
      </c>
      <c r="S38" s="14">
        <f>IFERROR(J38/F38,"")</f>
        <v/>
      </c>
      <c r="T38" s="14">
        <f>IFERROR(K38/F38,"")</f>
        <v/>
      </c>
      <c r="U38" s="11">
        <f>'Price Book'!R38</f>
        <v/>
      </c>
      <c r="V38" s="8">
        <f>'Price Book'!AG38</f>
        <v/>
      </c>
    </row>
    <row r="39">
      <c r="A39" s="8">
        <f>'Price Book'!A39</f>
        <v/>
      </c>
      <c r="B39" s="8">
        <f>'Price Book'!B39</f>
        <v/>
      </c>
      <c r="C39" s="8">
        <f>'Price Book'!C39</f>
        <v/>
      </c>
      <c r="D39" s="8">
        <f>'Price Book'!D39</f>
        <v/>
      </c>
      <c r="E39" s="8">
        <f>'Price Book'!G39</f>
        <v/>
      </c>
      <c r="F39" s="10">
        <f>'Price Book'!I39</f>
        <v/>
      </c>
      <c r="G39" s="11">
        <f>'Price Book'!J39</f>
        <v/>
      </c>
      <c r="H39" s="10">
        <f>'Price Book'!K39</f>
        <v/>
      </c>
      <c r="I39" s="12">
        <f>IFERROR(H39*(1-L39),"")</f>
        <v/>
      </c>
      <c r="J39" s="12">
        <f>IFERROR(H39*(1-M39),"")</f>
        <v/>
      </c>
      <c r="K39" s="12">
        <f>IFERROR(H39*(1-N39),"")</f>
        <v/>
      </c>
      <c r="L39" s="14">
        <f>IF(D39="Start",'Partner Tiers'!$D$5,IF(D39="Pro",'Partner Tiers'!$E$5,IF(D39="Business",'Partner Tiers'!$F$5,IF(D39="Enterprise",'Partner Tiers'!$G$5,""))))</f>
        <v/>
      </c>
      <c r="M39" s="14">
        <f>IF(D39="Start",'Partner Tiers'!$D$6,IF(D39="Pro",'Partner Tiers'!$E$6,IF(D39="Business",'Partner Tiers'!$F$6,IF(D39="Enterprise",'Partner Tiers'!$G$6,""))))</f>
        <v/>
      </c>
      <c r="N39" s="14">
        <f>IF(D39="Start",'Partner Tiers'!$D$7,IF(D39="Pro",'Partner Tiers'!$E$7,IF(D39="Business",'Partner Tiers'!$F$7,IF(D39="Enterprise",'Partner Tiers'!$G$7,""))))</f>
        <v/>
      </c>
      <c r="O39" s="10">
        <f>'Price Book'!M39</f>
        <v/>
      </c>
      <c r="P39" s="10">
        <f>'Price Book'!N39</f>
        <v/>
      </c>
      <c r="Q39" s="11">
        <f>'Price Book'!O39</f>
        <v/>
      </c>
      <c r="R39" s="14">
        <f>IFERROR(I39/F39,"")</f>
        <v/>
      </c>
      <c r="S39" s="14">
        <f>IFERROR(J39/F39,"")</f>
        <v/>
      </c>
      <c r="T39" s="14">
        <f>IFERROR(K39/F39,"")</f>
        <v/>
      </c>
      <c r="U39" s="11">
        <f>'Price Book'!R39</f>
        <v/>
      </c>
      <c r="V39" s="8">
        <f>'Price Book'!AG39</f>
        <v/>
      </c>
    </row>
    <row r="40">
      <c r="A40" s="8">
        <f>'Price Book'!A40</f>
        <v/>
      </c>
      <c r="B40" s="8">
        <f>'Price Book'!B40</f>
        <v/>
      </c>
      <c r="C40" s="8">
        <f>'Price Book'!C40</f>
        <v/>
      </c>
      <c r="D40" s="8">
        <f>'Price Book'!D40</f>
        <v/>
      </c>
      <c r="E40" s="8">
        <f>'Price Book'!G40</f>
        <v/>
      </c>
      <c r="F40" s="10">
        <f>'Price Book'!I40</f>
        <v/>
      </c>
      <c r="G40" s="11">
        <f>'Price Book'!J40</f>
        <v/>
      </c>
      <c r="H40" s="10">
        <f>'Price Book'!K40</f>
        <v/>
      </c>
      <c r="I40" s="12">
        <f>IFERROR(H40*(1-L40),"")</f>
        <v/>
      </c>
      <c r="J40" s="12">
        <f>IFERROR(H40*(1-M40),"")</f>
        <v/>
      </c>
      <c r="K40" s="12">
        <f>IFERROR(H40*(1-N40),"")</f>
        <v/>
      </c>
      <c r="L40" s="14">
        <f>IF(D40="Start",'Partner Tiers'!$D$5,IF(D40="Pro",'Partner Tiers'!$E$5,IF(D40="Business",'Partner Tiers'!$F$5,IF(D40="Enterprise",'Partner Tiers'!$G$5,""))))</f>
        <v/>
      </c>
      <c r="M40" s="14">
        <f>IF(D40="Start",'Partner Tiers'!$D$6,IF(D40="Pro",'Partner Tiers'!$E$6,IF(D40="Business",'Partner Tiers'!$F$6,IF(D40="Enterprise",'Partner Tiers'!$G$6,""))))</f>
        <v/>
      </c>
      <c r="N40" s="14">
        <f>IF(D40="Start",'Partner Tiers'!$D$7,IF(D40="Pro",'Partner Tiers'!$E$7,IF(D40="Business",'Partner Tiers'!$F$7,IF(D40="Enterprise",'Partner Tiers'!$G$7,""))))</f>
        <v/>
      </c>
      <c r="O40" s="10">
        <f>'Price Book'!M40</f>
        <v/>
      </c>
      <c r="P40" s="10">
        <f>'Price Book'!N40</f>
        <v/>
      </c>
      <c r="Q40" s="11">
        <f>'Price Book'!O40</f>
        <v/>
      </c>
      <c r="R40" s="14">
        <f>IFERROR(I40/F40,"")</f>
        <v/>
      </c>
      <c r="S40" s="14">
        <f>IFERROR(J40/F40,"")</f>
        <v/>
      </c>
      <c r="T40" s="14">
        <f>IFERROR(K40/F40,"")</f>
        <v/>
      </c>
      <c r="U40" s="11">
        <f>'Price Book'!R40</f>
        <v/>
      </c>
      <c r="V40" s="8">
        <f>'Price Book'!AG40</f>
        <v/>
      </c>
    </row>
    <row r="41">
      <c r="A41" s="8">
        <f>'Price Book'!A41</f>
        <v/>
      </c>
      <c r="B41" s="8">
        <f>'Price Book'!B41</f>
        <v/>
      </c>
      <c r="C41" s="8">
        <f>'Price Book'!C41</f>
        <v/>
      </c>
      <c r="D41" s="8">
        <f>'Price Book'!D41</f>
        <v/>
      </c>
      <c r="E41" s="8">
        <f>'Price Book'!G41</f>
        <v/>
      </c>
      <c r="F41" s="10">
        <f>'Price Book'!I41</f>
        <v/>
      </c>
      <c r="G41" s="11">
        <f>'Price Book'!J41</f>
        <v/>
      </c>
      <c r="H41" s="10">
        <f>'Price Book'!K41</f>
        <v/>
      </c>
      <c r="I41" s="12">
        <f>IFERROR(H41*(1-L41),"")</f>
        <v/>
      </c>
      <c r="J41" s="12">
        <f>IFERROR(H41*(1-M41),"")</f>
        <v/>
      </c>
      <c r="K41" s="12">
        <f>IFERROR(H41*(1-N41),"")</f>
        <v/>
      </c>
      <c r="L41" s="14">
        <f>IF(D41="Start",'Partner Tiers'!$D$5,IF(D41="Pro",'Partner Tiers'!$E$5,IF(D41="Business",'Partner Tiers'!$F$5,IF(D41="Enterprise",'Partner Tiers'!$G$5,""))))</f>
        <v/>
      </c>
      <c r="M41" s="14">
        <f>IF(D41="Start",'Partner Tiers'!$D$6,IF(D41="Pro",'Partner Tiers'!$E$6,IF(D41="Business",'Partner Tiers'!$F$6,IF(D41="Enterprise",'Partner Tiers'!$G$6,""))))</f>
        <v/>
      </c>
      <c r="N41" s="14">
        <f>IF(D41="Start",'Partner Tiers'!$D$7,IF(D41="Pro",'Partner Tiers'!$E$7,IF(D41="Business",'Partner Tiers'!$F$7,IF(D41="Enterprise",'Partner Tiers'!$G$7,""))))</f>
        <v/>
      </c>
      <c r="O41" s="10">
        <f>'Price Book'!M41</f>
        <v/>
      </c>
      <c r="P41" s="10">
        <f>'Price Book'!N41</f>
        <v/>
      </c>
      <c r="Q41" s="11">
        <f>'Price Book'!O41</f>
        <v/>
      </c>
      <c r="R41" s="14">
        <f>IFERROR(I41/F41,"")</f>
        <v/>
      </c>
      <c r="S41" s="14">
        <f>IFERROR(J41/F41,"")</f>
        <v/>
      </c>
      <c r="T41" s="14">
        <f>IFERROR(K41/F41,"")</f>
        <v/>
      </c>
      <c r="U41" s="11">
        <f>'Price Book'!R41</f>
        <v/>
      </c>
      <c r="V41" s="8">
        <f>'Price Book'!AG41</f>
        <v/>
      </c>
    </row>
    <row r="42">
      <c r="A42" s="8">
        <f>'Price Book'!A42</f>
        <v/>
      </c>
      <c r="B42" s="8">
        <f>'Price Book'!B42</f>
        <v/>
      </c>
      <c r="C42" s="8">
        <f>'Price Book'!C42</f>
        <v/>
      </c>
      <c r="D42" s="8">
        <f>'Price Book'!D42</f>
        <v/>
      </c>
      <c r="E42" s="8">
        <f>'Price Book'!G42</f>
        <v/>
      </c>
      <c r="F42" s="10">
        <f>'Price Book'!I42</f>
        <v/>
      </c>
      <c r="G42" s="11">
        <f>'Price Book'!J42</f>
        <v/>
      </c>
      <c r="H42" s="10">
        <f>'Price Book'!K42</f>
        <v/>
      </c>
      <c r="I42" s="12">
        <f>IFERROR(H42*(1-L42),"")</f>
        <v/>
      </c>
      <c r="J42" s="12">
        <f>IFERROR(H42*(1-M42),"")</f>
        <v/>
      </c>
      <c r="K42" s="12">
        <f>IFERROR(H42*(1-N42),"")</f>
        <v/>
      </c>
      <c r="L42" s="14">
        <f>IF(D42="Start",'Partner Tiers'!$D$5,IF(D42="Pro",'Partner Tiers'!$E$5,IF(D42="Business",'Partner Tiers'!$F$5,IF(D42="Enterprise",'Partner Tiers'!$G$5,""))))</f>
        <v/>
      </c>
      <c r="M42" s="14">
        <f>IF(D42="Start",'Partner Tiers'!$D$6,IF(D42="Pro",'Partner Tiers'!$E$6,IF(D42="Business",'Partner Tiers'!$F$6,IF(D42="Enterprise",'Partner Tiers'!$G$6,""))))</f>
        <v/>
      </c>
      <c r="N42" s="14">
        <f>IF(D42="Start",'Partner Tiers'!$D$7,IF(D42="Pro",'Partner Tiers'!$E$7,IF(D42="Business",'Partner Tiers'!$F$7,IF(D42="Enterprise",'Partner Tiers'!$G$7,""))))</f>
        <v/>
      </c>
      <c r="O42" s="10">
        <f>'Price Book'!M42</f>
        <v/>
      </c>
      <c r="P42" s="10">
        <f>'Price Book'!N42</f>
        <v/>
      </c>
      <c r="Q42" s="11">
        <f>'Price Book'!O42</f>
        <v/>
      </c>
      <c r="R42" s="14">
        <f>IFERROR(I42/F42,"")</f>
        <v/>
      </c>
      <c r="S42" s="14">
        <f>IFERROR(J42/F42,"")</f>
        <v/>
      </c>
      <c r="T42" s="14">
        <f>IFERROR(K42/F42,"")</f>
        <v/>
      </c>
      <c r="U42" s="11">
        <f>'Price Book'!R42</f>
        <v/>
      </c>
      <c r="V42" s="8">
        <f>'Price Book'!AG42</f>
        <v/>
      </c>
    </row>
    <row r="43">
      <c r="A43" s="8">
        <f>'Price Book'!A43</f>
        <v/>
      </c>
      <c r="B43" s="8">
        <f>'Price Book'!B43</f>
        <v/>
      </c>
      <c r="C43" s="8">
        <f>'Price Book'!C43</f>
        <v/>
      </c>
      <c r="D43" s="8">
        <f>'Price Book'!D43</f>
        <v/>
      </c>
      <c r="E43" s="8">
        <f>'Price Book'!G43</f>
        <v/>
      </c>
      <c r="F43" s="10">
        <f>'Price Book'!I43</f>
        <v/>
      </c>
      <c r="G43" s="11">
        <f>'Price Book'!J43</f>
        <v/>
      </c>
      <c r="H43" s="10">
        <f>'Price Book'!K43</f>
        <v/>
      </c>
      <c r="I43" s="12">
        <f>IFERROR(H43*(1-L43),"")</f>
        <v/>
      </c>
      <c r="J43" s="12">
        <f>IFERROR(H43*(1-M43),"")</f>
        <v/>
      </c>
      <c r="K43" s="12">
        <f>IFERROR(H43*(1-N43),"")</f>
        <v/>
      </c>
      <c r="L43" s="14">
        <f>IF(D43="Start",'Partner Tiers'!$D$5,IF(D43="Pro",'Partner Tiers'!$E$5,IF(D43="Business",'Partner Tiers'!$F$5,IF(D43="Enterprise",'Partner Tiers'!$G$5,""))))</f>
        <v/>
      </c>
      <c r="M43" s="14">
        <f>IF(D43="Start",'Partner Tiers'!$D$6,IF(D43="Pro",'Partner Tiers'!$E$6,IF(D43="Business",'Partner Tiers'!$F$6,IF(D43="Enterprise",'Partner Tiers'!$G$6,""))))</f>
        <v/>
      </c>
      <c r="N43" s="14">
        <f>IF(D43="Start",'Partner Tiers'!$D$7,IF(D43="Pro",'Partner Tiers'!$E$7,IF(D43="Business",'Partner Tiers'!$F$7,IF(D43="Enterprise",'Partner Tiers'!$G$7,""))))</f>
        <v/>
      </c>
      <c r="O43" s="10">
        <f>'Price Book'!M43</f>
        <v/>
      </c>
      <c r="P43" s="10">
        <f>'Price Book'!N43</f>
        <v/>
      </c>
      <c r="Q43" s="11">
        <f>'Price Book'!O43</f>
        <v/>
      </c>
      <c r="R43" s="14">
        <f>IFERROR(I43/F43,"")</f>
        <v/>
      </c>
      <c r="S43" s="14">
        <f>IFERROR(J43/F43,"")</f>
        <v/>
      </c>
      <c r="T43" s="14">
        <f>IFERROR(K43/F43,"")</f>
        <v/>
      </c>
      <c r="U43" s="11">
        <f>'Price Book'!R43</f>
        <v/>
      </c>
      <c r="V43" s="8">
        <f>'Price Book'!AG43</f>
        <v/>
      </c>
    </row>
    <row r="44">
      <c r="A44" s="8">
        <f>'Price Book'!A44</f>
        <v/>
      </c>
      <c r="B44" s="8">
        <f>'Price Book'!B44</f>
        <v/>
      </c>
      <c r="C44" s="8">
        <f>'Price Book'!C44</f>
        <v/>
      </c>
      <c r="D44" s="8">
        <f>'Price Book'!D44</f>
        <v/>
      </c>
      <c r="E44" s="8">
        <f>'Price Book'!G44</f>
        <v/>
      </c>
      <c r="F44" s="10">
        <f>'Price Book'!I44</f>
        <v/>
      </c>
      <c r="G44" s="11">
        <f>'Price Book'!J44</f>
        <v/>
      </c>
      <c r="H44" s="10">
        <f>'Price Book'!K44</f>
        <v/>
      </c>
      <c r="I44" s="12">
        <f>IFERROR(H44*(1-L44),"")</f>
        <v/>
      </c>
      <c r="J44" s="12">
        <f>IFERROR(H44*(1-M44),"")</f>
        <v/>
      </c>
      <c r="K44" s="12">
        <f>IFERROR(H44*(1-N44),"")</f>
        <v/>
      </c>
      <c r="L44" s="14">
        <f>IF(D44="Start",'Partner Tiers'!$D$5,IF(D44="Pro",'Partner Tiers'!$E$5,IF(D44="Business",'Partner Tiers'!$F$5,IF(D44="Enterprise",'Partner Tiers'!$G$5,""))))</f>
        <v/>
      </c>
      <c r="M44" s="14">
        <f>IF(D44="Start",'Partner Tiers'!$D$6,IF(D44="Pro",'Partner Tiers'!$E$6,IF(D44="Business",'Partner Tiers'!$F$6,IF(D44="Enterprise",'Partner Tiers'!$G$6,""))))</f>
        <v/>
      </c>
      <c r="N44" s="14">
        <f>IF(D44="Start",'Partner Tiers'!$D$7,IF(D44="Pro",'Partner Tiers'!$E$7,IF(D44="Business",'Partner Tiers'!$F$7,IF(D44="Enterprise",'Partner Tiers'!$G$7,""))))</f>
        <v/>
      </c>
      <c r="O44" s="10">
        <f>'Price Book'!M44</f>
        <v/>
      </c>
      <c r="P44" s="10">
        <f>'Price Book'!N44</f>
        <v/>
      </c>
      <c r="Q44" s="11">
        <f>'Price Book'!O44</f>
        <v/>
      </c>
      <c r="R44" s="14">
        <f>IFERROR(I44/F44,"")</f>
        <v/>
      </c>
      <c r="S44" s="14">
        <f>IFERROR(J44/F44,"")</f>
        <v/>
      </c>
      <c r="T44" s="14">
        <f>IFERROR(K44/F44,"")</f>
        <v/>
      </c>
      <c r="U44" s="11">
        <f>'Price Book'!R44</f>
        <v/>
      </c>
      <c r="V44" s="8">
        <f>'Price Book'!AG44</f>
        <v/>
      </c>
    </row>
    <row r="45">
      <c r="A45" s="8">
        <f>'Price Book'!A45</f>
        <v/>
      </c>
      <c r="B45" s="8">
        <f>'Price Book'!B45</f>
        <v/>
      </c>
      <c r="C45" s="8">
        <f>'Price Book'!C45</f>
        <v/>
      </c>
      <c r="D45" s="8">
        <f>'Price Book'!D45</f>
        <v/>
      </c>
      <c r="E45" s="8">
        <f>'Price Book'!G45</f>
        <v/>
      </c>
      <c r="F45" s="10">
        <f>'Price Book'!I45</f>
        <v/>
      </c>
      <c r="G45" s="11">
        <f>'Price Book'!J45</f>
        <v/>
      </c>
      <c r="H45" s="10">
        <f>'Price Book'!K45</f>
        <v/>
      </c>
      <c r="I45" s="12">
        <f>IFERROR(H45*(1-L45),"")</f>
        <v/>
      </c>
      <c r="J45" s="12">
        <f>IFERROR(H45*(1-M45),"")</f>
        <v/>
      </c>
      <c r="K45" s="12">
        <f>IFERROR(H45*(1-N45),"")</f>
        <v/>
      </c>
      <c r="L45" s="14">
        <f>IF(D45="Start",'Partner Tiers'!$D$5,IF(D45="Pro",'Partner Tiers'!$E$5,IF(D45="Business",'Partner Tiers'!$F$5,IF(D45="Enterprise",'Partner Tiers'!$G$5,""))))</f>
        <v/>
      </c>
      <c r="M45" s="14">
        <f>IF(D45="Start",'Partner Tiers'!$D$6,IF(D45="Pro",'Partner Tiers'!$E$6,IF(D45="Business",'Partner Tiers'!$F$6,IF(D45="Enterprise",'Partner Tiers'!$G$6,""))))</f>
        <v/>
      </c>
      <c r="N45" s="14">
        <f>IF(D45="Start",'Partner Tiers'!$D$7,IF(D45="Pro",'Partner Tiers'!$E$7,IF(D45="Business",'Partner Tiers'!$F$7,IF(D45="Enterprise",'Partner Tiers'!$G$7,""))))</f>
        <v/>
      </c>
      <c r="O45" s="10">
        <f>'Price Book'!M45</f>
        <v/>
      </c>
      <c r="P45" s="10">
        <f>'Price Book'!N45</f>
        <v/>
      </c>
      <c r="Q45" s="11">
        <f>'Price Book'!O45</f>
        <v/>
      </c>
      <c r="R45" s="14">
        <f>IFERROR(I45/F45,"")</f>
        <v/>
      </c>
      <c r="S45" s="14">
        <f>IFERROR(J45/F45,"")</f>
        <v/>
      </c>
      <c r="T45" s="14">
        <f>IFERROR(K45/F45,"")</f>
        <v/>
      </c>
      <c r="U45" s="11">
        <f>'Price Book'!R45</f>
        <v/>
      </c>
      <c r="V45" s="8">
        <f>'Price Book'!AG45</f>
        <v/>
      </c>
    </row>
    <row r="46">
      <c r="A46" s="8">
        <f>'Price Book'!A46</f>
        <v/>
      </c>
      <c r="B46" s="8">
        <f>'Price Book'!B46</f>
        <v/>
      </c>
      <c r="C46" s="8">
        <f>'Price Book'!C46</f>
        <v/>
      </c>
      <c r="D46" s="8">
        <f>'Price Book'!D46</f>
        <v/>
      </c>
      <c r="E46" s="8">
        <f>'Price Book'!G46</f>
        <v/>
      </c>
      <c r="F46" s="10">
        <f>'Price Book'!I46</f>
        <v/>
      </c>
      <c r="G46" s="11">
        <f>'Price Book'!J46</f>
        <v/>
      </c>
      <c r="H46" s="10">
        <f>'Price Book'!K46</f>
        <v/>
      </c>
      <c r="I46" s="12">
        <f>IFERROR(H46*(1-L46),"")</f>
        <v/>
      </c>
      <c r="J46" s="12">
        <f>IFERROR(H46*(1-M46),"")</f>
        <v/>
      </c>
      <c r="K46" s="12">
        <f>IFERROR(H46*(1-N46),"")</f>
        <v/>
      </c>
      <c r="L46" s="14">
        <f>IF(D46="Start",'Partner Tiers'!$D$5,IF(D46="Pro",'Partner Tiers'!$E$5,IF(D46="Business",'Partner Tiers'!$F$5,IF(D46="Enterprise",'Partner Tiers'!$G$5,""))))</f>
        <v/>
      </c>
      <c r="M46" s="14">
        <f>IF(D46="Start",'Partner Tiers'!$D$6,IF(D46="Pro",'Partner Tiers'!$E$6,IF(D46="Business",'Partner Tiers'!$F$6,IF(D46="Enterprise",'Partner Tiers'!$G$6,""))))</f>
        <v/>
      </c>
      <c r="N46" s="14">
        <f>IF(D46="Start",'Partner Tiers'!$D$7,IF(D46="Pro",'Partner Tiers'!$E$7,IF(D46="Business",'Partner Tiers'!$F$7,IF(D46="Enterprise",'Partner Tiers'!$G$7,""))))</f>
        <v/>
      </c>
      <c r="O46" s="10">
        <f>'Price Book'!M46</f>
        <v/>
      </c>
      <c r="P46" s="10">
        <f>'Price Book'!N46</f>
        <v/>
      </c>
      <c r="Q46" s="11">
        <f>'Price Book'!O46</f>
        <v/>
      </c>
      <c r="R46" s="14">
        <f>IFERROR(I46/F46,"")</f>
        <v/>
      </c>
      <c r="S46" s="14">
        <f>IFERROR(J46/F46,"")</f>
        <v/>
      </c>
      <c r="T46" s="14">
        <f>IFERROR(K46/F46,"")</f>
        <v/>
      </c>
      <c r="U46" s="11">
        <f>'Price Book'!R46</f>
        <v/>
      </c>
      <c r="V46" s="8">
        <f>'Price Book'!AG46</f>
        <v/>
      </c>
    </row>
    <row r="47">
      <c r="A47" s="8">
        <f>'Price Book'!A47</f>
        <v/>
      </c>
      <c r="B47" s="8">
        <f>'Price Book'!B47</f>
        <v/>
      </c>
      <c r="C47" s="8">
        <f>'Price Book'!C47</f>
        <v/>
      </c>
      <c r="D47" s="8">
        <f>'Price Book'!D47</f>
        <v/>
      </c>
      <c r="E47" s="8">
        <f>'Price Book'!G47</f>
        <v/>
      </c>
      <c r="F47" s="10">
        <f>'Price Book'!I47</f>
        <v/>
      </c>
      <c r="G47" s="11">
        <f>'Price Book'!J47</f>
        <v/>
      </c>
      <c r="H47" s="10">
        <f>'Price Book'!K47</f>
        <v/>
      </c>
      <c r="I47" s="12">
        <f>IFERROR(H47*(1-L47),"")</f>
        <v/>
      </c>
      <c r="J47" s="12">
        <f>IFERROR(H47*(1-M47),"")</f>
        <v/>
      </c>
      <c r="K47" s="12">
        <f>IFERROR(H47*(1-N47),"")</f>
        <v/>
      </c>
      <c r="L47" s="14">
        <f>IF(D47="Start",'Partner Tiers'!$D$5,IF(D47="Pro",'Partner Tiers'!$E$5,IF(D47="Business",'Partner Tiers'!$F$5,IF(D47="Enterprise",'Partner Tiers'!$G$5,""))))</f>
        <v/>
      </c>
      <c r="M47" s="14">
        <f>IF(D47="Start",'Partner Tiers'!$D$6,IF(D47="Pro",'Partner Tiers'!$E$6,IF(D47="Business",'Partner Tiers'!$F$6,IF(D47="Enterprise",'Partner Tiers'!$G$6,""))))</f>
        <v/>
      </c>
      <c r="N47" s="14">
        <f>IF(D47="Start",'Partner Tiers'!$D$7,IF(D47="Pro",'Partner Tiers'!$E$7,IF(D47="Business",'Partner Tiers'!$F$7,IF(D47="Enterprise",'Partner Tiers'!$G$7,""))))</f>
        <v/>
      </c>
      <c r="O47" s="10">
        <f>'Price Book'!M47</f>
        <v/>
      </c>
      <c r="P47" s="10">
        <f>'Price Book'!N47</f>
        <v/>
      </c>
      <c r="Q47" s="11">
        <f>'Price Book'!O47</f>
        <v/>
      </c>
      <c r="R47" s="14">
        <f>IFERROR(I47/F47,"")</f>
        <v/>
      </c>
      <c r="S47" s="14">
        <f>IFERROR(J47/F47,"")</f>
        <v/>
      </c>
      <c r="T47" s="14">
        <f>IFERROR(K47/F47,"")</f>
        <v/>
      </c>
      <c r="U47" s="11">
        <f>'Price Book'!R47</f>
        <v/>
      </c>
      <c r="V47" s="8">
        <f>'Price Book'!AG47</f>
        <v/>
      </c>
    </row>
    <row r="48">
      <c r="A48" s="8">
        <f>'Price Book'!A48</f>
        <v/>
      </c>
      <c r="B48" s="8">
        <f>'Price Book'!B48</f>
        <v/>
      </c>
      <c r="C48" s="8">
        <f>'Price Book'!C48</f>
        <v/>
      </c>
      <c r="D48" s="8">
        <f>'Price Book'!D48</f>
        <v/>
      </c>
      <c r="E48" s="8">
        <f>'Price Book'!G48</f>
        <v/>
      </c>
      <c r="F48" s="10">
        <f>'Price Book'!I48</f>
        <v/>
      </c>
      <c r="G48" s="11">
        <f>'Price Book'!J48</f>
        <v/>
      </c>
      <c r="H48" s="10">
        <f>'Price Book'!K48</f>
        <v/>
      </c>
      <c r="I48" s="12">
        <f>IFERROR(H48*(1-L48),"")</f>
        <v/>
      </c>
      <c r="J48" s="12">
        <f>IFERROR(H48*(1-M48),"")</f>
        <v/>
      </c>
      <c r="K48" s="12">
        <f>IFERROR(H48*(1-N48),"")</f>
        <v/>
      </c>
      <c r="L48" s="14">
        <f>IF(D48="Start",'Partner Tiers'!$D$5,IF(D48="Pro",'Partner Tiers'!$E$5,IF(D48="Business",'Partner Tiers'!$F$5,IF(D48="Enterprise",'Partner Tiers'!$G$5,""))))</f>
        <v/>
      </c>
      <c r="M48" s="14">
        <f>IF(D48="Start",'Partner Tiers'!$D$6,IF(D48="Pro",'Partner Tiers'!$E$6,IF(D48="Business",'Partner Tiers'!$F$6,IF(D48="Enterprise",'Partner Tiers'!$G$6,""))))</f>
        <v/>
      </c>
      <c r="N48" s="14">
        <f>IF(D48="Start",'Partner Tiers'!$D$7,IF(D48="Pro",'Partner Tiers'!$E$7,IF(D48="Business",'Partner Tiers'!$F$7,IF(D48="Enterprise",'Partner Tiers'!$G$7,""))))</f>
        <v/>
      </c>
      <c r="O48" s="10">
        <f>'Price Book'!M48</f>
        <v/>
      </c>
      <c r="P48" s="10">
        <f>'Price Book'!N48</f>
        <v/>
      </c>
      <c r="Q48" s="11">
        <f>'Price Book'!O48</f>
        <v/>
      </c>
      <c r="R48" s="14">
        <f>IFERROR(I48/F48,"")</f>
        <v/>
      </c>
      <c r="S48" s="14">
        <f>IFERROR(J48/F48,"")</f>
        <v/>
      </c>
      <c r="T48" s="14">
        <f>IFERROR(K48/F48,"")</f>
        <v/>
      </c>
      <c r="U48" s="11">
        <f>'Price Book'!R48</f>
        <v/>
      </c>
      <c r="V48" s="8">
        <f>'Price Book'!AG48</f>
        <v/>
      </c>
    </row>
    <row r="49">
      <c r="A49" s="8">
        <f>'Price Book'!A49</f>
        <v/>
      </c>
      <c r="B49" s="8">
        <f>'Price Book'!B49</f>
        <v/>
      </c>
      <c r="C49" s="8">
        <f>'Price Book'!C49</f>
        <v/>
      </c>
      <c r="D49" s="8">
        <f>'Price Book'!D49</f>
        <v/>
      </c>
      <c r="E49" s="8">
        <f>'Price Book'!G49</f>
        <v/>
      </c>
      <c r="F49" s="10">
        <f>'Price Book'!I49</f>
        <v/>
      </c>
      <c r="G49" s="11">
        <f>'Price Book'!J49</f>
        <v/>
      </c>
      <c r="H49" s="10">
        <f>'Price Book'!K49</f>
        <v/>
      </c>
      <c r="I49" s="12">
        <f>IFERROR(H49*(1-L49),"")</f>
        <v/>
      </c>
      <c r="J49" s="12">
        <f>IFERROR(H49*(1-M49),"")</f>
        <v/>
      </c>
      <c r="K49" s="12">
        <f>IFERROR(H49*(1-N49),"")</f>
        <v/>
      </c>
      <c r="L49" s="14">
        <f>IF(D49="Start",'Partner Tiers'!$D$5,IF(D49="Pro",'Partner Tiers'!$E$5,IF(D49="Business",'Partner Tiers'!$F$5,IF(D49="Enterprise",'Partner Tiers'!$G$5,""))))</f>
        <v/>
      </c>
      <c r="M49" s="14">
        <f>IF(D49="Start",'Partner Tiers'!$D$6,IF(D49="Pro",'Partner Tiers'!$E$6,IF(D49="Business",'Partner Tiers'!$F$6,IF(D49="Enterprise",'Partner Tiers'!$G$6,""))))</f>
        <v/>
      </c>
      <c r="N49" s="14">
        <f>IF(D49="Start",'Partner Tiers'!$D$7,IF(D49="Pro",'Partner Tiers'!$E$7,IF(D49="Business",'Partner Tiers'!$F$7,IF(D49="Enterprise",'Partner Tiers'!$G$7,""))))</f>
        <v/>
      </c>
      <c r="O49" s="10">
        <f>'Price Book'!M49</f>
        <v/>
      </c>
      <c r="P49" s="10">
        <f>'Price Book'!N49</f>
        <v/>
      </c>
      <c r="Q49" s="11">
        <f>'Price Book'!O49</f>
        <v/>
      </c>
      <c r="R49" s="14">
        <f>IFERROR(I49/F49,"")</f>
        <v/>
      </c>
      <c r="S49" s="14">
        <f>IFERROR(J49/F49,"")</f>
        <v/>
      </c>
      <c r="T49" s="14">
        <f>IFERROR(K49/F49,"")</f>
        <v/>
      </c>
      <c r="U49" s="11">
        <f>'Price Book'!R49</f>
        <v/>
      </c>
      <c r="V49" s="8">
        <f>'Price Book'!AG49</f>
        <v/>
      </c>
    </row>
    <row r="50">
      <c r="A50" s="8">
        <f>'Price Book'!A50</f>
        <v/>
      </c>
      <c r="B50" s="8">
        <f>'Price Book'!B50</f>
        <v/>
      </c>
      <c r="C50" s="8">
        <f>'Price Book'!C50</f>
        <v/>
      </c>
      <c r="D50" s="8">
        <f>'Price Book'!D50</f>
        <v/>
      </c>
      <c r="E50" s="8">
        <f>'Price Book'!G50</f>
        <v/>
      </c>
      <c r="F50" s="10">
        <f>'Price Book'!I50</f>
        <v/>
      </c>
      <c r="G50" s="11">
        <f>'Price Book'!J50</f>
        <v/>
      </c>
      <c r="H50" s="10">
        <f>'Price Book'!K50</f>
        <v/>
      </c>
      <c r="I50" s="12">
        <f>IFERROR(H50*(1-L50),"")</f>
        <v/>
      </c>
      <c r="J50" s="12">
        <f>IFERROR(H50*(1-M50),"")</f>
        <v/>
      </c>
      <c r="K50" s="12">
        <f>IFERROR(H50*(1-N50),"")</f>
        <v/>
      </c>
      <c r="L50" s="14">
        <f>IF(D50="Start",'Partner Tiers'!$D$5,IF(D50="Pro",'Partner Tiers'!$E$5,IF(D50="Business",'Partner Tiers'!$F$5,IF(D50="Enterprise",'Partner Tiers'!$G$5,""))))</f>
        <v/>
      </c>
      <c r="M50" s="14">
        <f>IF(D50="Start",'Partner Tiers'!$D$6,IF(D50="Pro",'Partner Tiers'!$E$6,IF(D50="Business",'Partner Tiers'!$F$6,IF(D50="Enterprise",'Partner Tiers'!$G$6,""))))</f>
        <v/>
      </c>
      <c r="N50" s="14">
        <f>IF(D50="Start",'Partner Tiers'!$D$7,IF(D50="Pro",'Partner Tiers'!$E$7,IF(D50="Business",'Partner Tiers'!$F$7,IF(D50="Enterprise",'Partner Tiers'!$G$7,""))))</f>
        <v/>
      </c>
      <c r="O50" s="10">
        <f>'Price Book'!M50</f>
        <v/>
      </c>
      <c r="P50" s="10">
        <f>'Price Book'!N50</f>
        <v/>
      </c>
      <c r="Q50" s="11">
        <f>'Price Book'!O50</f>
        <v/>
      </c>
      <c r="R50" s="14">
        <f>IFERROR(I50/F50,"")</f>
        <v/>
      </c>
      <c r="S50" s="14">
        <f>IFERROR(J50/F50,"")</f>
        <v/>
      </c>
      <c r="T50" s="14">
        <f>IFERROR(K50/F50,"")</f>
        <v/>
      </c>
      <c r="U50" s="11">
        <f>'Price Book'!R50</f>
        <v/>
      </c>
      <c r="V50" s="8">
        <f>'Price Book'!AG50</f>
        <v/>
      </c>
    </row>
    <row r="51">
      <c r="A51" s="8">
        <f>'Price Book'!A51</f>
        <v/>
      </c>
      <c r="B51" s="8">
        <f>'Price Book'!B51</f>
        <v/>
      </c>
      <c r="C51" s="8">
        <f>'Price Book'!C51</f>
        <v/>
      </c>
      <c r="D51" s="8">
        <f>'Price Book'!D51</f>
        <v/>
      </c>
      <c r="E51" s="8">
        <f>'Price Book'!G51</f>
        <v/>
      </c>
      <c r="F51" s="10">
        <f>'Price Book'!I51</f>
        <v/>
      </c>
      <c r="G51" s="11">
        <f>'Price Book'!J51</f>
        <v/>
      </c>
      <c r="H51" s="10">
        <f>'Price Book'!K51</f>
        <v/>
      </c>
      <c r="I51" s="12">
        <f>IFERROR(H51*(1-L51),"")</f>
        <v/>
      </c>
      <c r="J51" s="12">
        <f>IFERROR(H51*(1-M51),"")</f>
        <v/>
      </c>
      <c r="K51" s="12">
        <f>IFERROR(H51*(1-N51),"")</f>
        <v/>
      </c>
      <c r="L51" s="14">
        <f>IF(D51="Start",'Partner Tiers'!$D$5,IF(D51="Pro",'Partner Tiers'!$E$5,IF(D51="Business",'Partner Tiers'!$F$5,IF(D51="Enterprise",'Partner Tiers'!$G$5,""))))</f>
        <v/>
      </c>
      <c r="M51" s="14">
        <f>IF(D51="Start",'Partner Tiers'!$D$6,IF(D51="Pro",'Partner Tiers'!$E$6,IF(D51="Business",'Partner Tiers'!$F$6,IF(D51="Enterprise",'Partner Tiers'!$G$6,""))))</f>
        <v/>
      </c>
      <c r="N51" s="14">
        <f>IF(D51="Start",'Partner Tiers'!$D$7,IF(D51="Pro",'Partner Tiers'!$E$7,IF(D51="Business",'Partner Tiers'!$F$7,IF(D51="Enterprise",'Partner Tiers'!$G$7,""))))</f>
        <v/>
      </c>
      <c r="O51" s="10">
        <f>'Price Book'!M51</f>
        <v/>
      </c>
      <c r="P51" s="10">
        <f>'Price Book'!N51</f>
        <v/>
      </c>
      <c r="Q51" s="11">
        <f>'Price Book'!O51</f>
        <v/>
      </c>
      <c r="R51" s="14">
        <f>IFERROR(I51/F51,"")</f>
        <v/>
      </c>
      <c r="S51" s="14">
        <f>IFERROR(J51/F51,"")</f>
        <v/>
      </c>
      <c r="T51" s="14">
        <f>IFERROR(K51/F51,"")</f>
        <v/>
      </c>
      <c r="U51" s="11">
        <f>'Price Book'!R51</f>
        <v/>
      </c>
      <c r="V51" s="8">
        <f>'Price Book'!AG51</f>
        <v/>
      </c>
    </row>
    <row r="52">
      <c r="A52" s="8">
        <f>'Price Book'!A52</f>
        <v/>
      </c>
      <c r="B52" s="8">
        <f>'Price Book'!B52</f>
        <v/>
      </c>
      <c r="C52" s="8">
        <f>'Price Book'!C52</f>
        <v/>
      </c>
      <c r="D52" s="8">
        <f>'Price Book'!D52</f>
        <v/>
      </c>
      <c r="E52" s="8">
        <f>'Price Book'!G52</f>
        <v/>
      </c>
      <c r="F52" s="10">
        <f>'Price Book'!I52</f>
        <v/>
      </c>
      <c r="G52" s="11">
        <f>'Price Book'!J52</f>
        <v/>
      </c>
      <c r="H52" s="10">
        <f>'Price Book'!K52</f>
        <v/>
      </c>
      <c r="I52" s="12">
        <f>IFERROR(H52*(1-L52),"")</f>
        <v/>
      </c>
      <c r="J52" s="12">
        <f>IFERROR(H52*(1-M52),"")</f>
        <v/>
      </c>
      <c r="K52" s="12">
        <f>IFERROR(H52*(1-N52),"")</f>
        <v/>
      </c>
      <c r="L52" s="14">
        <f>IF(D52="Start",'Partner Tiers'!$D$5,IF(D52="Pro",'Partner Tiers'!$E$5,IF(D52="Business",'Partner Tiers'!$F$5,IF(D52="Enterprise",'Partner Tiers'!$G$5,""))))</f>
        <v/>
      </c>
      <c r="M52" s="14">
        <f>IF(D52="Start",'Partner Tiers'!$D$6,IF(D52="Pro",'Partner Tiers'!$E$6,IF(D52="Business",'Partner Tiers'!$F$6,IF(D52="Enterprise",'Partner Tiers'!$G$6,""))))</f>
        <v/>
      </c>
      <c r="N52" s="14">
        <f>IF(D52="Start",'Partner Tiers'!$D$7,IF(D52="Pro",'Partner Tiers'!$E$7,IF(D52="Business",'Partner Tiers'!$F$7,IF(D52="Enterprise",'Partner Tiers'!$G$7,""))))</f>
        <v/>
      </c>
      <c r="O52" s="10">
        <f>'Price Book'!M52</f>
        <v/>
      </c>
      <c r="P52" s="10">
        <f>'Price Book'!N52</f>
        <v/>
      </c>
      <c r="Q52" s="11">
        <f>'Price Book'!O52</f>
        <v/>
      </c>
      <c r="R52" s="14">
        <f>IFERROR(I52/F52,"")</f>
        <v/>
      </c>
      <c r="S52" s="14">
        <f>IFERROR(J52/F52,"")</f>
        <v/>
      </c>
      <c r="T52" s="14">
        <f>IFERROR(K52/F52,"")</f>
        <v/>
      </c>
      <c r="U52" s="11">
        <f>'Price Book'!R52</f>
        <v/>
      </c>
      <c r="V52" s="8">
        <f>'Price Book'!AG52</f>
        <v/>
      </c>
    </row>
    <row r="53">
      <c r="A53" s="8">
        <f>'Price Book'!A53</f>
        <v/>
      </c>
      <c r="B53" s="8">
        <f>'Price Book'!B53</f>
        <v/>
      </c>
      <c r="C53" s="8">
        <f>'Price Book'!C53</f>
        <v/>
      </c>
      <c r="D53" s="8">
        <f>'Price Book'!D53</f>
        <v/>
      </c>
      <c r="E53" s="8">
        <f>'Price Book'!G53</f>
        <v/>
      </c>
      <c r="F53" s="10">
        <f>'Price Book'!I53</f>
        <v/>
      </c>
      <c r="G53" s="11">
        <f>'Price Book'!J53</f>
        <v/>
      </c>
      <c r="H53" s="10">
        <f>'Price Book'!K53</f>
        <v/>
      </c>
      <c r="I53" s="12">
        <f>IFERROR(H53*(1-L53),"")</f>
        <v/>
      </c>
      <c r="J53" s="12">
        <f>IFERROR(H53*(1-M53),"")</f>
        <v/>
      </c>
      <c r="K53" s="12">
        <f>IFERROR(H53*(1-N53),"")</f>
        <v/>
      </c>
      <c r="L53" s="14">
        <f>IF(D53="Start",'Partner Tiers'!$D$5,IF(D53="Pro",'Partner Tiers'!$E$5,IF(D53="Business",'Partner Tiers'!$F$5,IF(D53="Enterprise",'Partner Tiers'!$G$5,""))))</f>
        <v/>
      </c>
      <c r="M53" s="14">
        <f>IF(D53="Start",'Partner Tiers'!$D$6,IF(D53="Pro",'Partner Tiers'!$E$6,IF(D53="Business",'Partner Tiers'!$F$6,IF(D53="Enterprise",'Partner Tiers'!$G$6,""))))</f>
        <v/>
      </c>
      <c r="N53" s="14">
        <f>IF(D53="Start",'Partner Tiers'!$D$7,IF(D53="Pro",'Partner Tiers'!$E$7,IF(D53="Business",'Partner Tiers'!$F$7,IF(D53="Enterprise",'Partner Tiers'!$G$7,""))))</f>
        <v/>
      </c>
      <c r="O53" s="10">
        <f>'Price Book'!M53</f>
        <v/>
      </c>
      <c r="P53" s="10">
        <f>'Price Book'!N53</f>
        <v/>
      </c>
      <c r="Q53" s="11">
        <f>'Price Book'!O53</f>
        <v/>
      </c>
      <c r="R53" s="14">
        <f>IFERROR(I53/F53,"")</f>
        <v/>
      </c>
      <c r="S53" s="14">
        <f>IFERROR(J53/F53,"")</f>
        <v/>
      </c>
      <c r="T53" s="14">
        <f>IFERROR(K53/F53,"")</f>
        <v/>
      </c>
      <c r="U53" s="11">
        <f>'Price Book'!R53</f>
        <v/>
      </c>
      <c r="V53" s="8">
        <f>'Price Book'!AG53</f>
        <v/>
      </c>
    </row>
    <row r="54">
      <c r="A54" s="8">
        <f>'Price Book'!A54</f>
        <v/>
      </c>
      <c r="B54" s="8">
        <f>'Price Book'!B54</f>
        <v/>
      </c>
      <c r="C54" s="8">
        <f>'Price Book'!C54</f>
        <v/>
      </c>
      <c r="D54" s="8">
        <f>'Price Book'!D54</f>
        <v/>
      </c>
      <c r="E54" s="8">
        <f>'Price Book'!G54</f>
        <v/>
      </c>
      <c r="F54" s="10">
        <f>'Price Book'!I54</f>
        <v/>
      </c>
      <c r="G54" s="11">
        <f>'Price Book'!J54</f>
        <v/>
      </c>
      <c r="H54" s="10">
        <f>'Price Book'!K54</f>
        <v/>
      </c>
      <c r="I54" s="12">
        <f>IFERROR(H54*(1-L54),"")</f>
        <v/>
      </c>
      <c r="J54" s="12">
        <f>IFERROR(H54*(1-M54),"")</f>
        <v/>
      </c>
      <c r="K54" s="12">
        <f>IFERROR(H54*(1-N54),"")</f>
        <v/>
      </c>
      <c r="L54" s="14">
        <f>IF(D54="Start",'Partner Tiers'!$D$5,IF(D54="Pro",'Partner Tiers'!$E$5,IF(D54="Business",'Partner Tiers'!$F$5,IF(D54="Enterprise",'Partner Tiers'!$G$5,""))))</f>
        <v/>
      </c>
      <c r="M54" s="14">
        <f>IF(D54="Start",'Partner Tiers'!$D$6,IF(D54="Pro",'Partner Tiers'!$E$6,IF(D54="Business",'Partner Tiers'!$F$6,IF(D54="Enterprise",'Partner Tiers'!$G$6,""))))</f>
        <v/>
      </c>
      <c r="N54" s="14">
        <f>IF(D54="Start",'Partner Tiers'!$D$7,IF(D54="Pro",'Partner Tiers'!$E$7,IF(D54="Business",'Partner Tiers'!$F$7,IF(D54="Enterprise",'Partner Tiers'!$G$7,""))))</f>
        <v/>
      </c>
      <c r="O54" s="10">
        <f>'Price Book'!M54</f>
        <v/>
      </c>
      <c r="P54" s="10">
        <f>'Price Book'!N54</f>
        <v/>
      </c>
      <c r="Q54" s="11">
        <f>'Price Book'!O54</f>
        <v/>
      </c>
      <c r="R54" s="14">
        <f>IFERROR(I54/F54,"")</f>
        <v/>
      </c>
      <c r="S54" s="14">
        <f>IFERROR(J54/F54,"")</f>
        <v/>
      </c>
      <c r="T54" s="14">
        <f>IFERROR(K54/F54,"")</f>
        <v/>
      </c>
      <c r="U54" s="11">
        <f>'Price Book'!R54</f>
        <v/>
      </c>
      <c r="V54" s="8">
        <f>'Price Book'!AG54</f>
        <v/>
      </c>
    </row>
    <row r="55">
      <c r="A55" s="8">
        <f>'Price Book'!A55</f>
        <v/>
      </c>
      <c r="B55" s="8">
        <f>'Price Book'!B55</f>
        <v/>
      </c>
      <c r="C55" s="8">
        <f>'Price Book'!C55</f>
        <v/>
      </c>
      <c r="D55" s="8">
        <f>'Price Book'!D55</f>
        <v/>
      </c>
      <c r="E55" s="8">
        <f>'Price Book'!G55</f>
        <v/>
      </c>
      <c r="F55" s="10">
        <f>'Price Book'!I55</f>
        <v/>
      </c>
      <c r="G55" s="11">
        <f>'Price Book'!J55</f>
        <v/>
      </c>
      <c r="H55" s="10">
        <f>'Price Book'!K55</f>
        <v/>
      </c>
      <c r="I55" s="12">
        <f>IFERROR(H55*(1-L55),"")</f>
        <v/>
      </c>
      <c r="J55" s="12">
        <f>IFERROR(H55*(1-M55),"")</f>
        <v/>
      </c>
      <c r="K55" s="12">
        <f>IFERROR(H55*(1-N55),"")</f>
        <v/>
      </c>
      <c r="L55" s="14">
        <f>IF(D55="Start",'Partner Tiers'!$D$5,IF(D55="Pro",'Partner Tiers'!$E$5,IF(D55="Business",'Partner Tiers'!$F$5,IF(D55="Enterprise",'Partner Tiers'!$G$5,""))))</f>
        <v/>
      </c>
      <c r="M55" s="14">
        <f>IF(D55="Start",'Partner Tiers'!$D$6,IF(D55="Pro",'Partner Tiers'!$E$6,IF(D55="Business",'Partner Tiers'!$F$6,IF(D55="Enterprise",'Partner Tiers'!$G$6,""))))</f>
        <v/>
      </c>
      <c r="N55" s="14">
        <f>IF(D55="Start",'Partner Tiers'!$D$7,IF(D55="Pro",'Partner Tiers'!$E$7,IF(D55="Business",'Partner Tiers'!$F$7,IF(D55="Enterprise",'Partner Tiers'!$G$7,""))))</f>
        <v/>
      </c>
      <c r="O55" s="10">
        <f>'Price Book'!M55</f>
        <v/>
      </c>
      <c r="P55" s="10">
        <f>'Price Book'!N55</f>
        <v/>
      </c>
      <c r="Q55" s="11">
        <f>'Price Book'!O55</f>
        <v/>
      </c>
      <c r="R55" s="14">
        <f>IFERROR(I55/F55,"")</f>
        <v/>
      </c>
      <c r="S55" s="14">
        <f>IFERROR(J55/F55,"")</f>
        <v/>
      </c>
      <c r="T55" s="14">
        <f>IFERROR(K55/F55,"")</f>
        <v/>
      </c>
      <c r="U55" s="11">
        <f>'Price Book'!R55</f>
        <v/>
      </c>
      <c r="V55" s="8">
        <f>'Price Book'!AG55</f>
        <v/>
      </c>
    </row>
    <row r="56">
      <c r="A56" s="8">
        <f>'Price Book'!A56</f>
        <v/>
      </c>
      <c r="B56" s="8">
        <f>'Price Book'!B56</f>
        <v/>
      </c>
      <c r="C56" s="8">
        <f>'Price Book'!C56</f>
        <v/>
      </c>
      <c r="D56" s="8">
        <f>'Price Book'!D56</f>
        <v/>
      </c>
      <c r="E56" s="8">
        <f>'Price Book'!G56</f>
        <v/>
      </c>
      <c r="F56" s="10">
        <f>'Price Book'!I56</f>
        <v/>
      </c>
      <c r="G56" s="11">
        <f>'Price Book'!J56</f>
        <v/>
      </c>
      <c r="H56" s="10">
        <f>'Price Book'!K56</f>
        <v/>
      </c>
      <c r="I56" s="12">
        <f>IFERROR(H56*(1-L56),"")</f>
        <v/>
      </c>
      <c r="J56" s="12">
        <f>IFERROR(H56*(1-M56),"")</f>
        <v/>
      </c>
      <c r="K56" s="12">
        <f>IFERROR(H56*(1-N56),"")</f>
        <v/>
      </c>
      <c r="L56" s="14">
        <f>IF(D56="Start",'Partner Tiers'!$D$5,IF(D56="Pro",'Partner Tiers'!$E$5,IF(D56="Business",'Partner Tiers'!$F$5,IF(D56="Enterprise",'Partner Tiers'!$G$5,""))))</f>
        <v/>
      </c>
      <c r="M56" s="14">
        <f>IF(D56="Start",'Partner Tiers'!$D$6,IF(D56="Pro",'Partner Tiers'!$E$6,IF(D56="Business",'Partner Tiers'!$F$6,IF(D56="Enterprise",'Partner Tiers'!$G$6,""))))</f>
        <v/>
      </c>
      <c r="N56" s="14">
        <f>IF(D56="Start",'Partner Tiers'!$D$7,IF(D56="Pro",'Partner Tiers'!$E$7,IF(D56="Business",'Partner Tiers'!$F$7,IF(D56="Enterprise",'Partner Tiers'!$G$7,""))))</f>
        <v/>
      </c>
      <c r="O56" s="10">
        <f>'Price Book'!M56</f>
        <v/>
      </c>
      <c r="P56" s="10">
        <f>'Price Book'!N56</f>
        <v/>
      </c>
      <c r="Q56" s="11">
        <f>'Price Book'!O56</f>
        <v/>
      </c>
      <c r="R56" s="14">
        <f>IFERROR(I56/F56,"")</f>
        <v/>
      </c>
      <c r="S56" s="14">
        <f>IFERROR(J56/F56,"")</f>
        <v/>
      </c>
      <c r="T56" s="14">
        <f>IFERROR(K56/F56,"")</f>
        <v/>
      </c>
      <c r="U56" s="11">
        <f>'Price Book'!R56</f>
        <v/>
      </c>
      <c r="V56" s="8">
        <f>'Price Book'!AG56</f>
        <v/>
      </c>
    </row>
    <row r="57">
      <c r="A57" s="8">
        <f>'Price Book'!A57</f>
        <v/>
      </c>
      <c r="B57" s="8">
        <f>'Price Book'!B57</f>
        <v/>
      </c>
      <c r="C57" s="8">
        <f>'Price Book'!C57</f>
        <v/>
      </c>
      <c r="D57" s="8">
        <f>'Price Book'!D57</f>
        <v/>
      </c>
      <c r="E57" s="8">
        <f>'Price Book'!G57</f>
        <v/>
      </c>
      <c r="F57" s="10">
        <f>'Price Book'!I57</f>
        <v/>
      </c>
      <c r="G57" s="11">
        <f>'Price Book'!J57</f>
        <v/>
      </c>
      <c r="H57" s="10">
        <f>'Price Book'!K57</f>
        <v/>
      </c>
      <c r="I57" s="12">
        <f>IFERROR(H57*(1-L57),"")</f>
        <v/>
      </c>
      <c r="J57" s="12">
        <f>IFERROR(H57*(1-M57),"")</f>
        <v/>
      </c>
      <c r="K57" s="12">
        <f>IFERROR(H57*(1-N57),"")</f>
        <v/>
      </c>
      <c r="L57" s="14">
        <f>IF(D57="Start",'Partner Tiers'!$D$5,IF(D57="Pro",'Partner Tiers'!$E$5,IF(D57="Business",'Partner Tiers'!$F$5,IF(D57="Enterprise",'Partner Tiers'!$G$5,""))))</f>
        <v/>
      </c>
      <c r="M57" s="14">
        <f>IF(D57="Start",'Partner Tiers'!$D$6,IF(D57="Pro",'Partner Tiers'!$E$6,IF(D57="Business",'Partner Tiers'!$F$6,IF(D57="Enterprise",'Partner Tiers'!$G$6,""))))</f>
        <v/>
      </c>
      <c r="N57" s="14">
        <f>IF(D57="Start",'Partner Tiers'!$D$7,IF(D57="Pro",'Partner Tiers'!$E$7,IF(D57="Business",'Partner Tiers'!$F$7,IF(D57="Enterprise",'Partner Tiers'!$G$7,""))))</f>
        <v/>
      </c>
      <c r="O57" s="10">
        <f>'Price Book'!M57</f>
        <v/>
      </c>
      <c r="P57" s="10">
        <f>'Price Book'!N57</f>
        <v/>
      </c>
      <c r="Q57" s="11">
        <f>'Price Book'!O57</f>
        <v/>
      </c>
      <c r="R57" s="14">
        <f>IFERROR(I57/F57,"")</f>
        <v/>
      </c>
      <c r="S57" s="14">
        <f>IFERROR(J57/F57,"")</f>
        <v/>
      </c>
      <c r="T57" s="14">
        <f>IFERROR(K57/F57,"")</f>
        <v/>
      </c>
      <c r="U57" s="11">
        <f>'Price Book'!R57</f>
        <v/>
      </c>
      <c r="V57" s="8">
        <f>'Price Book'!AG57</f>
        <v/>
      </c>
    </row>
    <row r="58">
      <c r="A58" s="8">
        <f>'Price Book'!A58</f>
        <v/>
      </c>
      <c r="B58" s="8">
        <f>'Price Book'!B58</f>
        <v/>
      </c>
      <c r="C58" s="8">
        <f>'Price Book'!C58</f>
        <v/>
      </c>
      <c r="D58" s="8">
        <f>'Price Book'!D58</f>
        <v/>
      </c>
      <c r="E58" s="8">
        <f>'Price Book'!G58</f>
        <v/>
      </c>
      <c r="F58" s="10">
        <f>'Price Book'!I58</f>
        <v/>
      </c>
      <c r="G58" s="11">
        <f>'Price Book'!J58</f>
        <v/>
      </c>
      <c r="H58" s="10">
        <f>'Price Book'!K58</f>
        <v/>
      </c>
      <c r="I58" s="12">
        <f>IFERROR(H58*(1-L58),"")</f>
        <v/>
      </c>
      <c r="J58" s="12">
        <f>IFERROR(H58*(1-M58),"")</f>
        <v/>
      </c>
      <c r="K58" s="12">
        <f>IFERROR(H58*(1-N58),"")</f>
        <v/>
      </c>
      <c r="L58" s="14">
        <f>IF(D58="Start",'Partner Tiers'!$D$5,IF(D58="Pro",'Partner Tiers'!$E$5,IF(D58="Business",'Partner Tiers'!$F$5,IF(D58="Enterprise",'Partner Tiers'!$G$5,""))))</f>
        <v/>
      </c>
      <c r="M58" s="14">
        <f>IF(D58="Start",'Partner Tiers'!$D$6,IF(D58="Pro",'Partner Tiers'!$E$6,IF(D58="Business",'Partner Tiers'!$F$6,IF(D58="Enterprise",'Partner Tiers'!$G$6,""))))</f>
        <v/>
      </c>
      <c r="N58" s="14">
        <f>IF(D58="Start",'Partner Tiers'!$D$7,IF(D58="Pro",'Partner Tiers'!$E$7,IF(D58="Business",'Partner Tiers'!$F$7,IF(D58="Enterprise",'Partner Tiers'!$G$7,""))))</f>
        <v/>
      </c>
      <c r="O58" s="10">
        <f>'Price Book'!M58</f>
        <v/>
      </c>
      <c r="P58" s="10">
        <f>'Price Book'!N58</f>
        <v/>
      </c>
      <c r="Q58" s="11">
        <f>'Price Book'!O58</f>
        <v/>
      </c>
      <c r="R58" s="14">
        <f>IFERROR(I58/F58,"")</f>
        <v/>
      </c>
      <c r="S58" s="14">
        <f>IFERROR(J58/F58,"")</f>
        <v/>
      </c>
      <c r="T58" s="14">
        <f>IFERROR(K58/F58,"")</f>
        <v/>
      </c>
      <c r="U58" s="11">
        <f>'Price Book'!R58</f>
        <v/>
      </c>
      <c r="V58" s="8">
        <f>'Price Book'!AG58</f>
        <v/>
      </c>
    </row>
    <row r="59">
      <c r="A59" s="8">
        <f>'Price Book'!A59</f>
        <v/>
      </c>
      <c r="B59" s="8">
        <f>'Price Book'!B59</f>
        <v/>
      </c>
      <c r="C59" s="8">
        <f>'Price Book'!C59</f>
        <v/>
      </c>
      <c r="D59" s="8">
        <f>'Price Book'!D59</f>
        <v/>
      </c>
      <c r="E59" s="8">
        <f>'Price Book'!G59</f>
        <v/>
      </c>
      <c r="F59" s="10">
        <f>'Price Book'!I59</f>
        <v/>
      </c>
      <c r="G59" s="11">
        <f>'Price Book'!J59</f>
        <v/>
      </c>
      <c r="H59" s="10">
        <f>'Price Book'!K59</f>
        <v/>
      </c>
      <c r="I59" s="12">
        <f>IFERROR(H59*(1-L59),"")</f>
        <v/>
      </c>
      <c r="J59" s="12">
        <f>IFERROR(H59*(1-M59),"")</f>
        <v/>
      </c>
      <c r="K59" s="12">
        <f>IFERROR(H59*(1-N59),"")</f>
        <v/>
      </c>
      <c r="L59" s="14">
        <f>IF(D59="Start",'Partner Tiers'!$D$5,IF(D59="Pro",'Partner Tiers'!$E$5,IF(D59="Business",'Partner Tiers'!$F$5,IF(D59="Enterprise",'Partner Tiers'!$G$5,""))))</f>
        <v/>
      </c>
      <c r="M59" s="14">
        <f>IF(D59="Start",'Partner Tiers'!$D$6,IF(D59="Pro",'Partner Tiers'!$E$6,IF(D59="Business",'Partner Tiers'!$F$6,IF(D59="Enterprise",'Partner Tiers'!$G$6,""))))</f>
        <v/>
      </c>
      <c r="N59" s="14">
        <f>IF(D59="Start",'Partner Tiers'!$D$7,IF(D59="Pro",'Partner Tiers'!$E$7,IF(D59="Business",'Partner Tiers'!$F$7,IF(D59="Enterprise",'Partner Tiers'!$G$7,""))))</f>
        <v/>
      </c>
      <c r="O59" s="10">
        <f>'Price Book'!M59</f>
        <v/>
      </c>
      <c r="P59" s="10">
        <f>'Price Book'!N59</f>
        <v/>
      </c>
      <c r="Q59" s="11">
        <f>'Price Book'!O59</f>
        <v/>
      </c>
      <c r="R59" s="14">
        <f>IFERROR(I59/F59,"")</f>
        <v/>
      </c>
      <c r="S59" s="14">
        <f>IFERROR(J59/F59,"")</f>
        <v/>
      </c>
      <c r="T59" s="14">
        <f>IFERROR(K59/F59,"")</f>
        <v/>
      </c>
      <c r="U59" s="11">
        <f>'Price Book'!R59</f>
        <v/>
      </c>
      <c r="V59" s="8">
        <f>'Price Book'!AG59</f>
        <v/>
      </c>
    </row>
    <row r="60">
      <c r="A60" s="8">
        <f>'Price Book'!A60</f>
        <v/>
      </c>
      <c r="B60" s="8">
        <f>'Price Book'!B60</f>
        <v/>
      </c>
      <c r="C60" s="8">
        <f>'Price Book'!C60</f>
        <v/>
      </c>
      <c r="D60" s="8">
        <f>'Price Book'!D60</f>
        <v/>
      </c>
      <c r="E60" s="8">
        <f>'Price Book'!G60</f>
        <v/>
      </c>
      <c r="F60" s="10">
        <f>'Price Book'!I60</f>
        <v/>
      </c>
      <c r="G60" s="11">
        <f>'Price Book'!J60</f>
        <v/>
      </c>
      <c r="H60" s="10">
        <f>'Price Book'!K60</f>
        <v/>
      </c>
      <c r="I60" s="12">
        <f>IFERROR(H60*(1-L60),"")</f>
        <v/>
      </c>
      <c r="J60" s="12">
        <f>IFERROR(H60*(1-M60),"")</f>
        <v/>
      </c>
      <c r="K60" s="12">
        <f>IFERROR(H60*(1-N60),"")</f>
        <v/>
      </c>
      <c r="L60" s="14">
        <f>IF(D60="Start",'Partner Tiers'!$D$5,IF(D60="Pro",'Partner Tiers'!$E$5,IF(D60="Business",'Partner Tiers'!$F$5,IF(D60="Enterprise",'Partner Tiers'!$G$5,""))))</f>
        <v/>
      </c>
      <c r="M60" s="14">
        <f>IF(D60="Start",'Partner Tiers'!$D$6,IF(D60="Pro",'Partner Tiers'!$E$6,IF(D60="Business",'Partner Tiers'!$F$6,IF(D60="Enterprise",'Partner Tiers'!$G$6,""))))</f>
        <v/>
      </c>
      <c r="N60" s="14">
        <f>IF(D60="Start",'Partner Tiers'!$D$7,IF(D60="Pro",'Partner Tiers'!$E$7,IF(D60="Business",'Partner Tiers'!$F$7,IF(D60="Enterprise",'Partner Tiers'!$G$7,""))))</f>
        <v/>
      </c>
      <c r="O60" s="10">
        <f>'Price Book'!M60</f>
        <v/>
      </c>
      <c r="P60" s="10">
        <f>'Price Book'!N60</f>
        <v/>
      </c>
      <c r="Q60" s="11">
        <f>'Price Book'!O60</f>
        <v/>
      </c>
      <c r="R60" s="14">
        <f>IFERROR(I60/F60,"")</f>
        <v/>
      </c>
      <c r="S60" s="14">
        <f>IFERROR(J60/F60,"")</f>
        <v/>
      </c>
      <c r="T60" s="14">
        <f>IFERROR(K60/F60,"")</f>
        <v/>
      </c>
      <c r="U60" s="11">
        <f>'Price Book'!R60</f>
        <v/>
      </c>
      <c r="V60" s="8">
        <f>'Price Book'!AG60</f>
        <v/>
      </c>
    </row>
    <row r="61">
      <c r="A61" s="8">
        <f>'Price Book'!A61</f>
        <v/>
      </c>
      <c r="B61" s="8">
        <f>'Price Book'!B61</f>
        <v/>
      </c>
      <c r="C61" s="8">
        <f>'Price Book'!C61</f>
        <v/>
      </c>
      <c r="D61" s="8">
        <f>'Price Book'!D61</f>
        <v/>
      </c>
      <c r="E61" s="8">
        <f>'Price Book'!G61</f>
        <v/>
      </c>
      <c r="F61" s="10">
        <f>'Price Book'!I61</f>
        <v/>
      </c>
      <c r="G61" s="11">
        <f>'Price Book'!J61</f>
        <v/>
      </c>
      <c r="H61" s="10">
        <f>'Price Book'!K61</f>
        <v/>
      </c>
      <c r="I61" s="12">
        <f>IFERROR(H61*(1-L61),"")</f>
        <v/>
      </c>
      <c r="J61" s="12">
        <f>IFERROR(H61*(1-M61),"")</f>
        <v/>
      </c>
      <c r="K61" s="12">
        <f>IFERROR(H61*(1-N61),"")</f>
        <v/>
      </c>
      <c r="L61" s="14">
        <f>IF(D61="Start",'Partner Tiers'!$D$5,IF(D61="Pro",'Partner Tiers'!$E$5,IF(D61="Business",'Partner Tiers'!$F$5,IF(D61="Enterprise",'Partner Tiers'!$G$5,""))))</f>
        <v/>
      </c>
      <c r="M61" s="14">
        <f>IF(D61="Start",'Partner Tiers'!$D$6,IF(D61="Pro",'Partner Tiers'!$E$6,IF(D61="Business",'Partner Tiers'!$F$6,IF(D61="Enterprise",'Partner Tiers'!$G$6,""))))</f>
        <v/>
      </c>
      <c r="N61" s="14">
        <f>IF(D61="Start",'Partner Tiers'!$D$7,IF(D61="Pro",'Partner Tiers'!$E$7,IF(D61="Business",'Partner Tiers'!$F$7,IF(D61="Enterprise",'Partner Tiers'!$G$7,""))))</f>
        <v/>
      </c>
      <c r="O61" s="10">
        <f>'Price Book'!M61</f>
        <v/>
      </c>
      <c r="P61" s="10">
        <f>'Price Book'!N61</f>
        <v/>
      </c>
      <c r="Q61" s="11">
        <f>'Price Book'!O61</f>
        <v/>
      </c>
      <c r="R61" s="14">
        <f>IFERROR(I61/F61,"")</f>
        <v/>
      </c>
      <c r="S61" s="14">
        <f>IFERROR(J61/F61,"")</f>
        <v/>
      </c>
      <c r="T61" s="14">
        <f>IFERROR(K61/F61,"")</f>
        <v/>
      </c>
      <c r="U61" s="11">
        <f>'Price Book'!R61</f>
        <v/>
      </c>
      <c r="V61" s="8">
        <f>'Price Book'!AG61</f>
        <v/>
      </c>
    </row>
    <row r="62">
      <c r="A62" s="8">
        <f>'Price Book'!A62</f>
        <v/>
      </c>
      <c r="B62" s="8">
        <f>'Price Book'!B62</f>
        <v/>
      </c>
      <c r="C62" s="8">
        <f>'Price Book'!C62</f>
        <v/>
      </c>
      <c r="D62" s="8">
        <f>'Price Book'!D62</f>
        <v/>
      </c>
      <c r="E62" s="8">
        <f>'Price Book'!G62</f>
        <v/>
      </c>
      <c r="F62" s="10">
        <f>'Price Book'!I62</f>
        <v/>
      </c>
      <c r="G62" s="11">
        <f>'Price Book'!J62</f>
        <v/>
      </c>
      <c r="H62" s="10">
        <f>'Price Book'!K62</f>
        <v/>
      </c>
      <c r="I62" s="12">
        <f>IFERROR(H62*(1-L62),"")</f>
        <v/>
      </c>
      <c r="J62" s="12">
        <f>IFERROR(H62*(1-M62),"")</f>
        <v/>
      </c>
      <c r="K62" s="12">
        <f>IFERROR(H62*(1-N62),"")</f>
        <v/>
      </c>
      <c r="L62" s="14">
        <f>IF(D62="Start",'Partner Tiers'!$D$5,IF(D62="Pro",'Partner Tiers'!$E$5,IF(D62="Business",'Partner Tiers'!$F$5,IF(D62="Enterprise",'Partner Tiers'!$G$5,""))))</f>
        <v/>
      </c>
      <c r="M62" s="14">
        <f>IF(D62="Start",'Partner Tiers'!$D$6,IF(D62="Pro",'Partner Tiers'!$E$6,IF(D62="Business",'Partner Tiers'!$F$6,IF(D62="Enterprise",'Partner Tiers'!$G$6,""))))</f>
        <v/>
      </c>
      <c r="N62" s="14">
        <f>IF(D62="Start",'Partner Tiers'!$D$7,IF(D62="Pro",'Partner Tiers'!$E$7,IF(D62="Business",'Partner Tiers'!$F$7,IF(D62="Enterprise",'Partner Tiers'!$G$7,""))))</f>
        <v/>
      </c>
      <c r="O62" s="10">
        <f>'Price Book'!M62</f>
        <v/>
      </c>
      <c r="P62" s="10">
        <f>'Price Book'!N62</f>
        <v/>
      </c>
      <c r="Q62" s="11">
        <f>'Price Book'!O62</f>
        <v/>
      </c>
      <c r="R62" s="14">
        <f>IFERROR(I62/F62,"")</f>
        <v/>
      </c>
      <c r="S62" s="14">
        <f>IFERROR(J62/F62,"")</f>
        <v/>
      </c>
      <c r="T62" s="14">
        <f>IFERROR(K62/F62,"")</f>
        <v/>
      </c>
      <c r="U62" s="11">
        <f>'Price Book'!R62</f>
        <v/>
      </c>
      <c r="V62" s="8">
        <f>'Price Book'!AG62</f>
        <v/>
      </c>
    </row>
    <row r="63">
      <c r="A63" s="8">
        <f>'Price Book'!A63</f>
        <v/>
      </c>
      <c r="B63" s="8">
        <f>'Price Book'!B63</f>
        <v/>
      </c>
      <c r="C63" s="8">
        <f>'Price Book'!C63</f>
        <v/>
      </c>
      <c r="D63" s="8">
        <f>'Price Book'!D63</f>
        <v/>
      </c>
      <c r="E63" s="8">
        <f>'Price Book'!G63</f>
        <v/>
      </c>
      <c r="F63" s="10">
        <f>'Price Book'!I63</f>
        <v/>
      </c>
      <c r="G63" s="11">
        <f>'Price Book'!J63</f>
        <v/>
      </c>
      <c r="H63" s="10">
        <f>'Price Book'!K63</f>
        <v/>
      </c>
      <c r="I63" s="12">
        <f>IFERROR(H63*(1-L63),"")</f>
        <v/>
      </c>
      <c r="J63" s="12">
        <f>IFERROR(H63*(1-M63),"")</f>
        <v/>
      </c>
      <c r="K63" s="12">
        <f>IFERROR(H63*(1-N63),"")</f>
        <v/>
      </c>
      <c r="L63" s="14">
        <f>IF(D63="Start",'Partner Tiers'!$D$5,IF(D63="Pro",'Partner Tiers'!$E$5,IF(D63="Business",'Partner Tiers'!$F$5,IF(D63="Enterprise",'Partner Tiers'!$G$5,""))))</f>
        <v/>
      </c>
      <c r="M63" s="14">
        <f>IF(D63="Start",'Partner Tiers'!$D$6,IF(D63="Pro",'Partner Tiers'!$E$6,IF(D63="Business",'Partner Tiers'!$F$6,IF(D63="Enterprise",'Partner Tiers'!$G$6,""))))</f>
        <v/>
      </c>
      <c r="N63" s="14">
        <f>IF(D63="Start",'Partner Tiers'!$D$7,IF(D63="Pro",'Partner Tiers'!$E$7,IF(D63="Business",'Partner Tiers'!$F$7,IF(D63="Enterprise",'Partner Tiers'!$G$7,""))))</f>
        <v/>
      </c>
      <c r="O63" s="10">
        <f>'Price Book'!M63</f>
        <v/>
      </c>
      <c r="P63" s="10">
        <f>'Price Book'!N63</f>
        <v/>
      </c>
      <c r="Q63" s="11">
        <f>'Price Book'!O63</f>
        <v/>
      </c>
      <c r="R63" s="14">
        <f>IFERROR(I63/F63,"")</f>
        <v/>
      </c>
      <c r="S63" s="14">
        <f>IFERROR(J63/F63,"")</f>
        <v/>
      </c>
      <c r="T63" s="14">
        <f>IFERROR(K63/F63,"")</f>
        <v/>
      </c>
      <c r="U63" s="11">
        <f>'Price Book'!R63</f>
        <v/>
      </c>
      <c r="V63" s="8">
        <f>'Price Book'!AG63</f>
        <v/>
      </c>
    </row>
    <row r="64">
      <c r="A64" s="8">
        <f>'Price Book'!A64</f>
        <v/>
      </c>
      <c r="B64" s="8">
        <f>'Price Book'!B64</f>
        <v/>
      </c>
      <c r="C64" s="8">
        <f>'Price Book'!C64</f>
        <v/>
      </c>
      <c r="D64" s="8">
        <f>'Price Book'!D64</f>
        <v/>
      </c>
      <c r="E64" s="8">
        <f>'Price Book'!G64</f>
        <v/>
      </c>
      <c r="F64" s="10">
        <f>'Price Book'!I64</f>
        <v/>
      </c>
      <c r="G64" s="11">
        <f>'Price Book'!J64</f>
        <v/>
      </c>
      <c r="H64" s="10">
        <f>'Price Book'!K64</f>
        <v/>
      </c>
      <c r="I64" s="12">
        <f>IFERROR(H64*(1-L64),"")</f>
        <v/>
      </c>
      <c r="J64" s="12">
        <f>IFERROR(H64*(1-M64),"")</f>
        <v/>
      </c>
      <c r="K64" s="12">
        <f>IFERROR(H64*(1-N64),"")</f>
        <v/>
      </c>
      <c r="L64" s="14">
        <f>IF(D64="Start",'Partner Tiers'!$D$5,IF(D64="Pro",'Partner Tiers'!$E$5,IF(D64="Business",'Partner Tiers'!$F$5,IF(D64="Enterprise",'Partner Tiers'!$G$5,""))))</f>
        <v/>
      </c>
      <c r="M64" s="14">
        <f>IF(D64="Start",'Partner Tiers'!$D$6,IF(D64="Pro",'Partner Tiers'!$E$6,IF(D64="Business",'Partner Tiers'!$F$6,IF(D64="Enterprise",'Partner Tiers'!$G$6,""))))</f>
        <v/>
      </c>
      <c r="N64" s="14">
        <f>IF(D64="Start",'Partner Tiers'!$D$7,IF(D64="Pro",'Partner Tiers'!$E$7,IF(D64="Business",'Partner Tiers'!$F$7,IF(D64="Enterprise",'Partner Tiers'!$G$7,""))))</f>
        <v/>
      </c>
      <c r="O64" s="10">
        <f>'Price Book'!M64</f>
        <v/>
      </c>
      <c r="P64" s="10">
        <f>'Price Book'!N64</f>
        <v/>
      </c>
      <c r="Q64" s="11">
        <f>'Price Book'!O64</f>
        <v/>
      </c>
      <c r="R64" s="14">
        <f>IFERROR(I64/F64,"")</f>
        <v/>
      </c>
      <c r="S64" s="14">
        <f>IFERROR(J64/F64,"")</f>
        <v/>
      </c>
      <c r="T64" s="14">
        <f>IFERROR(K64/F64,"")</f>
        <v/>
      </c>
      <c r="U64" s="11">
        <f>'Price Book'!R64</f>
        <v/>
      </c>
      <c r="V64" s="8">
        <f>'Price Book'!AG64</f>
        <v/>
      </c>
    </row>
    <row r="65">
      <c r="A65" s="8">
        <f>'Price Book'!A65</f>
        <v/>
      </c>
      <c r="B65" s="8">
        <f>'Price Book'!B65</f>
        <v/>
      </c>
      <c r="C65" s="8">
        <f>'Price Book'!C65</f>
        <v/>
      </c>
      <c r="D65" s="8">
        <f>'Price Book'!D65</f>
        <v/>
      </c>
      <c r="E65" s="8">
        <f>'Price Book'!G65</f>
        <v/>
      </c>
      <c r="F65" s="10">
        <f>'Price Book'!I65</f>
        <v/>
      </c>
      <c r="G65" s="11">
        <f>'Price Book'!J65</f>
        <v/>
      </c>
      <c r="H65" s="10">
        <f>'Price Book'!K65</f>
        <v/>
      </c>
      <c r="I65" s="12">
        <f>IFERROR(H65*(1-L65),"")</f>
        <v/>
      </c>
      <c r="J65" s="12">
        <f>IFERROR(H65*(1-M65),"")</f>
        <v/>
      </c>
      <c r="K65" s="12">
        <f>IFERROR(H65*(1-N65),"")</f>
        <v/>
      </c>
      <c r="L65" s="14">
        <f>IF(D65="Start",'Partner Tiers'!$D$5,IF(D65="Pro",'Partner Tiers'!$E$5,IF(D65="Business",'Partner Tiers'!$F$5,IF(D65="Enterprise",'Partner Tiers'!$G$5,""))))</f>
        <v/>
      </c>
      <c r="M65" s="14">
        <f>IF(D65="Start",'Partner Tiers'!$D$6,IF(D65="Pro",'Partner Tiers'!$E$6,IF(D65="Business",'Partner Tiers'!$F$6,IF(D65="Enterprise",'Partner Tiers'!$G$6,""))))</f>
        <v/>
      </c>
      <c r="N65" s="14">
        <f>IF(D65="Start",'Partner Tiers'!$D$7,IF(D65="Pro",'Partner Tiers'!$E$7,IF(D65="Business",'Partner Tiers'!$F$7,IF(D65="Enterprise",'Partner Tiers'!$G$7,""))))</f>
        <v/>
      </c>
      <c r="O65" s="10">
        <f>'Price Book'!M65</f>
        <v/>
      </c>
      <c r="P65" s="10">
        <f>'Price Book'!N65</f>
        <v/>
      </c>
      <c r="Q65" s="11">
        <f>'Price Book'!O65</f>
        <v/>
      </c>
      <c r="R65" s="14">
        <f>IFERROR(I65/F65,"")</f>
        <v/>
      </c>
      <c r="S65" s="14">
        <f>IFERROR(J65/F65,"")</f>
        <v/>
      </c>
      <c r="T65" s="14">
        <f>IFERROR(K65/F65,"")</f>
        <v/>
      </c>
      <c r="U65" s="11">
        <f>'Price Book'!R65</f>
        <v/>
      </c>
      <c r="V65" s="8">
        <f>'Price Book'!AG65</f>
        <v/>
      </c>
    </row>
    <row r="66">
      <c r="A66" s="8">
        <f>'Price Book'!A66</f>
        <v/>
      </c>
      <c r="B66" s="8">
        <f>'Price Book'!B66</f>
        <v/>
      </c>
      <c r="C66" s="8">
        <f>'Price Book'!C66</f>
        <v/>
      </c>
      <c r="D66" s="8">
        <f>'Price Book'!D66</f>
        <v/>
      </c>
      <c r="E66" s="8">
        <f>'Price Book'!G66</f>
        <v/>
      </c>
      <c r="F66" s="10">
        <f>'Price Book'!I66</f>
        <v/>
      </c>
      <c r="G66" s="11">
        <f>'Price Book'!J66</f>
        <v/>
      </c>
      <c r="H66" s="10">
        <f>'Price Book'!K66</f>
        <v/>
      </c>
      <c r="I66" s="12">
        <f>IFERROR(H66*(1-L66),"")</f>
        <v/>
      </c>
      <c r="J66" s="12">
        <f>IFERROR(H66*(1-M66),"")</f>
        <v/>
      </c>
      <c r="K66" s="12">
        <f>IFERROR(H66*(1-N66),"")</f>
        <v/>
      </c>
      <c r="L66" s="14">
        <f>IF(D66="Start",'Partner Tiers'!$D$5,IF(D66="Pro",'Partner Tiers'!$E$5,IF(D66="Business",'Partner Tiers'!$F$5,IF(D66="Enterprise",'Partner Tiers'!$G$5,""))))</f>
        <v/>
      </c>
      <c r="M66" s="14">
        <f>IF(D66="Start",'Partner Tiers'!$D$6,IF(D66="Pro",'Partner Tiers'!$E$6,IF(D66="Business",'Partner Tiers'!$F$6,IF(D66="Enterprise",'Partner Tiers'!$G$6,""))))</f>
        <v/>
      </c>
      <c r="N66" s="14">
        <f>IF(D66="Start",'Partner Tiers'!$D$7,IF(D66="Pro",'Partner Tiers'!$E$7,IF(D66="Business",'Partner Tiers'!$F$7,IF(D66="Enterprise",'Partner Tiers'!$G$7,""))))</f>
        <v/>
      </c>
      <c r="O66" s="10">
        <f>'Price Book'!M66</f>
        <v/>
      </c>
      <c r="P66" s="10">
        <f>'Price Book'!N66</f>
        <v/>
      </c>
      <c r="Q66" s="11">
        <f>'Price Book'!O66</f>
        <v/>
      </c>
      <c r="R66" s="14">
        <f>IFERROR(I66/F66,"")</f>
        <v/>
      </c>
      <c r="S66" s="14">
        <f>IFERROR(J66/F66,"")</f>
        <v/>
      </c>
      <c r="T66" s="14">
        <f>IFERROR(K66/F66,"")</f>
        <v/>
      </c>
      <c r="U66" s="11">
        <f>'Price Book'!R66</f>
        <v/>
      </c>
      <c r="V66" s="8">
        <f>'Price Book'!AG66</f>
        <v/>
      </c>
    </row>
    <row r="67">
      <c r="A67" s="8">
        <f>'Price Book'!A67</f>
        <v/>
      </c>
      <c r="B67" s="8">
        <f>'Price Book'!B67</f>
        <v/>
      </c>
      <c r="C67" s="8">
        <f>'Price Book'!C67</f>
        <v/>
      </c>
      <c r="D67" s="8">
        <f>'Price Book'!D67</f>
        <v/>
      </c>
      <c r="E67" s="8">
        <f>'Price Book'!G67</f>
        <v/>
      </c>
      <c r="F67" s="10">
        <f>'Price Book'!I67</f>
        <v/>
      </c>
      <c r="G67" s="11">
        <f>'Price Book'!J67</f>
        <v/>
      </c>
      <c r="H67" s="10">
        <f>'Price Book'!K67</f>
        <v/>
      </c>
      <c r="I67" s="12">
        <f>IFERROR(H67*(1-L67),"")</f>
        <v/>
      </c>
      <c r="J67" s="12">
        <f>IFERROR(H67*(1-M67),"")</f>
        <v/>
      </c>
      <c r="K67" s="12">
        <f>IFERROR(H67*(1-N67),"")</f>
        <v/>
      </c>
      <c r="L67" s="14">
        <f>IF(D67="Start",'Partner Tiers'!$D$5,IF(D67="Pro",'Partner Tiers'!$E$5,IF(D67="Business",'Partner Tiers'!$F$5,IF(D67="Enterprise",'Partner Tiers'!$G$5,""))))</f>
        <v/>
      </c>
      <c r="M67" s="14">
        <f>IF(D67="Start",'Partner Tiers'!$D$6,IF(D67="Pro",'Partner Tiers'!$E$6,IF(D67="Business",'Partner Tiers'!$F$6,IF(D67="Enterprise",'Partner Tiers'!$G$6,""))))</f>
        <v/>
      </c>
      <c r="N67" s="14">
        <f>IF(D67="Start",'Partner Tiers'!$D$7,IF(D67="Pro",'Partner Tiers'!$E$7,IF(D67="Business",'Partner Tiers'!$F$7,IF(D67="Enterprise",'Partner Tiers'!$G$7,""))))</f>
        <v/>
      </c>
      <c r="O67" s="10">
        <f>'Price Book'!M67</f>
        <v/>
      </c>
      <c r="P67" s="10">
        <f>'Price Book'!N67</f>
        <v/>
      </c>
      <c r="Q67" s="11">
        <f>'Price Book'!O67</f>
        <v/>
      </c>
      <c r="R67" s="14">
        <f>IFERROR(I67/F67,"")</f>
        <v/>
      </c>
      <c r="S67" s="14">
        <f>IFERROR(J67/F67,"")</f>
        <v/>
      </c>
      <c r="T67" s="14">
        <f>IFERROR(K67/F67,"")</f>
        <v/>
      </c>
      <c r="U67" s="11">
        <f>'Price Book'!R67</f>
        <v/>
      </c>
      <c r="V67" s="8">
        <f>'Price Book'!AG67</f>
        <v/>
      </c>
    </row>
    <row r="68">
      <c r="A68" s="8">
        <f>'Price Book'!A68</f>
        <v/>
      </c>
      <c r="B68" s="8">
        <f>'Price Book'!B68</f>
        <v/>
      </c>
      <c r="C68" s="8">
        <f>'Price Book'!C68</f>
        <v/>
      </c>
      <c r="D68" s="8">
        <f>'Price Book'!D68</f>
        <v/>
      </c>
      <c r="E68" s="8">
        <f>'Price Book'!G68</f>
        <v/>
      </c>
      <c r="F68" s="10">
        <f>'Price Book'!I68</f>
        <v/>
      </c>
      <c r="G68" s="11">
        <f>'Price Book'!J68</f>
        <v/>
      </c>
      <c r="H68" s="10">
        <f>'Price Book'!K68</f>
        <v/>
      </c>
      <c r="I68" s="12">
        <f>IFERROR(H68*(1-L68),"")</f>
        <v/>
      </c>
      <c r="J68" s="12">
        <f>IFERROR(H68*(1-M68),"")</f>
        <v/>
      </c>
      <c r="K68" s="12">
        <f>IFERROR(H68*(1-N68),"")</f>
        <v/>
      </c>
      <c r="L68" s="14">
        <f>IF(D68="Start",'Partner Tiers'!$D$5,IF(D68="Pro",'Partner Tiers'!$E$5,IF(D68="Business",'Partner Tiers'!$F$5,IF(D68="Enterprise",'Partner Tiers'!$G$5,""))))</f>
        <v/>
      </c>
      <c r="M68" s="14">
        <f>IF(D68="Start",'Partner Tiers'!$D$6,IF(D68="Pro",'Partner Tiers'!$E$6,IF(D68="Business",'Partner Tiers'!$F$6,IF(D68="Enterprise",'Partner Tiers'!$G$6,""))))</f>
        <v/>
      </c>
      <c r="N68" s="14">
        <f>IF(D68="Start",'Partner Tiers'!$D$7,IF(D68="Pro",'Partner Tiers'!$E$7,IF(D68="Business",'Partner Tiers'!$F$7,IF(D68="Enterprise",'Partner Tiers'!$G$7,""))))</f>
        <v/>
      </c>
      <c r="O68" s="10">
        <f>'Price Book'!M68</f>
        <v/>
      </c>
      <c r="P68" s="10">
        <f>'Price Book'!N68</f>
        <v/>
      </c>
      <c r="Q68" s="11">
        <f>'Price Book'!O68</f>
        <v/>
      </c>
      <c r="R68" s="14">
        <f>IFERROR(I68/F68,"")</f>
        <v/>
      </c>
      <c r="S68" s="14">
        <f>IFERROR(J68/F68,"")</f>
        <v/>
      </c>
      <c r="T68" s="14">
        <f>IFERROR(K68/F68,"")</f>
        <v/>
      </c>
      <c r="U68" s="11">
        <f>'Price Book'!R68</f>
        <v/>
      </c>
      <c r="V68" s="8">
        <f>'Price Book'!AG68</f>
        <v/>
      </c>
    </row>
    <row r="69">
      <c r="A69" s="8">
        <f>'Price Book'!A69</f>
        <v/>
      </c>
      <c r="B69" s="8">
        <f>'Price Book'!B69</f>
        <v/>
      </c>
      <c r="C69" s="8">
        <f>'Price Book'!C69</f>
        <v/>
      </c>
      <c r="D69" s="8">
        <f>'Price Book'!D69</f>
        <v/>
      </c>
      <c r="E69" s="8">
        <f>'Price Book'!G69</f>
        <v/>
      </c>
      <c r="F69" s="10">
        <f>'Price Book'!I69</f>
        <v/>
      </c>
      <c r="G69" s="11">
        <f>'Price Book'!J69</f>
        <v/>
      </c>
      <c r="H69" s="10">
        <f>'Price Book'!K69</f>
        <v/>
      </c>
      <c r="I69" s="12">
        <f>IFERROR(H69*(1-L69),"")</f>
        <v/>
      </c>
      <c r="J69" s="12">
        <f>IFERROR(H69*(1-M69),"")</f>
        <v/>
      </c>
      <c r="K69" s="12">
        <f>IFERROR(H69*(1-N69),"")</f>
        <v/>
      </c>
      <c r="L69" s="14">
        <f>IF(D69="Start",'Partner Tiers'!$D$5,IF(D69="Pro",'Partner Tiers'!$E$5,IF(D69="Business",'Partner Tiers'!$F$5,IF(D69="Enterprise",'Partner Tiers'!$G$5,""))))</f>
        <v/>
      </c>
      <c r="M69" s="14">
        <f>IF(D69="Start",'Partner Tiers'!$D$6,IF(D69="Pro",'Partner Tiers'!$E$6,IF(D69="Business",'Partner Tiers'!$F$6,IF(D69="Enterprise",'Partner Tiers'!$G$6,""))))</f>
        <v/>
      </c>
      <c r="N69" s="14">
        <f>IF(D69="Start",'Partner Tiers'!$D$7,IF(D69="Pro",'Partner Tiers'!$E$7,IF(D69="Business",'Partner Tiers'!$F$7,IF(D69="Enterprise",'Partner Tiers'!$G$7,""))))</f>
        <v/>
      </c>
      <c r="O69" s="10">
        <f>'Price Book'!M69</f>
        <v/>
      </c>
      <c r="P69" s="10">
        <f>'Price Book'!N69</f>
        <v/>
      </c>
      <c r="Q69" s="11">
        <f>'Price Book'!O69</f>
        <v/>
      </c>
      <c r="R69" s="14">
        <f>IFERROR(I69/F69,"")</f>
        <v/>
      </c>
      <c r="S69" s="14">
        <f>IFERROR(J69/F69,"")</f>
        <v/>
      </c>
      <c r="T69" s="14">
        <f>IFERROR(K69/F69,"")</f>
        <v/>
      </c>
      <c r="U69" s="11">
        <f>'Price Book'!R69</f>
        <v/>
      </c>
      <c r="V69" s="8">
        <f>'Price Book'!AG69</f>
        <v/>
      </c>
    </row>
    <row r="70">
      <c r="A70" s="8">
        <f>'Price Book'!A70</f>
        <v/>
      </c>
      <c r="B70" s="8">
        <f>'Price Book'!B70</f>
        <v/>
      </c>
      <c r="C70" s="8">
        <f>'Price Book'!C70</f>
        <v/>
      </c>
      <c r="D70" s="8">
        <f>'Price Book'!D70</f>
        <v/>
      </c>
      <c r="E70" s="8">
        <f>'Price Book'!G70</f>
        <v/>
      </c>
      <c r="F70" s="10">
        <f>'Price Book'!I70</f>
        <v/>
      </c>
      <c r="G70" s="11">
        <f>'Price Book'!J70</f>
        <v/>
      </c>
      <c r="H70" s="10">
        <f>'Price Book'!K70</f>
        <v/>
      </c>
      <c r="I70" s="12">
        <f>IFERROR(H70*(1-L70),"")</f>
        <v/>
      </c>
      <c r="J70" s="12">
        <f>IFERROR(H70*(1-M70),"")</f>
        <v/>
      </c>
      <c r="K70" s="12">
        <f>IFERROR(H70*(1-N70),"")</f>
        <v/>
      </c>
      <c r="L70" s="14">
        <f>IF(D70="Start",'Partner Tiers'!$D$5,IF(D70="Pro",'Partner Tiers'!$E$5,IF(D70="Business",'Partner Tiers'!$F$5,IF(D70="Enterprise",'Partner Tiers'!$G$5,""))))</f>
        <v/>
      </c>
      <c r="M70" s="14">
        <f>IF(D70="Start",'Partner Tiers'!$D$6,IF(D70="Pro",'Partner Tiers'!$E$6,IF(D70="Business",'Partner Tiers'!$F$6,IF(D70="Enterprise",'Partner Tiers'!$G$6,""))))</f>
        <v/>
      </c>
      <c r="N70" s="14">
        <f>IF(D70="Start",'Partner Tiers'!$D$7,IF(D70="Pro",'Partner Tiers'!$E$7,IF(D70="Business",'Partner Tiers'!$F$7,IF(D70="Enterprise",'Partner Tiers'!$G$7,""))))</f>
        <v/>
      </c>
      <c r="O70" s="10">
        <f>'Price Book'!M70</f>
        <v/>
      </c>
      <c r="P70" s="10">
        <f>'Price Book'!N70</f>
        <v/>
      </c>
      <c r="Q70" s="11">
        <f>'Price Book'!O70</f>
        <v/>
      </c>
      <c r="R70" s="14">
        <f>IFERROR(I70/F70,"")</f>
        <v/>
      </c>
      <c r="S70" s="14">
        <f>IFERROR(J70/F70,"")</f>
        <v/>
      </c>
      <c r="T70" s="14">
        <f>IFERROR(K70/F70,"")</f>
        <v/>
      </c>
      <c r="U70" s="11">
        <f>'Price Book'!R70</f>
        <v/>
      </c>
      <c r="V70" s="8">
        <f>'Price Book'!AG70</f>
        <v/>
      </c>
    </row>
    <row r="71">
      <c r="A71" s="8">
        <f>'Price Book'!A71</f>
        <v/>
      </c>
      <c r="B71" s="8">
        <f>'Price Book'!B71</f>
        <v/>
      </c>
      <c r="C71" s="8">
        <f>'Price Book'!C71</f>
        <v/>
      </c>
      <c r="D71" s="8">
        <f>'Price Book'!D71</f>
        <v/>
      </c>
      <c r="E71" s="8">
        <f>'Price Book'!G71</f>
        <v/>
      </c>
      <c r="F71" s="10">
        <f>'Price Book'!I71</f>
        <v/>
      </c>
      <c r="G71" s="11">
        <f>'Price Book'!J71</f>
        <v/>
      </c>
      <c r="H71" s="10">
        <f>'Price Book'!K71</f>
        <v/>
      </c>
      <c r="I71" s="12">
        <f>IFERROR(H71*(1-L71),"")</f>
        <v/>
      </c>
      <c r="J71" s="12">
        <f>IFERROR(H71*(1-M71),"")</f>
        <v/>
      </c>
      <c r="K71" s="12">
        <f>IFERROR(H71*(1-N71),"")</f>
        <v/>
      </c>
      <c r="L71" s="14">
        <f>IF(D71="Start",'Partner Tiers'!$D$5,IF(D71="Pro",'Partner Tiers'!$E$5,IF(D71="Business",'Partner Tiers'!$F$5,IF(D71="Enterprise",'Partner Tiers'!$G$5,""))))</f>
        <v/>
      </c>
      <c r="M71" s="14">
        <f>IF(D71="Start",'Partner Tiers'!$D$6,IF(D71="Pro",'Partner Tiers'!$E$6,IF(D71="Business",'Partner Tiers'!$F$6,IF(D71="Enterprise",'Partner Tiers'!$G$6,""))))</f>
        <v/>
      </c>
      <c r="N71" s="14">
        <f>IF(D71="Start",'Partner Tiers'!$D$7,IF(D71="Pro",'Partner Tiers'!$E$7,IF(D71="Business",'Partner Tiers'!$F$7,IF(D71="Enterprise",'Partner Tiers'!$G$7,""))))</f>
        <v/>
      </c>
      <c r="O71" s="10">
        <f>'Price Book'!M71</f>
        <v/>
      </c>
      <c r="P71" s="10">
        <f>'Price Book'!N71</f>
        <v/>
      </c>
      <c r="Q71" s="11">
        <f>'Price Book'!O71</f>
        <v/>
      </c>
      <c r="R71" s="14">
        <f>IFERROR(I71/F71,"")</f>
        <v/>
      </c>
      <c r="S71" s="14">
        <f>IFERROR(J71/F71,"")</f>
        <v/>
      </c>
      <c r="T71" s="14">
        <f>IFERROR(K71/F71,"")</f>
        <v/>
      </c>
      <c r="U71" s="11">
        <f>'Price Book'!R71</f>
        <v/>
      </c>
      <c r="V71" s="8">
        <f>'Price Book'!AG71</f>
        <v/>
      </c>
    </row>
    <row r="72">
      <c r="A72" s="8">
        <f>'Price Book'!A72</f>
        <v/>
      </c>
      <c r="B72" s="8">
        <f>'Price Book'!B72</f>
        <v/>
      </c>
      <c r="C72" s="8">
        <f>'Price Book'!C72</f>
        <v/>
      </c>
      <c r="D72" s="8">
        <f>'Price Book'!D72</f>
        <v/>
      </c>
      <c r="E72" s="8">
        <f>'Price Book'!G72</f>
        <v/>
      </c>
      <c r="F72" s="10">
        <f>'Price Book'!I72</f>
        <v/>
      </c>
      <c r="G72" s="11">
        <f>'Price Book'!J72</f>
        <v/>
      </c>
      <c r="H72" s="10">
        <f>'Price Book'!K72</f>
        <v/>
      </c>
      <c r="I72" s="12">
        <f>IFERROR(H72*(1-L72),"")</f>
        <v/>
      </c>
      <c r="J72" s="12">
        <f>IFERROR(H72*(1-M72),"")</f>
        <v/>
      </c>
      <c r="K72" s="12">
        <f>IFERROR(H72*(1-N72),"")</f>
        <v/>
      </c>
      <c r="L72" s="14">
        <f>IF(D72="Start",'Partner Tiers'!$D$5,IF(D72="Pro",'Partner Tiers'!$E$5,IF(D72="Business",'Partner Tiers'!$F$5,IF(D72="Enterprise",'Partner Tiers'!$G$5,""))))</f>
        <v/>
      </c>
      <c r="M72" s="14">
        <f>IF(D72="Start",'Partner Tiers'!$D$6,IF(D72="Pro",'Partner Tiers'!$E$6,IF(D72="Business",'Partner Tiers'!$F$6,IF(D72="Enterprise",'Partner Tiers'!$G$6,""))))</f>
        <v/>
      </c>
      <c r="N72" s="14">
        <f>IF(D72="Start",'Partner Tiers'!$D$7,IF(D72="Pro",'Partner Tiers'!$E$7,IF(D72="Business",'Partner Tiers'!$F$7,IF(D72="Enterprise",'Partner Tiers'!$G$7,""))))</f>
        <v/>
      </c>
      <c r="O72" s="10">
        <f>'Price Book'!M72</f>
        <v/>
      </c>
      <c r="P72" s="10">
        <f>'Price Book'!N72</f>
        <v/>
      </c>
      <c r="Q72" s="11">
        <f>'Price Book'!O72</f>
        <v/>
      </c>
      <c r="R72" s="14">
        <f>IFERROR(I72/F72,"")</f>
        <v/>
      </c>
      <c r="S72" s="14">
        <f>IFERROR(J72/F72,"")</f>
        <v/>
      </c>
      <c r="T72" s="14">
        <f>IFERROR(K72/F72,"")</f>
        <v/>
      </c>
      <c r="U72" s="11">
        <f>'Price Book'!R72</f>
        <v/>
      </c>
      <c r="V72" s="8">
        <f>'Price Book'!AG72</f>
        <v/>
      </c>
    </row>
    <row r="73">
      <c r="A73" s="8">
        <f>'Price Book'!A73</f>
        <v/>
      </c>
      <c r="B73" s="8">
        <f>'Price Book'!B73</f>
        <v/>
      </c>
      <c r="C73" s="8">
        <f>'Price Book'!C73</f>
        <v/>
      </c>
      <c r="D73" s="8">
        <f>'Price Book'!D73</f>
        <v/>
      </c>
      <c r="E73" s="8">
        <f>'Price Book'!G73</f>
        <v/>
      </c>
      <c r="F73" s="10">
        <f>'Price Book'!I73</f>
        <v/>
      </c>
      <c r="G73" s="11">
        <f>'Price Book'!J73</f>
        <v/>
      </c>
      <c r="H73" s="10">
        <f>'Price Book'!K73</f>
        <v/>
      </c>
      <c r="I73" s="12">
        <f>IFERROR(H73*(1-L73),"")</f>
        <v/>
      </c>
      <c r="J73" s="12">
        <f>IFERROR(H73*(1-M73),"")</f>
        <v/>
      </c>
      <c r="K73" s="12">
        <f>IFERROR(H73*(1-N73),"")</f>
        <v/>
      </c>
      <c r="L73" s="14">
        <f>IF(D73="Start",'Partner Tiers'!$D$5,IF(D73="Pro",'Partner Tiers'!$E$5,IF(D73="Business",'Partner Tiers'!$F$5,IF(D73="Enterprise",'Partner Tiers'!$G$5,""))))</f>
        <v/>
      </c>
      <c r="M73" s="14">
        <f>IF(D73="Start",'Partner Tiers'!$D$6,IF(D73="Pro",'Partner Tiers'!$E$6,IF(D73="Business",'Partner Tiers'!$F$6,IF(D73="Enterprise",'Partner Tiers'!$G$6,""))))</f>
        <v/>
      </c>
      <c r="N73" s="14">
        <f>IF(D73="Start",'Partner Tiers'!$D$7,IF(D73="Pro",'Partner Tiers'!$E$7,IF(D73="Business",'Partner Tiers'!$F$7,IF(D73="Enterprise",'Partner Tiers'!$G$7,""))))</f>
        <v/>
      </c>
      <c r="O73" s="10">
        <f>'Price Book'!M73</f>
        <v/>
      </c>
      <c r="P73" s="10">
        <f>'Price Book'!N73</f>
        <v/>
      </c>
      <c r="Q73" s="11">
        <f>'Price Book'!O73</f>
        <v/>
      </c>
      <c r="R73" s="14">
        <f>IFERROR(I73/F73,"")</f>
        <v/>
      </c>
      <c r="S73" s="14">
        <f>IFERROR(J73/F73,"")</f>
        <v/>
      </c>
      <c r="T73" s="14">
        <f>IFERROR(K73/F73,"")</f>
        <v/>
      </c>
      <c r="U73" s="11">
        <f>'Price Book'!R73</f>
        <v/>
      </c>
      <c r="V73" s="8">
        <f>'Price Book'!AG73</f>
        <v/>
      </c>
    </row>
    <row r="74">
      <c r="A74" s="8">
        <f>'Price Book'!A74</f>
        <v/>
      </c>
      <c r="B74" s="8">
        <f>'Price Book'!B74</f>
        <v/>
      </c>
      <c r="C74" s="8">
        <f>'Price Book'!C74</f>
        <v/>
      </c>
      <c r="D74" s="8">
        <f>'Price Book'!D74</f>
        <v/>
      </c>
      <c r="E74" s="8">
        <f>'Price Book'!G74</f>
        <v/>
      </c>
      <c r="F74" s="10">
        <f>'Price Book'!I74</f>
        <v/>
      </c>
      <c r="G74" s="11">
        <f>'Price Book'!J74</f>
        <v/>
      </c>
      <c r="H74" s="10">
        <f>'Price Book'!K74</f>
        <v/>
      </c>
      <c r="I74" s="12">
        <f>IFERROR(H74*(1-L74),"")</f>
        <v/>
      </c>
      <c r="J74" s="12">
        <f>IFERROR(H74*(1-M74),"")</f>
        <v/>
      </c>
      <c r="K74" s="12">
        <f>IFERROR(H74*(1-N74),"")</f>
        <v/>
      </c>
      <c r="L74" s="14">
        <f>IF(D74="Start",'Partner Tiers'!$D$5,IF(D74="Pro",'Partner Tiers'!$E$5,IF(D74="Business",'Partner Tiers'!$F$5,IF(D74="Enterprise",'Partner Tiers'!$G$5,""))))</f>
        <v/>
      </c>
      <c r="M74" s="14">
        <f>IF(D74="Start",'Partner Tiers'!$D$6,IF(D74="Pro",'Partner Tiers'!$E$6,IF(D74="Business",'Partner Tiers'!$F$6,IF(D74="Enterprise",'Partner Tiers'!$G$6,""))))</f>
        <v/>
      </c>
      <c r="N74" s="14">
        <f>IF(D74="Start",'Partner Tiers'!$D$7,IF(D74="Pro",'Partner Tiers'!$E$7,IF(D74="Business",'Partner Tiers'!$F$7,IF(D74="Enterprise",'Partner Tiers'!$G$7,""))))</f>
        <v/>
      </c>
      <c r="O74" s="10">
        <f>'Price Book'!M74</f>
        <v/>
      </c>
      <c r="P74" s="10">
        <f>'Price Book'!N74</f>
        <v/>
      </c>
      <c r="Q74" s="11">
        <f>'Price Book'!O74</f>
        <v/>
      </c>
      <c r="R74" s="14">
        <f>IFERROR(I74/F74,"")</f>
        <v/>
      </c>
      <c r="S74" s="14">
        <f>IFERROR(J74/F74,"")</f>
        <v/>
      </c>
      <c r="T74" s="14">
        <f>IFERROR(K74/F74,"")</f>
        <v/>
      </c>
      <c r="U74" s="11">
        <f>'Price Book'!R74</f>
        <v/>
      </c>
      <c r="V74" s="8">
        <f>'Price Book'!AG74</f>
        <v/>
      </c>
    </row>
    <row r="75">
      <c r="A75" s="8">
        <f>'Price Book'!A75</f>
        <v/>
      </c>
      <c r="B75" s="8">
        <f>'Price Book'!B75</f>
        <v/>
      </c>
      <c r="C75" s="8">
        <f>'Price Book'!C75</f>
        <v/>
      </c>
      <c r="D75" s="8">
        <f>'Price Book'!D75</f>
        <v/>
      </c>
      <c r="E75" s="8">
        <f>'Price Book'!G75</f>
        <v/>
      </c>
      <c r="F75" s="10">
        <f>'Price Book'!I75</f>
        <v/>
      </c>
      <c r="G75" s="11">
        <f>'Price Book'!J75</f>
        <v/>
      </c>
      <c r="H75" s="10">
        <f>'Price Book'!K75</f>
        <v/>
      </c>
      <c r="I75" s="12">
        <f>IFERROR(H75*(1-L75),"")</f>
        <v/>
      </c>
      <c r="J75" s="12">
        <f>IFERROR(H75*(1-M75),"")</f>
        <v/>
      </c>
      <c r="K75" s="12">
        <f>IFERROR(H75*(1-N75),"")</f>
        <v/>
      </c>
      <c r="L75" s="14">
        <f>IF(D75="Start",'Partner Tiers'!$D$5,IF(D75="Pro",'Partner Tiers'!$E$5,IF(D75="Business",'Partner Tiers'!$F$5,IF(D75="Enterprise",'Partner Tiers'!$G$5,""))))</f>
        <v/>
      </c>
      <c r="M75" s="14">
        <f>IF(D75="Start",'Partner Tiers'!$D$6,IF(D75="Pro",'Partner Tiers'!$E$6,IF(D75="Business",'Partner Tiers'!$F$6,IF(D75="Enterprise",'Partner Tiers'!$G$6,""))))</f>
        <v/>
      </c>
      <c r="N75" s="14">
        <f>IF(D75="Start",'Partner Tiers'!$D$7,IF(D75="Pro",'Partner Tiers'!$E$7,IF(D75="Business",'Partner Tiers'!$F$7,IF(D75="Enterprise",'Partner Tiers'!$G$7,""))))</f>
        <v/>
      </c>
      <c r="O75" s="10">
        <f>'Price Book'!M75</f>
        <v/>
      </c>
      <c r="P75" s="10">
        <f>'Price Book'!N75</f>
        <v/>
      </c>
      <c r="Q75" s="11">
        <f>'Price Book'!O75</f>
        <v/>
      </c>
      <c r="R75" s="14">
        <f>IFERROR(I75/F75,"")</f>
        <v/>
      </c>
      <c r="S75" s="14">
        <f>IFERROR(J75/F75,"")</f>
        <v/>
      </c>
      <c r="T75" s="14">
        <f>IFERROR(K75/F75,"")</f>
        <v/>
      </c>
      <c r="U75" s="11">
        <f>'Price Book'!R75</f>
        <v/>
      </c>
      <c r="V75" s="8">
        <f>'Price Book'!AG75</f>
        <v/>
      </c>
    </row>
    <row r="76">
      <c r="A76" s="8">
        <f>'Price Book'!A76</f>
        <v/>
      </c>
      <c r="B76" s="8">
        <f>'Price Book'!B76</f>
        <v/>
      </c>
      <c r="C76" s="8">
        <f>'Price Book'!C76</f>
        <v/>
      </c>
      <c r="D76" s="8">
        <f>'Price Book'!D76</f>
        <v/>
      </c>
      <c r="E76" s="8">
        <f>'Price Book'!G76</f>
        <v/>
      </c>
      <c r="F76" s="10">
        <f>'Price Book'!I76</f>
        <v/>
      </c>
      <c r="G76" s="11">
        <f>'Price Book'!J76</f>
        <v/>
      </c>
      <c r="H76" s="10">
        <f>'Price Book'!K76</f>
        <v/>
      </c>
      <c r="I76" s="12">
        <f>IFERROR(H76*(1-L76),"")</f>
        <v/>
      </c>
      <c r="J76" s="12">
        <f>IFERROR(H76*(1-M76),"")</f>
        <v/>
      </c>
      <c r="K76" s="12">
        <f>IFERROR(H76*(1-N76),"")</f>
        <v/>
      </c>
      <c r="L76" s="14">
        <f>IF(D76="Start",'Partner Tiers'!$D$5,IF(D76="Pro",'Partner Tiers'!$E$5,IF(D76="Business",'Partner Tiers'!$F$5,IF(D76="Enterprise",'Partner Tiers'!$G$5,""))))</f>
        <v/>
      </c>
      <c r="M76" s="14">
        <f>IF(D76="Start",'Partner Tiers'!$D$6,IF(D76="Pro",'Partner Tiers'!$E$6,IF(D76="Business",'Partner Tiers'!$F$6,IF(D76="Enterprise",'Partner Tiers'!$G$6,""))))</f>
        <v/>
      </c>
      <c r="N76" s="14">
        <f>IF(D76="Start",'Partner Tiers'!$D$7,IF(D76="Pro",'Partner Tiers'!$E$7,IF(D76="Business",'Partner Tiers'!$F$7,IF(D76="Enterprise",'Partner Tiers'!$G$7,""))))</f>
        <v/>
      </c>
      <c r="O76" s="10">
        <f>'Price Book'!M76</f>
        <v/>
      </c>
      <c r="P76" s="10">
        <f>'Price Book'!N76</f>
        <v/>
      </c>
      <c r="Q76" s="11">
        <f>'Price Book'!O76</f>
        <v/>
      </c>
      <c r="R76" s="14">
        <f>IFERROR(I76/F76,"")</f>
        <v/>
      </c>
      <c r="S76" s="14">
        <f>IFERROR(J76/F76,"")</f>
        <v/>
      </c>
      <c r="T76" s="14">
        <f>IFERROR(K76/F76,"")</f>
        <v/>
      </c>
      <c r="U76" s="11">
        <f>'Price Book'!R76</f>
        <v/>
      </c>
      <c r="V76" s="8">
        <f>'Price Book'!AG76</f>
        <v/>
      </c>
    </row>
    <row r="77">
      <c r="A77" s="8">
        <f>'Price Book'!A77</f>
        <v/>
      </c>
      <c r="B77" s="8">
        <f>'Price Book'!B77</f>
        <v/>
      </c>
      <c r="C77" s="8">
        <f>'Price Book'!C77</f>
        <v/>
      </c>
      <c r="D77" s="8">
        <f>'Price Book'!D77</f>
        <v/>
      </c>
      <c r="E77" s="8">
        <f>'Price Book'!G77</f>
        <v/>
      </c>
      <c r="F77" s="10">
        <f>'Price Book'!I77</f>
        <v/>
      </c>
      <c r="G77" s="11">
        <f>'Price Book'!J77</f>
        <v/>
      </c>
      <c r="H77" s="10">
        <f>'Price Book'!K77</f>
        <v/>
      </c>
      <c r="I77" s="12">
        <f>IFERROR(H77*(1-L77),"")</f>
        <v/>
      </c>
      <c r="J77" s="12">
        <f>IFERROR(H77*(1-M77),"")</f>
        <v/>
      </c>
      <c r="K77" s="12">
        <f>IFERROR(H77*(1-N77),"")</f>
        <v/>
      </c>
      <c r="L77" s="14">
        <f>IF(D77="Start",'Partner Tiers'!$D$5,IF(D77="Pro",'Partner Tiers'!$E$5,IF(D77="Business",'Partner Tiers'!$F$5,IF(D77="Enterprise",'Partner Tiers'!$G$5,""))))</f>
        <v/>
      </c>
      <c r="M77" s="14">
        <f>IF(D77="Start",'Partner Tiers'!$D$6,IF(D77="Pro",'Partner Tiers'!$E$6,IF(D77="Business",'Partner Tiers'!$F$6,IF(D77="Enterprise",'Partner Tiers'!$G$6,""))))</f>
        <v/>
      </c>
      <c r="N77" s="14">
        <f>IF(D77="Start",'Partner Tiers'!$D$7,IF(D77="Pro",'Partner Tiers'!$E$7,IF(D77="Business",'Partner Tiers'!$F$7,IF(D77="Enterprise",'Partner Tiers'!$G$7,""))))</f>
        <v/>
      </c>
      <c r="O77" s="10">
        <f>'Price Book'!M77</f>
        <v/>
      </c>
      <c r="P77" s="10">
        <f>'Price Book'!N77</f>
        <v/>
      </c>
      <c r="Q77" s="11">
        <f>'Price Book'!O77</f>
        <v/>
      </c>
      <c r="R77" s="14">
        <f>IFERROR(I77/F77,"")</f>
        <v/>
      </c>
      <c r="S77" s="14">
        <f>IFERROR(J77/F77,"")</f>
        <v/>
      </c>
      <c r="T77" s="14">
        <f>IFERROR(K77/F77,"")</f>
        <v/>
      </c>
      <c r="U77" s="11">
        <f>'Price Book'!R77</f>
        <v/>
      </c>
      <c r="V77" s="8">
        <f>'Price Book'!AG77</f>
        <v/>
      </c>
    </row>
    <row r="78">
      <c r="A78" s="8">
        <f>'Price Book'!A78</f>
        <v/>
      </c>
      <c r="B78" s="8">
        <f>'Price Book'!B78</f>
        <v/>
      </c>
      <c r="C78" s="8">
        <f>'Price Book'!C78</f>
        <v/>
      </c>
      <c r="D78" s="8">
        <f>'Price Book'!D78</f>
        <v/>
      </c>
      <c r="E78" s="8">
        <f>'Price Book'!G78</f>
        <v/>
      </c>
      <c r="F78" s="10">
        <f>'Price Book'!I78</f>
        <v/>
      </c>
      <c r="G78" s="11">
        <f>'Price Book'!J78</f>
        <v/>
      </c>
      <c r="H78" s="10">
        <f>'Price Book'!K78</f>
        <v/>
      </c>
      <c r="I78" s="12">
        <f>IFERROR(H78*(1-L78),"")</f>
        <v/>
      </c>
      <c r="J78" s="12">
        <f>IFERROR(H78*(1-M78),"")</f>
        <v/>
      </c>
      <c r="K78" s="12">
        <f>IFERROR(H78*(1-N78),"")</f>
        <v/>
      </c>
      <c r="L78" s="14">
        <f>IF(D78="Start",'Partner Tiers'!$D$5,IF(D78="Pro",'Partner Tiers'!$E$5,IF(D78="Business",'Partner Tiers'!$F$5,IF(D78="Enterprise",'Partner Tiers'!$G$5,""))))</f>
        <v/>
      </c>
      <c r="M78" s="14">
        <f>IF(D78="Start",'Partner Tiers'!$D$6,IF(D78="Pro",'Partner Tiers'!$E$6,IF(D78="Business",'Partner Tiers'!$F$6,IF(D78="Enterprise",'Partner Tiers'!$G$6,""))))</f>
        <v/>
      </c>
      <c r="N78" s="14">
        <f>IF(D78="Start",'Partner Tiers'!$D$7,IF(D78="Pro",'Partner Tiers'!$E$7,IF(D78="Business",'Partner Tiers'!$F$7,IF(D78="Enterprise",'Partner Tiers'!$G$7,""))))</f>
        <v/>
      </c>
      <c r="O78" s="10">
        <f>'Price Book'!M78</f>
        <v/>
      </c>
      <c r="P78" s="10">
        <f>'Price Book'!N78</f>
        <v/>
      </c>
      <c r="Q78" s="11">
        <f>'Price Book'!O78</f>
        <v/>
      </c>
      <c r="R78" s="14">
        <f>IFERROR(I78/F78,"")</f>
        <v/>
      </c>
      <c r="S78" s="14">
        <f>IFERROR(J78/F78,"")</f>
        <v/>
      </c>
      <c r="T78" s="14">
        <f>IFERROR(K78/F78,"")</f>
        <v/>
      </c>
      <c r="U78" s="11">
        <f>'Price Book'!R78</f>
        <v/>
      </c>
      <c r="V78" s="8">
        <f>'Price Book'!AG78</f>
        <v/>
      </c>
    </row>
    <row r="79">
      <c r="A79" s="8">
        <f>'Price Book'!A79</f>
        <v/>
      </c>
      <c r="B79" s="8">
        <f>'Price Book'!B79</f>
        <v/>
      </c>
      <c r="C79" s="8">
        <f>'Price Book'!C79</f>
        <v/>
      </c>
      <c r="D79" s="8">
        <f>'Price Book'!D79</f>
        <v/>
      </c>
      <c r="E79" s="8">
        <f>'Price Book'!G79</f>
        <v/>
      </c>
      <c r="F79" s="10">
        <f>'Price Book'!I79</f>
        <v/>
      </c>
      <c r="G79" s="11">
        <f>'Price Book'!J79</f>
        <v/>
      </c>
      <c r="H79" s="10">
        <f>'Price Book'!K79</f>
        <v/>
      </c>
      <c r="I79" s="12">
        <f>IFERROR(H79*(1-L79),"")</f>
        <v/>
      </c>
      <c r="J79" s="12">
        <f>IFERROR(H79*(1-M79),"")</f>
        <v/>
      </c>
      <c r="K79" s="12">
        <f>IFERROR(H79*(1-N79),"")</f>
        <v/>
      </c>
      <c r="L79" s="14">
        <f>IF(D79="Start",'Partner Tiers'!$D$5,IF(D79="Pro",'Partner Tiers'!$E$5,IF(D79="Business",'Partner Tiers'!$F$5,IF(D79="Enterprise",'Partner Tiers'!$G$5,""))))</f>
        <v/>
      </c>
      <c r="M79" s="14">
        <f>IF(D79="Start",'Partner Tiers'!$D$6,IF(D79="Pro",'Partner Tiers'!$E$6,IF(D79="Business",'Partner Tiers'!$F$6,IF(D79="Enterprise",'Partner Tiers'!$G$6,""))))</f>
        <v/>
      </c>
      <c r="N79" s="14">
        <f>IF(D79="Start",'Partner Tiers'!$D$7,IF(D79="Pro",'Partner Tiers'!$E$7,IF(D79="Business",'Partner Tiers'!$F$7,IF(D79="Enterprise",'Partner Tiers'!$G$7,""))))</f>
        <v/>
      </c>
      <c r="O79" s="10">
        <f>'Price Book'!M79</f>
        <v/>
      </c>
      <c r="P79" s="10">
        <f>'Price Book'!N79</f>
        <v/>
      </c>
      <c r="Q79" s="11">
        <f>'Price Book'!O79</f>
        <v/>
      </c>
      <c r="R79" s="14">
        <f>IFERROR(I79/F79,"")</f>
        <v/>
      </c>
      <c r="S79" s="14">
        <f>IFERROR(J79/F79,"")</f>
        <v/>
      </c>
      <c r="T79" s="14">
        <f>IFERROR(K79/F79,"")</f>
        <v/>
      </c>
      <c r="U79" s="11">
        <f>'Price Book'!R79</f>
        <v/>
      </c>
      <c r="V79" s="8">
        <f>'Price Book'!AG79</f>
        <v/>
      </c>
    </row>
    <row r="80">
      <c r="A80" s="8">
        <f>'Price Book'!A80</f>
        <v/>
      </c>
      <c r="B80" s="8">
        <f>'Price Book'!B80</f>
        <v/>
      </c>
      <c r="C80" s="8">
        <f>'Price Book'!C80</f>
        <v/>
      </c>
      <c r="D80" s="8">
        <f>'Price Book'!D80</f>
        <v/>
      </c>
      <c r="E80" s="8">
        <f>'Price Book'!G80</f>
        <v/>
      </c>
      <c r="F80" s="10">
        <f>'Price Book'!I80</f>
        <v/>
      </c>
      <c r="G80" s="11">
        <f>'Price Book'!J80</f>
        <v/>
      </c>
      <c r="H80" s="10">
        <f>'Price Book'!K80</f>
        <v/>
      </c>
      <c r="I80" s="12">
        <f>IFERROR(H80*(1-L80),"")</f>
        <v/>
      </c>
      <c r="J80" s="12">
        <f>IFERROR(H80*(1-M80),"")</f>
        <v/>
      </c>
      <c r="K80" s="12">
        <f>IFERROR(H80*(1-N80),"")</f>
        <v/>
      </c>
      <c r="L80" s="14">
        <f>IF(D80="Start",'Partner Tiers'!$D$5,IF(D80="Pro",'Partner Tiers'!$E$5,IF(D80="Business",'Partner Tiers'!$F$5,IF(D80="Enterprise",'Partner Tiers'!$G$5,""))))</f>
        <v/>
      </c>
      <c r="M80" s="14">
        <f>IF(D80="Start",'Partner Tiers'!$D$6,IF(D80="Pro",'Partner Tiers'!$E$6,IF(D80="Business",'Partner Tiers'!$F$6,IF(D80="Enterprise",'Partner Tiers'!$G$6,""))))</f>
        <v/>
      </c>
      <c r="N80" s="14">
        <f>IF(D80="Start",'Partner Tiers'!$D$7,IF(D80="Pro",'Partner Tiers'!$E$7,IF(D80="Business",'Partner Tiers'!$F$7,IF(D80="Enterprise",'Partner Tiers'!$G$7,""))))</f>
        <v/>
      </c>
      <c r="O80" s="10">
        <f>'Price Book'!M80</f>
        <v/>
      </c>
      <c r="P80" s="10">
        <f>'Price Book'!N80</f>
        <v/>
      </c>
      <c r="Q80" s="11">
        <f>'Price Book'!O80</f>
        <v/>
      </c>
      <c r="R80" s="14">
        <f>IFERROR(I80/F80,"")</f>
        <v/>
      </c>
      <c r="S80" s="14">
        <f>IFERROR(J80/F80,"")</f>
        <v/>
      </c>
      <c r="T80" s="14">
        <f>IFERROR(K80/F80,"")</f>
        <v/>
      </c>
      <c r="U80" s="11">
        <f>'Price Book'!R80</f>
        <v/>
      </c>
      <c r="V80" s="8">
        <f>'Price Book'!AG80</f>
        <v/>
      </c>
    </row>
    <row r="81">
      <c r="A81" s="8">
        <f>'Price Book'!A81</f>
        <v/>
      </c>
      <c r="B81" s="8">
        <f>'Price Book'!B81</f>
        <v/>
      </c>
      <c r="C81" s="8">
        <f>'Price Book'!C81</f>
        <v/>
      </c>
      <c r="D81" s="8">
        <f>'Price Book'!D81</f>
        <v/>
      </c>
      <c r="E81" s="8">
        <f>'Price Book'!G81</f>
        <v/>
      </c>
      <c r="F81" s="10">
        <f>'Price Book'!I81</f>
        <v/>
      </c>
      <c r="G81" s="11">
        <f>'Price Book'!J81</f>
        <v/>
      </c>
      <c r="H81" s="10">
        <f>'Price Book'!K81</f>
        <v/>
      </c>
      <c r="I81" s="12">
        <f>IFERROR(H81*(1-L81),"")</f>
        <v/>
      </c>
      <c r="J81" s="12">
        <f>IFERROR(H81*(1-M81),"")</f>
        <v/>
      </c>
      <c r="K81" s="12">
        <f>IFERROR(H81*(1-N81),"")</f>
        <v/>
      </c>
      <c r="L81" s="14">
        <f>IF(D81="Start",'Partner Tiers'!$D$5,IF(D81="Pro",'Partner Tiers'!$E$5,IF(D81="Business",'Partner Tiers'!$F$5,IF(D81="Enterprise",'Partner Tiers'!$G$5,""))))</f>
        <v/>
      </c>
      <c r="M81" s="14">
        <f>IF(D81="Start",'Partner Tiers'!$D$6,IF(D81="Pro",'Partner Tiers'!$E$6,IF(D81="Business",'Partner Tiers'!$F$6,IF(D81="Enterprise",'Partner Tiers'!$G$6,""))))</f>
        <v/>
      </c>
      <c r="N81" s="14">
        <f>IF(D81="Start",'Partner Tiers'!$D$7,IF(D81="Pro",'Partner Tiers'!$E$7,IF(D81="Business",'Partner Tiers'!$F$7,IF(D81="Enterprise",'Partner Tiers'!$G$7,""))))</f>
        <v/>
      </c>
      <c r="O81" s="10">
        <f>'Price Book'!M81</f>
        <v/>
      </c>
      <c r="P81" s="10">
        <f>'Price Book'!N81</f>
        <v/>
      </c>
      <c r="Q81" s="11">
        <f>'Price Book'!O81</f>
        <v/>
      </c>
      <c r="R81" s="14">
        <f>IFERROR(I81/F81,"")</f>
        <v/>
      </c>
      <c r="S81" s="14">
        <f>IFERROR(J81/F81,"")</f>
        <v/>
      </c>
      <c r="T81" s="14">
        <f>IFERROR(K81/F81,"")</f>
        <v/>
      </c>
      <c r="U81" s="11">
        <f>'Price Book'!R81</f>
        <v/>
      </c>
      <c r="V81" s="8">
        <f>'Price Book'!AG81</f>
        <v/>
      </c>
    </row>
    <row r="82">
      <c r="A82" s="8">
        <f>'Price Book'!A82</f>
        <v/>
      </c>
      <c r="B82" s="8">
        <f>'Price Book'!B82</f>
        <v/>
      </c>
      <c r="C82" s="8">
        <f>'Price Book'!C82</f>
        <v/>
      </c>
      <c r="D82" s="8">
        <f>'Price Book'!D82</f>
        <v/>
      </c>
      <c r="E82" s="8">
        <f>'Price Book'!G82</f>
        <v/>
      </c>
      <c r="F82" s="10">
        <f>'Price Book'!I82</f>
        <v/>
      </c>
      <c r="G82" s="11">
        <f>'Price Book'!J82</f>
        <v/>
      </c>
      <c r="H82" s="10">
        <f>'Price Book'!K82</f>
        <v/>
      </c>
      <c r="I82" s="12">
        <f>IFERROR(H82*(1-L82),"")</f>
        <v/>
      </c>
      <c r="J82" s="12">
        <f>IFERROR(H82*(1-M82),"")</f>
        <v/>
      </c>
      <c r="K82" s="12">
        <f>IFERROR(H82*(1-N82),"")</f>
        <v/>
      </c>
      <c r="L82" s="14">
        <f>IF(D82="Start",'Partner Tiers'!$D$5,IF(D82="Pro",'Partner Tiers'!$E$5,IF(D82="Business",'Partner Tiers'!$F$5,IF(D82="Enterprise",'Partner Tiers'!$G$5,""))))</f>
        <v/>
      </c>
      <c r="M82" s="14">
        <f>IF(D82="Start",'Partner Tiers'!$D$6,IF(D82="Pro",'Partner Tiers'!$E$6,IF(D82="Business",'Partner Tiers'!$F$6,IF(D82="Enterprise",'Partner Tiers'!$G$6,""))))</f>
        <v/>
      </c>
      <c r="N82" s="14">
        <f>IF(D82="Start",'Partner Tiers'!$D$7,IF(D82="Pro",'Partner Tiers'!$E$7,IF(D82="Business",'Partner Tiers'!$F$7,IF(D82="Enterprise",'Partner Tiers'!$G$7,""))))</f>
        <v/>
      </c>
      <c r="O82" s="10">
        <f>'Price Book'!M82</f>
        <v/>
      </c>
      <c r="P82" s="10">
        <f>'Price Book'!N82</f>
        <v/>
      </c>
      <c r="Q82" s="11">
        <f>'Price Book'!O82</f>
        <v/>
      </c>
      <c r="R82" s="14">
        <f>IFERROR(I82/F82,"")</f>
        <v/>
      </c>
      <c r="S82" s="14">
        <f>IFERROR(J82/F82,"")</f>
        <v/>
      </c>
      <c r="T82" s="14">
        <f>IFERROR(K82/F82,"")</f>
        <v/>
      </c>
      <c r="U82" s="11">
        <f>'Price Book'!R82</f>
        <v/>
      </c>
      <c r="V82" s="8">
        <f>'Price Book'!AG82</f>
        <v/>
      </c>
    </row>
    <row r="83">
      <c r="A83" s="8">
        <f>'Price Book'!A83</f>
        <v/>
      </c>
      <c r="B83" s="8">
        <f>'Price Book'!B83</f>
        <v/>
      </c>
      <c r="C83" s="8">
        <f>'Price Book'!C83</f>
        <v/>
      </c>
      <c r="D83" s="8">
        <f>'Price Book'!D83</f>
        <v/>
      </c>
      <c r="E83" s="8">
        <f>'Price Book'!G83</f>
        <v/>
      </c>
      <c r="F83" s="10">
        <f>'Price Book'!I83</f>
        <v/>
      </c>
      <c r="G83" s="11">
        <f>'Price Book'!J83</f>
        <v/>
      </c>
      <c r="H83" s="10">
        <f>'Price Book'!K83</f>
        <v/>
      </c>
      <c r="I83" s="12">
        <f>IFERROR(H83*(1-L83),"")</f>
        <v/>
      </c>
      <c r="J83" s="12">
        <f>IFERROR(H83*(1-M83),"")</f>
        <v/>
      </c>
      <c r="K83" s="12">
        <f>IFERROR(H83*(1-N83),"")</f>
        <v/>
      </c>
      <c r="L83" s="14">
        <f>IF(D83="Start",'Partner Tiers'!$D$5,IF(D83="Pro",'Partner Tiers'!$E$5,IF(D83="Business",'Partner Tiers'!$F$5,IF(D83="Enterprise",'Partner Tiers'!$G$5,""))))</f>
        <v/>
      </c>
      <c r="M83" s="14">
        <f>IF(D83="Start",'Partner Tiers'!$D$6,IF(D83="Pro",'Partner Tiers'!$E$6,IF(D83="Business",'Partner Tiers'!$F$6,IF(D83="Enterprise",'Partner Tiers'!$G$6,""))))</f>
        <v/>
      </c>
      <c r="N83" s="14">
        <f>IF(D83="Start",'Partner Tiers'!$D$7,IF(D83="Pro",'Partner Tiers'!$E$7,IF(D83="Business",'Partner Tiers'!$F$7,IF(D83="Enterprise",'Partner Tiers'!$G$7,""))))</f>
        <v/>
      </c>
      <c r="O83" s="10">
        <f>'Price Book'!M83</f>
        <v/>
      </c>
      <c r="P83" s="10">
        <f>'Price Book'!N83</f>
        <v/>
      </c>
      <c r="Q83" s="11">
        <f>'Price Book'!O83</f>
        <v/>
      </c>
      <c r="R83" s="14">
        <f>IFERROR(I83/F83,"")</f>
        <v/>
      </c>
      <c r="S83" s="14">
        <f>IFERROR(J83/F83,"")</f>
        <v/>
      </c>
      <c r="T83" s="14">
        <f>IFERROR(K83/F83,"")</f>
        <v/>
      </c>
      <c r="U83" s="11">
        <f>'Price Book'!R83</f>
        <v/>
      </c>
      <c r="V83" s="8">
        <f>'Price Book'!AG83</f>
        <v/>
      </c>
    </row>
    <row r="84">
      <c r="A84" s="8">
        <f>'Price Book'!A84</f>
        <v/>
      </c>
      <c r="B84" s="8">
        <f>'Price Book'!B84</f>
        <v/>
      </c>
      <c r="C84" s="8">
        <f>'Price Book'!C84</f>
        <v/>
      </c>
      <c r="D84" s="8">
        <f>'Price Book'!D84</f>
        <v/>
      </c>
      <c r="E84" s="8">
        <f>'Price Book'!G84</f>
        <v/>
      </c>
      <c r="F84" s="10">
        <f>'Price Book'!I84</f>
        <v/>
      </c>
      <c r="G84" s="11">
        <f>'Price Book'!J84</f>
        <v/>
      </c>
      <c r="H84" s="10">
        <f>'Price Book'!K84</f>
        <v/>
      </c>
      <c r="I84" s="12">
        <f>IFERROR(H84*(1-L84),"")</f>
        <v/>
      </c>
      <c r="J84" s="12">
        <f>IFERROR(H84*(1-M84),"")</f>
        <v/>
      </c>
      <c r="K84" s="12">
        <f>IFERROR(H84*(1-N84),"")</f>
        <v/>
      </c>
      <c r="L84" s="14">
        <f>IF(D84="Start",'Partner Tiers'!$D$5,IF(D84="Pro",'Partner Tiers'!$E$5,IF(D84="Business",'Partner Tiers'!$F$5,IF(D84="Enterprise",'Partner Tiers'!$G$5,""))))</f>
        <v/>
      </c>
      <c r="M84" s="14">
        <f>IF(D84="Start",'Partner Tiers'!$D$6,IF(D84="Pro",'Partner Tiers'!$E$6,IF(D84="Business",'Partner Tiers'!$F$6,IF(D84="Enterprise",'Partner Tiers'!$G$6,""))))</f>
        <v/>
      </c>
      <c r="N84" s="14">
        <f>IF(D84="Start",'Partner Tiers'!$D$7,IF(D84="Pro",'Partner Tiers'!$E$7,IF(D84="Business",'Partner Tiers'!$F$7,IF(D84="Enterprise",'Partner Tiers'!$G$7,""))))</f>
        <v/>
      </c>
      <c r="O84" s="10">
        <f>'Price Book'!M84</f>
        <v/>
      </c>
      <c r="P84" s="10">
        <f>'Price Book'!N84</f>
        <v/>
      </c>
      <c r="Q84" s="11">
        <f>'Price Book'!O84</f>
        <v/>
      </c>
      <c r="R84" s="14">
        <f>IFERROR(I84/F84,"")</f>
        <v/>
      </c>
      <c r="S84" s="14">
        <f>IFERROR(J84/F84,"")</f>
        <v/>
      </c>
      <c r="T84" s="14">
        <f>IFERROR(K84/F84,"")</f>
        <v/>
      </c>
      <c r="U84" s="11">
        <f>'Price Book'!R84</f>
        <v/>
      </c>
      <c r="V84" s="8">
        <f>'Price Book'!AG84</f>
        <v/>
      </c>
    </row>
    <row r="85">
      <c r="A85" s="8">
        <f>'Price Book'!A85</f>
        <v/>
      </c>
      <c r="B85" s="8">
        <f>'Price Book'!B85</f>
        <v/>
      </c>
      <c r="C85" s="8">
        <f>'Price Book'!C85</f>
        <v/>
      </c>
      <c r="D85" s="8">
        <f>'Price Book'!D85</f>
        <v/>
      </c>
      <c r="E85" s="8">
        <f>'Price Book'!G85</f>
        <v/>
      </c>
      <c r="F85" s="10">
        <f>'Price Book'!I85</f>
        <v/>
      </c>
      <c r="G85" s="11">
        <f>'Price Book'!J85</f>
        <v/>
      </c>
      <c r="H85" s="10">
        <f>'Price Book'!K85</f>
        <v/>
      </c>
      <c r="I85" s="12">
        <f>IFERROR(H85*(1-L85),"")</f>
        <v/>
      </c>
      <c r="J85" s="12">
        <f>IFERROR(H85*(1-M85),"")</f>
        <v/>
      </c>
      <c r="K85" s="12">
        <f>IFERROR(H85*(1-N85),"")</f>
        <v/>
      </c>
      <c r="L85" s="14">
        <f>IF(D85="Start",'Partner Tiers'!$D$5,IF(D85="Pro",'Partner Tiers'!$E$5,IF(D85="Business",'Partner Tiers'!$F$5,IF(D85="Enterprise",'Partner Tiers'!$G$5,""))))</f>
        <v/>
      </c>
      <c r="M85" s="14">
        <f>IF(D85="Start",'Partner Tiers'!$D$6,IF(D85="Pro",'Partner Tiers'!$E$6,IF(D85="Business",'Partner Tiers'!$F$6,IF(D85="Enterprise",'Partner Tiers'!$G$6,""))))</f>
        <v/>
      </c>
      <c r="N85" s="14">
        <f>IF(D85="Start",'Partner Tiers'!$D$7,IF(D85="Pro",'Partner Tiers'!$E$7,IF(D85="Business",'Partner Tiers'!$F$7,IF(D85="Enterprise",'Partner Tiers'!$G$7,""))))</f>
        <v/>
      </c>
      <c r="O85" s="10">
        <f>'Price Book'!M85</f>
        <v/>
      </c>
      <c r="P85" s="10">
        <f>'Price Book'!N85</f>
        <v/>
      </c>
      <c r="Q85" s="11">
        <f>'Price Book'!O85</f>
        <v/>
      </c>
      <c r="R85" s="14">
        <f>IFERROR(I85/F85,"")</f>
        <v/>
      </c>
      <c r="S85" s="14">
        <f>IFERROR(J85/F85,"")</f>
        <v/>
      </c>
      <c r="T85" s="14">
        <f>IFERROR(K85/F85,"")</f>
        <v/>
      </c>
      <c r="U85" s="11">
        <f>'Price Book'!R85</f>
        <v/>
      </c>
      <c r="V85" s="8">
        <f>'Price Book'!AG85</f>
        <v/>
      </c>
    </row>
    <row r="86">
      <c r="A86" s="8">
        <f>'Price Book'!A86</f>
        <v/>
      </c>
      <c r="B86" s="8">
        <f>'Price Book'!B86</f>
        <v/>
      </c>
      <c r="C86" s="8">
        <f>'Price Book'!C86</f>
        <v/>
      </c>
      <c r="D86" s="8">
        <f>'Price Book'!D86</f>
        <v/>
      </c>
      <c r="E86" s="8">
        <f>'Price Book'!G86</f>
        <v/>
      </c>
      <c r="F86" s="10">
        <f>'Price Book'!I86</f>
        <v/>
      </c>
      <c r="G86" s="11">
        <f>'Price Book'!J86</f>
        <v/>
      </c>
      <c r="H86" s="10">
        <f>'Price Book'!K86</f>
        <v/>
      </c>
      <c r="I86" s="12">
        <f>IFERROR(H86*(1-L86),"")</f>
        <v/>
      </c>
      <c r="J86" s="12">
        <f>IFERROR(H86*(1-M86),"")</f>
        <v/>
      </c>
      <c r="K86" s="12">
        <f>IFERROR(H86*(1-N86),"")</f>
        <v/>
      </c>
      <c r="L86" s="14">
        <f>IF(D86="Start",'Partner Tiers'!$D$5,IF(D86="Pro",'Partner Tiers'!$E$5,IF(D86="Business",'Partner Tiers'!$F$5,IF(D86="Enterprise",'Partner Tiers'!$G$5,""))))</f>
        <v/>
      </c>
      <c r="M86" s="14">
        <f>IF(D86="Start",'Partner Tiers'!$D$6,IF(D86="Pro",'Partner Tiers'!$E$6,IF(D86="Business",'Partner Tiers'!$F$6,IF(D86="Enterprise",'Partner Tiers'!$G$6,""))))</f>
        <v/>
      </c>
      <c r="N86" s="14">
        <f>IF(D86="Start",'Partner Tiers'!$D$7,IF(D86="Pro",'Partner Tiers'!$E$7,IF(D86="Business",'Partner Tiers'!$F$7,IF(D86="Enterprise",'Partner Tiers'!$G$7,""))))</f>
        <v/>
      </c>
      <c r="O86" s="10">
        <f>'Price Book'!M86</f>
        <v/>
      </c>
      <c r="P86" s="10">
        <f>'Price Book'!N86</f>
        <v/>
      </c>
      <c r="Q86" s="11">
        <f>'Price Book'!O86</f>
        <v/>
      </c>
      <c r="R86" s="14">
        <f>IFERROR(I86/F86,"")</f>
        <v/>
      </c>
      <c r="S86" s="14">
        <f>IFERROR(J86/F86,"")</f>
        <v/>
      </c>
      <c r="T86" s="14">
        <f>IFERROR(K86/F86,"")</f>
        <v/>
      </c>
      <c r="U86" s="11">
        <f>'Price Book'!R86</f>
        <v/>
      </c>
      <c r="V86" s="8">
        <f>'Price Book'!AG86</f>
        <v/>
      </c>
    </row>
    <row r="87">
      <c r="A87" s="8">
        <f>'Price Book'!A87</f>
        <v/>
      </c>
      <c r="B87" s="8">
        <f>'Price Book'!B87</f>
        <v/>
      </c>
      <c r="C87" s="8">
        <f>'Price Book'!C87</f>
        <v/>
      </c>
      <c r="D87" s="8">
        <f>'Price Book'!D87</f>
        <v/>
      </c>
      <c r="E87" s="8">
        <f>'Price Book'!G87</f>
        <v/>
      </c>
      <c r="F87" s="10">
        <f>'Price Book'!I87</f>
        <v/>
      </c>
      <c r="G87" s="11">
        <f>'Price Book'!J87</f>
        <v/>
      </c>
      <c r="H87" s="10">
        <f>'Price Book'!K87</f>
        <v/>
      </c>
      <c r="I87" s="12">
        <f>IFERROR(H87*(1-L87),"")</f>
        <v/>
      </c>
      <c r="J87" s="12">
        <f>IFERROR(H87*(1-M87),"")</f>
        <v/>
      </c>
      <c r="K87" s="12">
        <f>IFERROR(H87*(1-N87),"")</f>
        <v/>
      </c>
      <c r="L87" s="14">
        <f>IF(D87="Start",'Partner Tiers'!$D$5,IF(D87="Pro",'Partner Tiers'!$E$5,IF(D87="Business",'Partner Tiers'!$F$5,IF(D87="Enterprise",'Partner Tiers'!$G$5,""))))</f>
        <v/>
      </c>
      <c r="M87" s="14">
        <f>IF(D87="Start",'Partner Tiers'!$D$6,IF(D87="Pro",'Partner Tiers'!$E$6,IF(D87="Business",'Partner Tiers'!$F$6,IF(D87="Enterprise",'Partner Tiers'!$G$6,""))))</f>
        <v/>
      </c>
      <c r="N87" s="14">
        <f>IF(D87="Start",'Partner Tiers'!$D$7,IF(D87="Pro",'Partner Tiers'!$E$7,IF(D87="Business",'Partner Tiers'!$F$7,IF(D87="Enterprise",'Partner Tiers'!$G$7,""))))</f>
        <v/>
      </c>
      <c r="O87" s="10">
        <f>'Price Book'!M87</f>
        <v/>
      </c>
      <c r="P87" s="10">
        <f>'Price Book'!N87</f>
        <v/>
      </c>
      <c r="Q87" s="11">
        <f>'Price Book'!O87</f>
        <v/>
      </c>
      <c r="R87" s="14">
        <f>IFERROR(I87/F87,"")</f>
        <v/>
      </c>
      <c r="S87" s="14">
        <f>IFERROR(J87/F87,"")</f>
        <v/>
      </c>
      <c r="T87" s="14">
        <f>IFERROR(K87/F87,"")</f>
        <v/>
      </c>
      <c r="U87" s="11">
        <f>'Price Book'!R87</f>
        <v/>
      </c>
      <c r="V87" s="8">
        <f>'Price Book'!AG87</f>
        <v/>
      </c>
    </row>
    <row r="88">
      <c r="A88" s="8">
        <f>'Price Book'!A88</f>
        <v/>
      </c>
      <c r="B88" s="8">
        <f>'Price Book'!B88</f>
        <v/>
      </c>
      <c r="C88" s="8">
        <f>'Price Book'!C88</f>
        <v/>
      </c>
      <c r="D88" s="8">
        <f>'Price Book'!D88</f>
        <v/>
      </c>
      <c r="E88" s="8">
        <f>'Price Book'!G88</f>
        <v/>
      </c>
      <c r="F88" s="10">
        <f>'Price Book'!I88</f>
        <v/>
      </c>
      <c r="G88" s="11">
        <f>'Price Book'!J88</f>
        <v/>
      </c>
      <c r="H88" s="10">
        <f>'Price Book'!K88</f>
        <v/>
      </c>
      <c r="I88" s="12">
        <f>IFERROR(H88*(1-L88),"")</f>
        <v/>
      </c>
      <c r="J88" s="12">
        <f>IFERROR(H88*(1-M88),"")</f>
        <v/>
      </c>
      <c r="K88" s="12">
        <f>IFERROR(H88*(1-N88),"")</f>
        <v/>
      </c>
      <c r="L88" s="14">
        <f>IF(D88="Start",'Partner Tiers'!$D$5,IF(D88="Pro",'Partner Tiers'!$E$5,IF(D88="Business",'Partner Tiers'!$F$5,IF(D88="Enterprise",'Partner Tiers'!$G$5,""))))</f>
        <v/>
      </c>
      <c r="M88" s="14">
        <f>IF(D88="Start",'Partner Tiers'!$D$6,IF(D88="Pro",'Partner Tiers'!$E$6,IF(D88="Business",'Partner Tiers'!$F$6,IF(D88="Enterprise",'Partner Tiers'!$G$6,""))))</f>
        <v/>
      </c>
      <c r="N88" s="14">
        <f>IF(D88="Start",'Partner Tiers'!$D$7,IF(D88="Pro",'Partner Tiers'!$E$7,IF(D88="Business",'Partner Tiers'!$F$7,IF(D88="Enterprise",'Partner Tiers'!$G$7,""))))</f>
        <v/>
      </c>
      <c r="O88" s="10">
        <f>'Price Book'!M88</f>
        <v/>
      </c>
      <c r="P88" s="10">
        <f>'Price Book'!N88</f>
        <v/>
      </c>
      <c r="Q88" s="11">
        <f>'Price Book'!O88</f>
        <v/>
      </c>
      <c r="R88" s="14">
        <f>IFERROR(I88/F88,"")</f>
        <v/>
      </c>
      <c r="S88" s="14">
        <f>IFERROR(J88/F88,"")</f>
        <v/>
      </c>
      <c r="T88" s="14">
        <f>IFERROR(K88/F88,"")</f>
        <v/>
      </c>
      <c r="U88" s="11">
        <f>'Price Book'!R88</f>
        <v/>
      </c>
      <c r="V88" s="8">
        <f>'Price Book'!AG88</f>
        <v/>
      </c>
    </row>
    <row r="89">
      <c r="A89" s="8">
        <f>'Price Book'!A89</f>
        <v/>
      </c>
      <c r="B89" s="8">
        <f>'Price Book'!B89</f>
        <v/>
      </c>
      <c r="C89" s="8">
        <f>'Price Book'!C89</f>
        <v/>
      </c>
      <c r="D89" s="8">
        <f>'Price Book'!D89</f>
        <v/>
      </c>
      <c r="E89" s="8">
        <f>'Price Book'!G89</f>
        <v/>
      </c>
      <c r="F89" s="10">
        <f>'Price Book'!I89</f>
        <v/>
      </c>
      <c r="G89" s="11">
        <f>'Price Book'!J89</f>
        <v/>
      </c>
      <c r="H89" s="10">
        <f>'Price Book'!K89</f>
        <v/>
      </c>
      <c r="I89" s="12">
        <f>IFERROR(H89*(1-L89),"")</f>
        <v/>
      </c>
      <c r="J89" s="12">
        <f>IFERROR(H89*(1-M89),"")</f>
        <v/>
      </c>
      <c r="K89" s="12">
        <f>IFERROR(H89*(1-N89),"")</f>
        <v/>
      </c>
      <c r="L89" s="14">
        <f>IF(D89="Start",'Partner Tiers'!$D$5,IF(D89="Pro",'Partner Tiers'!$E$5,IF(D89="Business",'Partner Tiers'!$F$5,IF(D89="Enterprise",'Partner Tiers'!$G$5,""))))</f>
        <v/>
      </c>
      <c r="M89" s="14">
        <f>IF(D89="Start",'Partner Tiers'!$D$6,IF(D89="Pro",'Partner Tiers'!$E$6,IF(D89="Business",'Partner Tiers'!$F$6,IF(D89="Enterprise",'Partner Tiers'!$G$6,""))))</f>
        <v/>
      </c>
      <c r="N89" s="14">
        <f>IF(D89="Start",'Partner Tiers'!$D$7,IF(D89="Pro",'Partner Tiers'!$E$7,IF(D89="Business",'Partner Tiers'!$F$7,IF(D89="Enterprise",'Partner Tiers'!$G$7,""))))</f>
        <v/>
      </c>
      <c r="O89" s="10">
        <f>'Price Book'!M89</f>
        <v/>
      </c>
      <c r="P89" s="10">
        <f>'Price Book'!N89</f>
        <v/>
      </c>
      <c r="Q89" s="11">
        <f>'Price Book'!O89</f>
        <v/>
      </c>
      <c r="R89" s="14">
        <f>IFERROR(I89/F89,"")</f>
        <v/>
      </c>
      <c r="S89" s="14">
        <f>IFERROR(J89/F89,"")</f>
        <v/>
      </c>
      <c r="T89" s="14">
        <f>IFERROR(K89/F89,"")</f>
        <v/>
      </c>
      <c r="U89" s="11">
        <f>'Price Book'!R89</f>
        <v/>
      </c>
      <c r="V89" s="8">
        <f>'Price Book'!AG89</f>
        <v/>
      </c>
    </row>
    <row r="90">
      <c r="A90" s="8">
        <f>'Price Book'!A90</f>
        <v/>
      </c>
      <c r="B90" s="8">
        <f>'Price Book'!B90</f>
        <v/>
      </c>
      <c r="C90" s="8">
        <f>'Price Book'!C90</f>
        <v/>
      </c>
      <c r="D90" s="8">
        <f>'Price Book'!D90</f>
        <v/>
      </c>
      <c r="E90" s="8">
        <f>'Price Book'!G90</f>
        <v/>
      </c>
      <c r="F90" s="10">
        <f>'Price Book'!I90</f>
        <v/>
      </c>
      <c r="G90" s="11">
        <f>'Price Book'!J90</f>
        <v/>
      </c>
      <c r="H90" s="10">
        <f>'Price Book'!K90</f>
        <v/>
      </c>
      <c r="I90" s="12">
        <f>IFERROR(H90*(1-L90),"")</f>
        <v/>
      </c>
      <c r="J90" s="12">
        <f>IFERROR(H90*(1-M90),"")</f>
        <v/>
      </c>
      <c r="K90" s="12">
        <f>IFERROR(H90*(1-N90),"")</f>
        <v/>
      </c>
      <c r="L90" s="14">
        <f>IF(D90="Start",'Partner Tiers'!$D$5,IF(D90="Pro",'Partner Tiers'!$E$5,IF(D90="Business",'Partner Tiers'!$F$5,IF(D90="Enterprise",'Partner Tiers'!$G$5,""))))</f>
        <v/>
      </c>
      <c r="M90" s="14">
        <f>IF(D90="Start",'Partner Tiers'!$D$6,IF(D90="Pro",'Partner Tiers'!$E$6,IF(D90="Business",'Partner Tiers'!$F$6,IF(D90="Enterprise",'Partner Tiers'!$G$6,""))))</f>
        <v/>
      </c>
      <c r="N90" s="14">
        <f>IF(D90="Start",'Partner Tiers'!$D$7,IF(D90="Pro",'Partner Tiers'!$E$7,IF(D90="Business",'Partner Tiers'!$F$7,IF(D90="Enterprise",'Partner Tiers'!$G$7,""))))</f>
        <v/>
      </c>
      <c r="O90" s="10">
        <f>'Price Book'!M90</f>
        <v/>
      </c>
      <c r="P90" s="10">
        <f>'Price Book'!N90</f>
        <v/>
      </c>
      <c r="Q90" s="11">
        <f>'Price Book'!O90</f>
        <v/>
      </c>
      <c r="R90" s="14">
        <f>IFERROR(I90/F90,"")</f>
        <v/>
      </c>
      <c r="S90" s="14">
        <f>IFERROR(J90/F90,"")</f>
        <v/>
      </c>
      <c r="T90" s="14">
        <f>IFERROR(K90/F90,"")</f>
        <v/>
      </c>
      <c r="U90" s="11">
        <f>'Price Book'!R90</f>
        <v/>
      </c>
      <c r="V90" s="8">
        <f>'Price Book'!AG90</f>
        <v/>
      </c>
    </row>
    <row r="91">
      <c r="A91" s="8">
        <f>'Price Book'!A91</f>
        <v/>
      </c>
      <c r="B91" s="8">
        <f>'Price Book'!B91</f>
        <v/>
      </c>
      <c r="C91" s="8">
        <f>'Price Book'!C91</f>
        <v/>
      </c>
      <c r="D91" s="8">
        <f>'Price Book'!D91</f>
        <v/>
      </c>
      <c r="E91" s="8">
        <f>'Price Book'!G91</f>
        <v/>
      </c>
      <c r="F91" s="10">
        <f>'Price Book'!I91</f>
        <v/>
      </c>
      <c r="G91" s="11">
        <f>'Price Book'!J91</f>
        <v/>
      </c>
      <c r="H91" s="10">
        <f>'Price Book'!K91</f>
        <v/>
      </c>
      <c r="I91" s="12">
        <f>IFERROR(H91*(1-L91),"")</f>
        <v/>
      </c>
      <c r="J91" s="12">
        <f>IFERROR(H91*(1-M91),"")</f>
        <v/>
      </c>
      <c r="K91" s="12">
        <f>IFERROR(H91*(1-N91),"")</f>
        <v/>
      </c>
      <c r="L91" s="14">
        <f>IF(D91="Start",'Partner Tiers'!$D$5,IF(D91="Pro",'Partner Tiers'!$E$5,IF(D91="Business",'Partner Tiers'!$F$5,IF(D91="Enterprise",'Partner Tiers'!$G$5,""))))</f>
        <v/>
      </c>
      <c r="M91" s="14">
        <f>IF(D91="Start",'Partner Tiers'!$D$6,IF(D91="Pro",'Partner Tiers'!$E$6,IF(D91="Business",'Partner Tiers'!$F$6,IF(D91="Enterprise",'Partner Tiers'!$G$6,""))))</f>
        <v/>
      </c>
      <c r="N91" s="14">
        <f>IF(D91="Start",'Partner Tiers'!$D$7,IF(D91="Pro",'Partner Tiers'!$E$7,IF(D91="Business",'Partner Tiers'!$F$7,IF(D91="Enterprise",'Partner Tiers'!$G$7,""))))</f>
        <v/>
      </c>
      <c r="O91" s="10">
        <f>'Price Book'!M91</f>
        <v/>
      </c>
      <c r="P91" s="10">
        <f>'Price Book'!N91</f>
        <v/>
      </c>
      <c r="Q91" s="11">
        <f>'Price Book'!O91</f>
        <v/>
      </c>
      <c r="R91" s="14">
        <f>IFERROR(I91/F91,"")</f>
        <v/>
      </c>
      <c r="S91" s="14">
        <f>IFERROR(J91/F91,"")</f>
        <v/>
      </c>
      <c r="T91" s="14">
        <f>IFERROR(K91/F91,"")</f>
        <v/>
      </c>
      <c r="U91" s="11">
        <f>'Price Book'!R91</f>
        <v/>
      </c>
      <c r="V91" s="8">
        <f>'Price Book'!AG91</f>
        <v/>
      </c>
    </row>
    <row r="92">
      <c r="A92" s="8">
        <f>'Price Book'!A92</f>
        <v/>
      </c>
      <c r="B92" s="8">
        <f>'Price Book'!B92</f>
        <v/>
      </c>
      <c r="C92" s="8">
        <f>'Price Book'!C92</f>
        <v/>
      </c>
      <c r="D92" s="8">
        <f>'Price Book'!D92</f>
        <v/>
      </c>
      <c r="E92" s="8">
        <f>'Price Book'!G92</f>
        <v/>
      </c>
      <c r="F92" s="10">
        <f>'Price Book'!I92</f>
        <v/>
      </c>
      <c r="G92" s="11">
        <f>'Price Book'!J92</f>
        <v/>
      </c>
      <c r="H92" s="10">
        <f>'Price Book'!K92</f>
        <v/>
      </c>
      <c r="I92" s="12">
        <f>IFERROR(H92*(1-L92),"")</f>
        <v/>
      </c>
      <c r="J92" s="12">
        <f>IFERROR(H92*(1-M92),"")</f>
        <v/>
      </c>
      <c r="K92" s="12">
        <f>IFERROR(H92*(1-N92),"")</f>
        <v/>
      </c>
      <c r="L92" s="14">
        <f>IF(D92="Start",'Partner Tiers'!$D$5,IF(D92="Pro",'Partner Tiers'!$E$5,IF(D92="Business",'Partner Tiers'!$F$5,IF(D92="Enterprise",'Partner Tiers'!$G$5,""))))</f>
        <v/>
      </c>
      <c r="M92" s="14">
        <f>IF(D92="Start",'Partner Tiers'!$D$6,IF(D92="Pro",'Partner Tiers'!$E$6,IF(D92="Business",'Partner Tiers'!$F$6,IF(D92="Enterprise",'Partner Tiers'!$G$6,""))))</f>
        <v/>
      </c>
      <c r="N92" s="14">
        <f>IF(D92="Start",'Partner Tiers'!$D$7,IF(D92="Pro",'Partner Tiers'!$E$7,IF(D92="Business",'Partner Tiers'!$F$7,IF(D92="Enterprise",'Partner Tiers'!$G$7,""))))</f>
        <v/>
      </c>
      <c r="O92" s="10">
        <f>'Price Book'!M92</f>
        <v/>
      </c>
      <c r="P92" s="10">
        <f>'Price Book'!N92</f>
        <v/>
      </c>
      <c r="Q92" s="11">
        <f>'Price Book'!O92</f>
        <v/>
      </c>
      <c r="R92" s="14">
        <f>IFERROR(I92/F92,"")</f>
        <v/>
      </c>
      <c r="S92" s="14">
        <f>IFERROR(J92/F92,"")</f>
        <v/>
      </c>
      <c r="T92" s="14">
        <f>IFERROR(K92/F92,"")</f>
        <v/>
      </c>
      <c r="U92" s="11">
        <f>'Price Book'!R92</f>
        <v/>
      </c>
      <c r="V92" s="8">
        <f>'Price Book'!AG92</f>
        <v/>
      </c>
    </row>
    <row r="93">
      <c r="A93" s="8">
        <f>'Price Book'!A93</f>
        <v/>
      </c>
      <c r="B93" s="8">
        <f>'Price Book'!B93</f>
        <v/>
      </c>
      <c r="C93" s="8">
        <f>'Price Book'!C93</f>
        <v/>
      </c>
      <c r="D93" s="8">
        <f>'Price Book'!D93</f>
        <v/>
      </c>
      <c r="E93" s="8">
        <f>'Price Book'!G93</f>
        <v/>
      </c>
      <c r="F93" s="10">
        <f>'Price Book'!I93</f>
        <v/>
      </c>
      <c r="G93" s="11">
        <f>'Price Book'!J93</f>
        <v/>
      </c>
      <c r="H93" s="10">
        <f>'Price Book'!K93</f>
        <v/>
      </c>
      <c r="I93" s="12">
        <f>IFERROR(H93*(1-L93),"")</f>
        <v/>
      </c>
      <c r="J93" s="12">
        <f>IFERROR(H93*(1-M93),"")</f>
        <v/>
      </c>
      <c r="K93" s="12">
        <f>IFERROR(H93*(1-N93),"")</f>
        <v/>
      </c>
      <c r="L93" s="14">
        <f>IF(D93="Start",'Partner Tiers'!$D$5,IF(D93="Pro",'Partner Tiers'!$E$5,IF(D93="Business",'Partner Tiers'!$F$5,IF(D93="Enterprise",'Partner Tiers'!$G$5,""))))</f>
        <v/>
      </c>
      <c r="M93" s="14">
        <f>IF(D93="Start",'Partner Tiers'!$D$6,IF(D93="Pro",'Partner Tiers'!$E$6,IF(D93="Business",'Partner Tiers'!$F$6,IF(D93="Enterprise",'Partner Tiers'!$G$6,""))))</f>
        <v/>
      </c>
      <c r="N93" s="14">
        <f>IF(D93="Start",'Partner Tiers'!$D$7,IF(D93="Pro",'Partner Tiers'!$E$7,IF(D93="Business",'Partner Tiers'!$F$7,IF(D93="Enterprise",'Partner Tiers'!$G$7,""))))</f>
        <v/>
      </c>
      <c r="O93" s="10">
        <f>'Price Book'!M93</f>
        <v/>
      </c>
      <c r="P93" s="10">
        <f>'Price Book'!N93</f>
        <v/>
      </c>
      <c r="Q93" s="11">
        <f>'Price Book'!O93</f>
        <v/>
      </c>
      <c r="R93" s="14">
        <f>IFERROR(I93/F93,"")</f>
        <v/>
      </c>
      <c r="S93" s="14">
        <f>IFERROR(J93/F93,"")</f>
        <v/>
      </c>
      <c r="T93" s="14">
        <f>IFERROR(K93/F93,"")</f>
        <v/>
      </c>
      <c r="U93" s="11">
        <f>'Price Book'!R93</f>
        <v/>
      </c>
      <c r="V93" s="8">
        <f>'Price Book'!AG93</f>
        <v/>
      </c>
    </row>
    <row r="94">
      <c r="A94" s="8">
        <f>'Price Book'!A94</f>
        <v/>
      </c>
      <c r="B94" s="8">
        <f>'Price Book'!B94</f>
        <v/>
      </c>
      <c r="C94" s="8">
        <f>'Price Book'!C94</f>
        <v/>
      </c>
      <c r="D94" s="8">
        <f>'Price Book'!D94</f>
        <v/>
      </c>
      <c r="E94" s="8">
        <f>'Price Book'!G94</f>
        <v/>
      </c>
      <c r="F94" s="10">
        <f>'Price Book'!I94</f>
        <v/>
      </c>
      <c r="G94" s="11">
        <f>'Price Book'!J94</f>
        <v/>
      </c>
      <c r="H94" s="10">
        <f>'Price Book'!K94</f>
        <v/>
      </c>
      <c r="I94" s="12">
        <f>IFERROR(H94*(1-L94),"")</f>
        <v/>
      </c>
      <c r="J94" s="12">
        <f>IFERROR(H94*(1-M94),"")</f>
        <v/>
      </c>
      <c r="K94" s="12">
        <f>IFERROR(H94*(1-N94),"")</f>
        <v/>
      </c>
      <c r="L94" s="14">
        <f>IF(D94="Start",'Partner Tiers'!$D$5,IF(D94="Pro",'Partner Tiers'!$E$5,IF(D94="Business",'Partner Tiers'!$F$5,IF(D94="Enterprise",'Partner Tiers'!$G$5,""))))</f>
        <v/>
      </c>
      <c r="M94" s="14">
        <f>IF(D94="Start",'Partner Tiers'!$D$6,IF(D94="Pro",'Partner Tiers'!$E$6,IF(D94="Business",'Partner Tiers'!$F$6,IF(D94="Enterprise",'Partner Tiers'!$G$6,""))))</f>
        <v/>
      </c>
      <c r="N94" s="14">
        <f>IF(D94="Start",'Partner Tiers'!$D$7,IF(D94="Pro",'Partner Tiers'!$E$7,IF(D94="Business",'Partner Tiers'!$F$7,IF(D94="Enterprise",'Partner Tiers'!$G$7,""))))</f>
        <v/>
      </c>
      <c r="O94" s="10">
        <f>'Price Book'!M94</f>
        <v/>
      </c>
      <c r="P94" s="10">
        <f>'Price Book'!N94</f>
        <v/>
      </c>
      <c r="Q94" s="11">
        <f>'Price Book'!O94</f>
        <v/>
      </c>
      <c r="R94" s="14">
        <f>IFERROR(I94/F94,"")</f>
        <v/>
      </c>
      <c r="S94" s="14">
        <f>IFERROR(J94/F94,"")</f>
        <v/>
      </c>
      <c r="T94" s="14">
        <f>IFERROR(K94/F94,"")</f>
        <v/>
      </c>
      <c r="U94" s="11">
        <f>'Price Book'!R94</f>
        <v/>
      </c>
      <c r="V94" s="8">
        <f>'Price Book'!AG94</f>
        <v/>
      </c>
    </row>
    <row r="95">
      <c r="A95" s="8">
        <f>'Price Book'!A95</f>
        <v/>
      </c>
      <c r="B95" s="8">
        <f>'Price Book'!B95</f>
        <v/>
      </c>
      <c r="C95" s="8">
        <f>'Price Book'!C95</f>
        <v/>
      </c>
      <c r="D95" s="8">
        <f>'Price Book'!D95</f>
        <v/>
      </c>
      <c r="E95" s="8">
        <f>'Price Book'!G95</f>
        <v/>
      </c>
      <c r="F95" s="10">
        <f>'Price Book'!I95</f>
        <v/>
      </c>
      <c r="G95" s="11">
        <f>'Price Book'!J95</f>
        <v/>
      </c>
      <c r="H95" s="10">
        <f>'Price Book'!K95</f>
        <v/>
      </c>
      <c r="I95" s="12">
        <f>IFERROR(H95*(1-L95),"")</f>
        <v/>
      </c>
      <c r="J95" s="12">
        <f>IFERROR(H95*(1-M95),"")</f>
        <v/>
      </c>
      <c r="K95" s="12">
        <f>IFERROR(H95*(1-N95),"")</f>
        <v/>
      </c>
      <c r="L95" s="14">
        <f>IF(D95="Start",'Partner Tiers'!$D$5,IF(D95="Pro",'Partner Tiers'!$E$5,IF(D95="Business",'Partner Tiers'!$F$5,IF(D95="Enterprise",'Partner Tiers'!$G$5,""))))</f>
        <v/>
      </c>
      <c r="M95" s="14">
        <f>IF(D95="Start",'Partner Tiers'!$D$6,IF(D95="Pro",'Partner Tiers'!$E$6,IF(D95="Business",'Partner Tiers'!$F$6,IF(D95="Enterprise",'Partner Tiers'!$G$6,""))))</f>
        <v/>
      </c>
      <c r="N95" s="14">
        <f>IF(D95="Start",'Partner Tiers'!$D$7,IF(D95="Pro",'Partner Tiers'!$E$7,IF(D95="Business",'Partner Tiers'!$F$7,IF(D95="Enterprise",'Partner Tiers'!$G$7,""))))</f>
        <v/>
      </c>
      <c r="O95" s="10">
        <f>'Price Book'!M95</f>
        <v/>
      </c>
      <c r="P95" s="10">
        <f>'Price Book'!N95</f>
        <v/>
      </c>
      <c r="Q95" s="11">
        <f>'Price Book'!O95</f>
        <v/>
      </c>
      <c r="R95" s="14">
        <f>IFERROR(I95/F95,"")</f>
        <v/>
      </c>
      <c r="S95" s="14">
        <f>IFERROR(J95/F95,"")</f>
        <v/>
      </c>
      <c r="T95" s="14">
        <f>IFERROR(K95/F95,"")</f>
        <v/>
      </c>
      <c r="U95" s="11">
        <f>'Price Book'!R95</f>
        <v/>
      </c>
      <c r="V95" s="8">
        <f>'Price Book'!AG95</f>
        <v/>
      </c>
    </row>
    <row r="96">
      <c r="A96" s="8">
        <f>'Price Book'!A96</f>
        <v/>
      </c>
      <c r="B96" s="8">
        <f>'Price Book'!B96</f>
        <v/>
      </c>
      <c r="C96" s="8">
        <f>'Price Book'!C96</f>
        <v/>
      </c>
      <c r="D96" s="8">
        <f>'Price Book'!D96</f>
        <v/>
      </c>
      <c r="E96" s="8">
        <f>'Price Book'!G96</f>
        <v/>
      </c>
      <c r="F96" s="10">
        <f>'Price Book'!I96</f>
        <v/>
      </c>
      <c r="G96" s="11">
        <f>'Price Book'!J96</f>
        <v/>
      </c>
      <c r="H96" s="10">
        <f>'Price Book'!K96</f>
        <v/>
      </c>
      <c r="I96" s="12">
        <f>IFERROR(H96*(1-L96),"")</f>
        <v/>
      </c>
      <c r="J96" s="12">
        <f>IFERROR(H96*(1-M96),"")</f>
        <v/>
      </c>
      <c r="K96" s="12">
        <f>IFERROR(H96*(1-N96),"")</f>
        <v/>
      </c>
      <c r="L96" s="14">
        <f>IF(D96="Start",'Partner Tiers'!$D$5,IF(D96="Pro",'Partner Tiers'!$E$5,IF(D96="Business",'Partner Tiers'!$F$5,IF(D96="Enterprise",'Partner Tiers'!$G$5,""))))</f>
        <v/>
      </c>
      <c r="M96" s="14">
        <f>IF(D96="Start",'Partner Tiers'!$D$6,IF(D96="Pro",'Partner Tiers'!$E$6,IF(D96="Business",'Partner Tiers'!$F$6,IF(D96="Enterprise",'Partner Tiers'!$G$6,""))))</f>
        <v/>
      </c>
      <c r="N96" s="14">
        <f>IF(D96="Start",'Partner Tiers'!$D$7,IF(D96="Pro",'Partner Tiers'!$E$7,IF(D96="Business",'Partner Tiers'!$F$7,IF(D96="Enterprise",'Partner Tiers'!$G$7,""))))</f>
        <v/>
      </c>
      <c r="O96" s="10">
        <f>'Price Book'!M96</f>
        <v/>
      </c>
      <c r="P96" s="10">
        <f>'Price Book'!N96</f>
        <v/>
      </c>
      <c r="Q96" s="11">
        <f>'Price Book'!O96</f>
        <v/>
      </c>
      <c r="R96" s="14">
        <f>IFERROR(I96/F96,"")</f>
        <v/>
      </c>
      <c r="S96" s="14">
        <f>IFERROR(J96/F96,"")</f>
        <v/>
      </c>
      <c r="T96" s="14">
        <f>IFERROR(K96/F96,"")</f>
        <v/>
      </c>
      <c r="U96" s="11">
        <f>'Price Book'!R96</f>
        <v/>
      </c>
      <c r="V96" s="8">
        <f>'Price Book'!AG96</f>
        <v/>
      </c>
    </row>
    <row r="97">
      <c r="A97" s="8">
        <f>'Price Book'!A97</f>
        <v/>
      </c>
      <c r="B97" s="8">
        <f>'Price Book'!B97</f>
        <v/>
      </c>
      <c r="C97" s="8">
        <f>'Price Book'!C97</f>
        <v/>
      </c>
      <c r="D97" s="8">
        <f>'Price Book'!D97</f>
        <v/>
      </c>
      <c r="E97" s="8">
        <f>'Price Book'!G97</f>
        <v/>
      </c>
      <c r="F97" s="10">
        <f>'Price Book'!I97</f>
        <v/>
      </c>
      <c r="G97" s="11">
        <f>'Price Book'!J97</f>
        <v/>
      </c>
      <c r="H97" s="10">
        <f>'Price Book'!K97</f>
        <v/>
      </c>
      <c r="I97" s="12">
        <f>IFERROR(H97*(1-L97),"")</f>
        <v/>
      </c>
      <c r="J97" s="12">
        <f>IFERROR(H97*(1-M97),"")</f>
        <v/>
      </c>
      <c r="K97" s="12">
        <f>IFERROR(H97*(1-N97),"")</f>
        <v/>
      </c>
      <c r="L97" s="14">
        <f>IF(D97="Start",'Partner Tiers'!$D$5,IF(D97="Pro",'Partner Tiers'!$E$5,IF(D97="Business",'Partner Tiers'!$F$5,IF(D97="Enterprise",'Partner Tiers'!$G$5,""))))</f>
        <v/>
      </c>
      <c r="M97" s="14">
        <f>IF(D97="Start",'Partner Tiers'!$D$6,IF(D97="Pro",'Partner Tiers'!$E$6,IF(D97="Business",'Partner Tiers'!$F$6,IF(D97="Enterprise",'Partner Tiers'!$G$6,""))))</f>
        <v/>
      </c>
      <c r="N97" s="14">
        <f>IF(D97="Start",'Partner Tiers'!$D$7,IF(D97="Pro",'Partner Tiers'!$E$7,IF(D97="Business",'Partner Tiers'!$F$7,IF(D97="Enterprise",'Partner Tiers'!$G$7,""))))</f>
        <v/>
      </c>
      <c r="O97" s="10">
        <f>'Price Book'!M97</f>
        <v/>
      </c>
      <c r="P97" s="10">
        <f>'Price Book'!N97</f>
        <v/>
      </c>
      <c r="Q97" s="11">
        <f>'Price Book'!O97</f>
        <v/>
      </c>
      <c r="R97" s="14">
        <f>IFERROR(I97/F97,"")</f>
        <v/>
      </c>
      <c r="S97" s="14">
        <f>IFERROR(J97/F97,"")</f>
        <v/>
      </c>
      <c r="T97" s="14">
        <f>IFERROR(K97/F97,"")</f>
        <v/>
      </c>
      <c r="U97" s="11">
        <f>'Price Book'!R97</f>
        <v/>
      </c>
      <c r="V97" s="8">
        <f>'Price Book'!AG97</f>
        <v/>
      </c>
    </row>
    <row r="98">
      <c r="A98" s="8">
        <f>'Price Book'!A98</f>
        <v/>
      </c>
      <c r="B98" s="8">
        <f>'Price Book'!B98</f>
        <v/>
      </c>
      <c r="C98" s="8">
        <f>'Price Book'!C98</f>
        <v/>
      </c>
      <c r="D98" s="8">
        <f>'Price Book'!D98</f>
        <v/>
      </c>
      <c r="E98" s="8">
        <f>'Price Book'!G98</f>
        <v/>
      </c>
      <c r="F98" s="10">
        <f>'Price Book'!I98</f>
        <v/>
      </c>
      <c r="G98" s="11">
        <f>'Price Book'!J98</f>
        <v/>
      </c>
      <c r="H98" s="10">
        <f>'Price Book'!K98</f>
        <v/>
      </c>
      <c r="I98" s="12">
        <f>IFERROR(H98*(1-L98),"")</f>
        <v/>
      </c>
      <c r="J98" s="12">
        <f>IFERROR(H98*(1-M98),"")</f>
        <v/>
      </c>
      <c r="K98" s="12">
        <f>IFERROR(H98*(1-N98),"")</f>
        <v/>
      </c>
      <c r="L98" s="14">
        <f>IF(D98="Start",'Partner Tiers'!$D$5,IF(D98="Pro",'Partner Tiers'!$E$5,IF(D98="Business",'Partner Tiers'!$F$5,IF(D98="Enterprise",'Partner Tiers'!$G$5,""))))</f>
        <v/>
      </c>
      <c r="M98" s="14">
        <f>IF(D98="Start",'Partner Tiers'!$D$6,IF(D98="Pro",'Partner Tiers'!$E$6,IF(D98="Business",'Partner Tiers'!$F$6,IF(D98="Enterprise",'Partner Tiers'!$G$6,""))))</f>
        <v/>
      </c>
      <c r="N98" s="14">
        <f>IF(D98="Start",'Partner Tiers'!$D$7,IF(D98="Pro",'Partner Tiers'!$E$7,IF(D98="Business",'Partner Tiers'!$F$7,IF(D98="Enterprise",'Partner Tiers'!$G$7,""))))</f>
        <v/>
      </c>
      <c r="O98" s="10">
        <f>'Price Book'!M98</f>
        <v/>
      </c>
      <c r="P98" s="10">
        <f>'Price Book'!N98</f>
        <v/>
      </c>
      <c r="Q98" s="11">
        <f>'Price Book'!O98</f>
        <v/>
      </c>
      <c r="R98" s="14">
        <f>IFERROR(I98/F98,"")</f>
        <v/>
      </c>
      <c r="S98" s="14">
        <f>IFERROR(J98/F98,"")</f>
        <v/>
      </c>
      <c r="T98" s="14">
        <f>IFERROR(K98/F98,"")</f>
        <v/>
      </c>
      <c r="U98" s="11">
        <f>'Price Book'!R98</f>
        <v/>
      </c>
      <c r="V98" s="8">
        <f>'Price Book'!AG98</f>
        <v/>
      </c>
    </row>
    <row r="99">
      <c r="A99" s="8">
        <f>'Price Book'!A99</f>
        <v/>
      </c>
      <c r="B99" s="8">
        <f>'Price Book'!B99</f>
        <v/>
      </c>
      <c r="C99" s="8">
        <f>'Price Book'!C99</f>
        <v/>
      </c>
      <c r="D99" s="8">
        <f>'Price Book'!D99</f>
        <v/>
      </c>
      <c r="E99" s="8">
        <f>'Price Book'!G99</f>
        <v/>
      </c>
      <c r="F99" s="10">
        <f>'Price Book'!I99</f>
        <v/>
      </c>
      <c r="G99" s="11">
        <f>'Price Book'!J99</f>
        <v/>
      </c>
      <c r="H99" s="10">
        <f>'Price Book'!K99</f>
        <v/>
      </c>
      <c r="I99" s="12">
        <f>IFERROR(H99*(1-L99),"")</f>
        <v/>
      </c>
      <c r="J99" s="12">
        <f>IFERROR(H99*(1-M99),"")</f>
        <v/>
      </c>
      <c r="K99" s="12">
        <f>IFERROR(H99*(1-N99),"")</f>
        <v/>
      </c>
      <c r="L99" s="14">
        <f>IF(D99="Start",'Partner Tiers'!$D$5,IF(D99="Pro",'Partner Tiers'!$E$5,IF(D99="Business",'Partner Tiers'!$F$5,IF(D99="Enterprise",'Partner Tiers'!$G$5,""))))</f>
        <v/>
      </c>
      <c r="M99" s="14">
        <f>IF(D99="Start",'Partner Tiers'!$D$6,IF(D99="Pro",'Partner Tiers'!$E$6,IF(D99="Business",'Partner Tiers'!$F$6,IF(D99="Enterprise",'Partner Tiers'!$G$6,""))))</f>
        <v/>
      </c>
      <c r="N99" s="14">
        <f>IF(D99="Start",'Partner Tiers'!$D$7,IF(D99="Pro",'Partner Tiers'!$E$7,IF(D99="Business",'Partner Tiers'!$F$7,IF(D99="Enterprise",'Partner Tiers'!$G$7,""))))</f>
        <v/>
      </c>
      <c r="O99" s="10">
        <f>'Price Book'!M99</f>
        <v/>
      </c>
      <c r="P99" s="10">
        <f>'Price Book'!N99</f>
        <v/>
      </c>
      <c r="Q99" s="11">
        <f>'Price Book'!O99</f>
        <v/>
      </c>
      <c r="R99" s="14">
        <f>IFERROR(I99/F99,"")</f>
        <v/>
      </c>
      <c r="S99" s="14">
        <f>IFERROR(J99/F99,"")</f>
        <v/>
      </c>
      <c r="T99" s="14">
        <f>IFERROR(K99/F99,"")</f>
        <v/>
      </c>
      <c r="U99" s="11">
        <f>'Price Book'!R99</f>
        <v/>
      </c>
      <c r="V99" s="8">
        <f>'Price Book'!AG99</f>
        <v/>
      </c>
    </row>
    <row r="100">
      <c r="A100" s="8">
        <f>'Price Book'!A100</f>
        <v/>
      </c>
      <c r="B100" s="8">
        <f>'Price Book'!B100</f>
        <v/>
      </c>
      <c r="C100" s="8">
        <f>'Price Book'!C100</f>
        <v/>
      </c>
      <c r="D100" s="8">
        <f>'Price Book'!D100</f>
        <v/>
      </c>
      <c r="E100" s="8">
        <f>'Price Book'!G100</f>
        <v/>
      </c>
      <c r="F100" s="10">
        <f>'Price Book'!I100</f>
        <v/>
      </c>
      <c r="G100" s="11">
        <f>'Price Book'!J100</f>
        <v/>
      </c>
      <c r="H100" s="10">
        <f>'Price Book'!K100</f>
        <v/>
      </c>
      <c r="I100" s="12">
        <f>IFERROR(H100*(1-L100),"")</f>
        <v/>
      </c>
      <c r="J100" s="12">
        <f>IFERROR(H100*(1-M100),"")</f>
        <v/>
      </c>
      <c r="K100" s="12">
        <f>IFERROR(H100*(1-N100),"")</f>
        <v/>
      </c>
      <c r="L100" s="14">
        <f>IF(D100="Start",'Partner Tiers'!$D$5,IF(D100="Pro",'Partner Tiers'!$E$5,IF(D100="Business",'Partner Tiers'!$F$5,IF(D100="Enterprise",'Partner Tiers'!$G$5,""))))</f>
        <v/>
      </c>
      <c r="M100" s="14">
        <f>IF(D100="Start",'Partner Tiers'!$D$6,IF(D100="Pro",'Partner Tiers'!$E$6,IF(D100="Business",'Partner Tiers'!$F$6,IF(D100="Enterprise",'Partner Tiers'!$G$6,""))))</f>
        <v/>
      </c>
      <c r="N100" s="14">
        <f>IF(D100="Start",'Partner Tiers'!$D$7,IF(D100="Pro",'Partner Tiers'!$E$7,IF(D100="Business",'Partner Tiers'!$F$7,IF(D100="Enterprise",'Partner Tiers'!$G$7,""))))</f>
        <v/>
      </c>
      <c r="O100" s="10">
        <f>'Price Book'!M100</f>
        <v/>
      </c>
      <c r="P100" s="10">
        <f>'Price Book'!N100</f>
        <v/>
      </c>
      <c r="Q100" s="11">
        <f>'Price Book'!O100</f>
        <v/>
      </c>
      <c r="R100" s="14">
        <f>IFERROR(I100/F100,"")</f>
        <v/>
      </c>
      <c r="S100" s="14">
        <f>IFERROR(J100/F100,"")</f>
        <v/>
      </c>
      <c r="T100" s="14">
        <f>IFERROR(K100/F100,"")</f>
        <v/>
      </c>
      <c r="U100" s="11">
        <f>'Price Book'!R100</f>
        <v/>
      </c>
      <c r="V100" s="8">
        <f>'Price Book'!AG100</f>
        <v/>
      </c>
    </row>
    <row r="101">
      <c r="A101" s="8">
        <f>'Price Book'!A101</f>
        <v/>
      </c>
      <c r="B101" s="8">
        <f>'Price Book'!B101</f>
        <v/>
      </c>
      <c r="C101" s="8">
        <f>'Price Book'!C101</f>
        <v/>
      </c>
      <c r="D101" s="8">
        <f>'Price Book'!D101</f>
        <v/>
      </c>
      <c r="E101" s="8">
        <f>'Price Book'!G101</f>
        <v/>
      </c>
      <c r="F101" s="10">
        <f>'Price Book'!I101</f>
        <v/>
      </c>
      <c r="G101" s="11">
        <f>'Price Book'!J101</f>
        <v/>
      </c>
      <c r="H101" s="10">
        <f>'Price Book'!K101</f>
        <v/>
      </c>
      <c r="I101" s="12">
        <f>IFERROR(H101*(1-L101),"")</f>
        <v/>
      </c>
      <c r="J101" s="12">
        <f>IFERROR(H101*(1-M101),"")</f>
        <v/>
      </c>
      <c r="K101" s="12">
        <f>IFERROR(H101*(1-N101),"")</f>
        <v/>
      </c>
      <c r="L101" s="14">
        <f>IF(D101="Start",'Partner Tiers'!$D$5,IF(D101="Pro",'Partner Tiers'!$E$5,IF(D101="Business",'Partner Tiers'!$F$5,IF(D101="Enterprise",'Partner Tiers'!$G$5,""))))</f>
        <v/>
      </c>
      <c r="M101" s="14">
        <f>IF(D101="Start",'Partner Tiers'!$D$6,IF(D101="Pro",'Partner Tiers'!$E$6,IF(D101="Business",'Partner Tiers'!$F$6,IF(D101="Enterprise",'Partner Tiers'!$G$6,""))))</f>
        <v/>
      </c>
      <c r="N101" s="14">
        <f>IF(D101="Start",'Partner Tiers'!$D$7,IF(D101="Pro",'Partner Tiers'!$E$7,IF(D101="Business",'Partner Tiers'!$F$7,IF(D101="Enterprise",'Partner Tiers'!$G$7,""))))</f>
        <v/>
      </c>
      <c r="O101" s="10">
        <f>'Price Book'!M101</f>
        <v/>
      </c>
      <c r="P101" s="10">
        <f>'Price Book'!N101</f>
        <v/>
      </c>
      <c r="Q101" s="11">
        <f>'Price Book'!O101</f>
        <v/>
      </c>
      <c r="R101" s="14">
        <f>IFERROR(I101/F101,"")</f>
        <v/>
      </c>
      <c r="S101" s="14">
        <f>IFERROR(J101/F101,"")</f>
        <v/>
      </c>
      <c r="T101" s="14">
        <f>IFERROR(K101/F101,"")</f>
        <v/>
      </c>
      <c r="U101" s="11">
        <f>'Price Book'!R101</f>
        <v/>
      </c>
      <c r="V101" s="8">
        <f>'Price Book'!AG101</f>
        <v/>
      </c>
    </row>
    <row r="102">
      <c r="A102" s="8">
        <f>'Price Book'!A102</f>
        <v/>
      </c>
      <c r="B102" s="8">
        <f>'Price Book'!B102</f>
        <v/>
      </c>
      <c r="C102" s="8">
        <f>'Price Book'!C102</f>
        <v/>
      </c>
      <c r="D102" s="8">
        <f>'Price Book'!D102</f>
        <v/>
      </c>
      <c r="E102" s="8">
        <f>'Price Book'!G102</f>
        <v/>
      </c>
      <c r="F102" s="10">
        <f>'Price Book'!I102</f>
        <v/>
      </c>
      <c r="G102" s="11">
        <f>'Price Book'!J102</f>
        <v/>
      </c>
      <c r="H102" s="10">
        <f>'Price Book'!K102</f>
        <v/>
      </c>
      <c r="I102" s="12">
        <f>IFERROR(H102*(1-L102),"")</f>
        <v/>
      </c>
      <c r="J102" s="12">
        <f>IFERROR(H102*(1-M102),"")</f>
        <v/>
      </c>
      <c r="K102" s="12">
        <f>IFERROR(H102*(1-N102),"")</f>
        <v/>
      </c>
      <c r="L102" s="14">
        <f>IF(D102="Start",'Partner Tiers'!$D$5,IF(D102="Pro",'Partner Tiers'!$E$5,IF(D102="Business",'Partner Tiers'!$F$5,IF(D102="Enterprise",'Partner Tiers'!$G$5,""))))</f>
        <v/>
      </c>
      <c r="M102" s="14">
        <f>IF(D102="Start",'Partner Tiers'!$D$6,IF(D102="Pro",'Partner Tiers'!$E$6,IF(D102="Business",'Partner Tiers'!$F$6,IF(D102="Enterprise",'Partner Tiers'!$G$6,""))))</f>
        <v/>
      </c>
      <c r="N102" s="14">
        <f>IF(D102="Start",'Partner Tiers'!$D$7,IF(D102="Pro",'Partner Tiers'!$E$7,IF(D102="Business",'Partner Tiers'!$F$7,IF(D102="Enterprise",'Partner Tiers'!$G$7,""))))</f>
        <v/>
      </c>
      <c r="O102" s="10">
        <f>'Price Book'!M102</f>
        <v/>
      </c>
      <c r="P102" s="10">
        <f>'Price Book'!N102</f>
        <v/>
      </c>
      <c r="Q102" s="11">
        <f>'Price Book'!O102</f>
        <v/>
      </c>
      <c r="R102" s="14">
        <f>IFERROR(I102/F102,"")</f>
        <v/>
      </c>
      <c r="S102" s="14">
        <f>IFERROR(J102/F102,"")</f>
        <v/>
      </c>
      <c r="T102" s="14">
        <f>IFERROR(K102/F102,"")</f>
        <v/>
      </c>
      <c r="U102" s="11">
        <f>'Price Book'!R102</f>
        <v/>
      </c>
      <c r="V102" s="8">
        <f>'Price Book'!AG102</f>
        <v/>
      </c>
    </row>
    <row r="103">
      <c r="A103" s="8">
        <f>'Price Book'!A103</f>
        <v/>
      </c>
      <c r="B103" s="8">
        <f>'Price Book'!B103</f>
        <v/>
      </c>
      <c r="C103" s="8">
        <f>'Price Book'!C103</f>
        <v/>
      </c>
      <c r="D103" s="8">
        <f>'Price Book'!D103</f>
        <v/>
      </c>
      <c r="E103" s="8">
        <f>'Price Book'!G103</f>
        <v/>
      </c>
      <c r="F103" s="10">
        <f>'Price Book'!I103</f>
        <v/>
      </c>
      <c r="G103" s="11">
        <f>'Price Book'!J103</f>
        <v/>
      </c>
      <c r="H103" s="10">
        <f>'Price Book'!K103</f>
        <v/>
      </c>
      <c r="I103" s="12">
        <f>IFERROR(H103*(1-L103),"")</f>
        <v/>
      </c>
      <c r="J103" s="12">
        <f>IFERROR(H103*(1-M103),"")</f>
        <v/>
      </c>
      <c r="K103" s="12">
        <f>IFERROR(H103*(1-N103),"")</f>
        <v/>
      </c>
      <c r="L103" s="14">
        <f>IF(D103="Start",'Partner Tiers'!$D$5,IF(D103="Pro",'Partner Tiers'!$E$5,IF(D103="Business",'Partner Tiers'!$F$5,IF(D103="Enterprise",'Partner Tiers'!$G$5,""))))</f>
        <v/>
      </c>
      <c r="M103" s="14">
        <f>IF(D103="Start",'Partner Tiers'!$D$6,IF(D103="Pro",'Partner Tiers'!$E$6,IF(D103="Business",'Partner Tiers'!$F$6,IF(D103="Enterprise",'Partner Tiers'!$G$6,""))))</f>
        <v/>
      </c>
      <c r="N103" s="14">
        <f>IF(D103="Start",'Partner Tiers'!$D$7,IF(D103="Pro",'Partner Tiers'!$E$7,IF(D103="Business",'Partner Tiers'!$F$7,IF(D103="Enterprise",'Partner Tiers'!$G$7,""))))</f>
        <v/>
      </c>
      <c r="O103" s="10">
        <f>'Price Book'!M103</f>
        <v/>
      </c>
      <c r="P103" s="10">
        <f>'Price Book'!N103</f>
        <v/>
      </c>
      <c r="Q103" s="11">
        <f>'Price Book'!O103</f>
        <v/>
      </c>
      <c r="R103" s="14">
        <f>IFERROR(I103/F103,"")</f>
        <v/>
      </c>
      <c r="S103" s="14">
        <f>IFERROR(J103/F103,"")</f>
        <v/>
      </c>
      <c r="T103" s="14">
        <f>IFERROR(K103/F103,"")</f>
        <v/>
      </c>
      <c r="U103" s="11">
        <f>'Price Book'!R103</f>
        <v/>
      </c>
      <c r="V103" s="8">
        <f>'Price Book'!AG103</f>
        <v/>
      </c>
    </row>
    <row r="104">
      <c r="A104" s="8">
        <f>'Price Book'!A104</f>
        <v/>
      </c>
      <c r="B104" s="8">
        <f>'Price Book'!B104</f>
        <v/>
      </c>
      <c r="C104" s="8">
        <f>'Price Book'!C104</f>
        <v/>
      </c>
      <c r="D104" s="8">
        <f>'Price Book'!D104</f>
        <v/>
      </c>
      <c r="E104" s="8">
        <f>'Price Book'!G104</f>
        <v/>
      </c>
      <c r="F104" s="10">
        <f>'Price Book'!I104</f>
        <v/>
      </c>
      <c r="G104" s="11">
        <f>'Price Book'!J104</f>
        <v/>
      </c>
      <c r="H104" s="10">
        <f>'Price Book'!K104</f>
        <v/>
      </c>
      <c r="I104" s="12">
        <f>IFERROR(H104*(1-L104),"")</f>
        <v/>
      </c>
      <c r="J104" s="12">
        <f>IFERROR(H104*(1-M104),"")</f>
        <v/>
      </c>
      <c r="K104" s="12">
        <f>IFERROR(H104*(1-N104),"")</f>
        <v/>
      </c>
      <c r="L104" s="14">
        <f>IF(D104="Start",'Partner Tiers'!$D$5,IF(D104="Pro",'Partner Tiers'!$E$5,IF(D104="Business",'Partner Tiers'!$F$5,IF(D104="Enterprise",'Partner Tiers'!$G$5,""))))</f>
        <v/>
      </c>
      <c r="M104" s="14">
        <f>IF(D104="Start",'Partner Tiers'!$D$6,IF(D104="Pro",'Partner Tiers'!$E$6,IF(D104="Business",'Partner Tiers'!$F$6,IF(D104="Enterprise",'Partner Tiers'!$G$6,""))))</f>
        <v/>
      </c>
      <c r="N104" s="14">
        <f>IF(D104="Start",'Partner Tiers'!$D$7,IF(D104="Pro",'Partner Tiers'!$E$7,IF(D104="Business",'Partner Tiers'!$F$7,IF(D104="Enterprise",'Partner Tiers'!$G$7,""))))</f>
        <v/>
      </c>
      <c r="O104" s="10">
        <f>'Price Book'!M104</f>
        <v/>
      </c>
      <c r="P104" s="10">
        <f>'Price Book'!N104</f>
        <v/>
      </c>
      <c r="Q104" s="11">
        <f>'Price Book'!O104</f>
        <v/>
      </c>
      <c r="R104" s="14">
        <f>IFERROR(I104/F104,"")</f>
        <v/>
      </c>
      <c r="S104" s="14">
        <f>IFERROR(J104/F104,"")</f>
        <v/>
      </c>
      <c r="T104" s="14">
        <f>IFERROR(K104/F104,"")</f>
        <v/>
      </c>
      <c r="U104" s="11">
        <f>'Price Book'!R104</f>
        <v/>
      </c>
      <c r="V104" s="8">
        <f>'Price Book'!AG104</f>
        <v/>
      </c>
    </row>
    <row r="105">
      <c r="A105" s="8">
        <f>'Price Book'!A105</f>
        <v/>
      </c>
      <c r="B105" s="8">
        <f>'Price Book'!B105</f>
        <v/>
      </c>
      <c r="C105" s="8">
        <f>'Price Book'!C105</f>
        <v/>
      </c>
      <c r="D105" s="8">
        <f>'Price Book'!D105</f>
        <v/>
      </c>
      <c r="E105" s="8">
        <f>'Price Book'!G105</f>
        <v/>
      </c>
      <c r="F105" s="10">
        <f>'Price Book'!I105</f>
        <v/>
      </c>
      <c r="G105" s="11">
        <f>'Price Book'!J105</f>
        <v/>
      </c>
      <c r="H105" s="10">
        <f>'Price Book'!K105</f>
        <v/>
      </c>
      <c r="I105" s="12">
        <f>IFERROR(H105*(1-L105),"")</f>
        <v/>
      </c>
      <c r="J105" s="12">
        <f>IFERROR(H105*(1-M105),"")</f>
        <v/>
      </c>
      <c r="K105" s="12">
        <f>IFERROR(H105*(1-N105),"")</f>
        <v/>
      </c>
      <c r="L105" s="14">
        <f>IF(D105="Start",'Partner Tiers'!$D$5,IF(D105="Pro",'Partner Tiers'!$E$5,IF(D105="Business",'Partner Tiers'!$F$5,IF(D105="Enterprise",'Partner Tiers'!$G$5,""))))</f>
        <v/>
      </c>
      <c r="M105" s="14">
        <f>IF(D105="Start",'Partner Tiers'!$D$6,IF(D105="Pro",'Partner Tiers'!$E$6,IF(D105="Business",'Partner Tiers'!$F$6,IF(D105="Enterprise",'Partner Tiers'!$G$6,""))))</f>
        <v/>
      </c>
      <c r="N105" s="14">
        <f>IF(D105="Start",'Partner Tiers'!$D$7,IF(D105="Pro",'Partner Tiers'!$E$7,IF(D105="Business",'Partner Tiers'!$F$7,IF(D105="Enterprise",'Partner Tiers'!$G$7,""))))</f>
        <v/>
      </c>
      <c r="O105" s="10">
        <f>'Price Book'!M105</f>
        <v/>
      </c>
      <c r="P105" s="10">
        <f>'Price Book'!N105</f>
        <v/>
      </c>
      <c r="Q105" s="11">
        <f>'Price Book'!O105</f>
        <v/>
      </c>
      <c r="R105" s="14">
        <f>IFERROR(I105/F105,"")</f>
        <v/>
      </c>
      <c r="S105" s="14">
        <f>IFERROR(J105/F105,"")</f>
        <v/>
      </c>
      <c r="T105" s="14">
        <f>IFERROR(K105/F105,"")</f>
        <v/>
      </c>
      <c r="U105" s="11">
        <f>'Price Book'!R105</f>
        <v/>
      </c>
      <c r="V105" s="8">
        <f>'Price Book'!AG105</f>
        <v/>
      </c>
    </row>
    <row r="106">
      <c r="A106" s="8">
        <f>'Price Book'!A106</f>
        <v/>
      </c>
      <c r="B106" s="8">
        <f>'Price Book'!B106</f>
        <v/>
      </c>
      <c r="C106" s="8">
        <f>'Price Book'!C106</f>
        <v/>
      </c>
      <c r="D106" s="8">
        <f>'Price Book'!D106</f>
        <v/>
      </c>
      <c r="E106" s="8">
        <f>'Price Book'!G106</f>
        <v/>
      </c>
      <c r="F106" s="10">
        <f>'Price Book'!I106</f>
        <v/>
      </c>
      <c r="G106" s="11">
        <f>'Price Book'!J106</f>
        <v/>
      </c>
      <c r="H106" s="10">
        <f>'Price Book'!K106</f>
        <v/>
      </c>
      <c r="I106" s="12">
        <f>IFERROR(H106*(1-L106),"")</f>
        <v/>
      </c>
      <c r="J106" s="12">
        <f>IFERROR(H106*(1-M106),"")</f>
        <v/>
      </c>
      <c r="K106" s="12">
        <f>IFERROR(H106*(1-N106),"")</f>
        <v/>
      </c>
      <c r="L106" s="14">
        <f>IF(D106="Start",'Partner Tiers'!$D$5,IF(D106="Pro",'Partner Tiers'!$E$5,IF(D106="Business",'Partner Tiers'!$F$5,IF(D106="Enterprise",'Partner Tiers'!$G$5,""))))</f>
        <v/>
      </c>
      <c r="M106" s="14">
        <f>IF(D106="Start",'Partner Tiers'!$D$6,IF(D106="Pro",'Partner Tiers'!$E$6,IF(D106="Business",'Partner Tiers'!$F$6,IF(D106="Enterprise",'Partner Tiers'!$G$6,""))))</f>
        <v/>
      </c>
      <c r="N106" s="14">
        <f>IF(D106="Start",'Partner Tiers'!$D$7,IF(D106="Pro",'Partner Tiers'!$E$7,IF(D106="Business",'Partner Tiers'!$F$7,IF(D106="Enterprise",'Partner Tiers'!$G$7,""))))</f>
        <v/>
      </c>
      <c r="O106" s="10">
        <f>'Price Book'!M106</f>
        <v/>
      </c>
      <c r="P106" s="10">
        <f>'Price Book'!N106</f>
        <v/>
      </c>
      <c r="Q106" s="11">
        <f>'Price Book'!O106</f>
        <v/>
      </c>
      <c r="R106" s="14">
        <f>IFERROR(I106/F106,"")</f>
        <v/>
      </c>
      <c r="S106" s="14">
        <f>IFERROR(J106/F106,"")</f>
        <v/>
      </c>
      <c r="T106" s="14">
        <f>IFERROR(K106/F106,"")</f>
        <v/>
      </c>
      <c r="U106" s="11">
        <f>'Price Book'!R106</f>
        <v/>
      </c>
      <c r="V106" s="8">
        <f>'Price Book'!AG106</f>
        <v/>
      </c>
    </row>
    <row r="107">
      <c r="A107" s="8">
        <f>'Price Book'!A107</f>
        <v/>
      </c>
      <c r="B107" s="8">
        <f>'Price Book'!B107</f>
        <v/>
      </c>
      <c r="C107" s="8">
        <f>'Price Book'!C107</f>
        <v/>
      </c>
      <c r="D107" s="8">
        <f>'Price Book'!D107</f>
        <v/>
      </c>
      <c r="E107" s="8">
        <f>'Price Book'!G107</f>
        <v/>
      </c>
      <c r="F107" s="10">
        <f>'Price Book'!I107</f>
        <v/>
      </c>
      <c r="G107" s="11">
        <f>'Price Book'!J107</f>
        <v/>
      </c>
      <c r="H107" s="10">
        <f>'Price Book'!K107</f>
        <v/>
      </c>
      <c r="I107" s="12">
        <f>IFERROR(H107*(1-L107),"")</f>
        <v/>
      </c>
      <c r="J107" s="12">
        <f>IFERROR(H107*(1-M107),"")</f>
        <v/>
      </c>
      <c r="K107" s="12">
        <f>IFERROR(H107*(1-N107),"")</f>
        <v/>
      </c>
      <c r="L107" s="14">
        <f>IF(D107="Start",'Partner Tiers'!$D$5,IF(D107="Pro",'Partner Tiers'!$E$5,IF(D107="Business",'Partner Tiers'!$F$5,IF(D107="Enterprise",'Partner Tiers'!$G$5,""))))</f>
        <v/>
      </c>
      <c r="M107" s="14">
        <f>IF(D107="Start",'Partner Tiers'!$D$6,IF(D107="Pro",'Partner Tiers'!$E$6,IF(D107="Business",'Partner Tiers'!$F$6,IF(D107="Enterprise",'Partner Tiers'!$G$6,""))))</f>
        <v/>
      </c>
      <c r="N107" s="14">
        <f>IF(D107="Start",'Partner Tiers'!$D$7,IF(D107="Pro",'Partner Tiers'!$E$7,IF(D107="Business",'Partner Tiers'!$F$7,IF(D107="Enterprise",'Partner Tiers'!$G$7,""))))</f>
        <v/>
      </c>
      <c r="O107" s="10">
        <f>'Price Book'!M107</f>
        <v/>
      </c>
      <c r="P107" s="10">
        <f>'Price Book'!N107</f>
        <v/>
      </c>
      <c r="Q107" s="11">
        <f>'Price Book'!O107</f>
        <v/>
      </c>
      <c r="R107" s="14">
        <f>IFERROR(I107/F107,"")</f>
        <v/>
      </c>
      <c r="S107" s="14">
        <f>IFERROR(J107/F107,"")</f>
        <v/>
      </c>
      <c r="T107" s="14">
        <f>IFERROR(K107/F107,"")</f>
        <v/>
      </c>
      <c r="U107" s="11">
        <f>'Price Book'!R107</f>
        <v/>
      </c>
      <c r="V107" s="8">
        <f>'Price Book'!AG107</f>
        <v/>
      </c>
    </row>
    <row r="108">
      <c r="A108" s="8">
        <f>'Price Book'!A108</f>
        <v/>
      </c>
      <c r="B108" s="8">
        <f>'Price Book'!B108</f>
        <v/>
      </c>
      <c r="C108" s="8">
        <f>'Price Book'!C108</f>
        <v/>
      </c>
      <c r="D108" s="8">
        <f>'Price Book'!D108</f>
        <v/>
      </c>
      <c r="E108" s="8">
        <f>'Price Book'!G108</f>
        <v/>
      </c>
      <c r="F108" s="10">
        <f>'Price Book'!I108</f>
        <v/>
      </c>
      <c r="G108" s="11">
        <f>'Price Book'!J108</f>
        <v/>
      </c>
      <c r="H108" s="10">
        <f>'Price Book'!K108</f>
        <v/>
      </c>
      <c r="I108" s="12">
        <f>IFERROR(H108*(1-L108),"")</f>
        <v/>
      </c>
      <c r="J108" s="12">
        <f>IFERROR(H108*(1-M108),"")</f>
        <v/>
      </c>
      <c r="K108" s="12">
        <f>IFERROR(H108*(1-N108),"")</f>
        <v/>
      </c>
      <c r="L108" s="14">
        <f>IF(D108="Start",'Partner Tiers'!$D$5,IF(D108="Pro",'Partner Tiers'!$E$5,IF(D108="Business",'Partner Tiers'!$F$5,IF(D108="Enterprise",'Partner Tiers'!$G$5,""))))</f>
        <v/>
      </c>
      <c r="M108" s="14">
        <f>IF(D108="Start",'Partner Tiers'!$D$6,IF(D108="Pro",'Partner Tiers'!$E$6,IF(D108="Business",'Partner Tiers'!$F$6,IF(D108="Enterprise",'Partner Tiers'!$G$6,""))))</f>
        <v/>
      </c>
      <c r="N108" s="14">
        <f>IF(D108="Start",'Partner Tiers'!$D$7,IF(D108="Pro",'Partner Tiers'!$E$7,IF(D108="Business",'Partner Tiers'!$F$7,IF(D108="Enterprise",'Partner Tiers'!$G$7,""))))</f>
        <v/>
      </c>
      <c r="O108" s="10">
        <f>'Price Book'!M108</f>
        <v/>
      </c>
      <c r="P108" s="10">
        <f>'Price Book'!N108</f>
        <v/>
      </c>
      <c r="Q108" s="11">
        <f>'Price Book'!O108</f>
        <v/>
      </c>
      <c r="R108" s="14">
        <f>IFERROR(I108/F108,"")</f>
        <v/>
      </c>
      <c r="S108" s="14">
        <f>IFERROR(J108/F108,"")</f>
        <v/>
      </c>
      <c r="T108" s="14">
        <f>IFERROR(K108/F108,"")</f>
        <v/>
      </c>
      <c r="U108" s="11">
        <f>'Price Book'!R108</f>
        <v/>
      </c>
      <c r="V108" s="8">
        <f>'Price Book'!AG108</f>
        <v/>
      </c>
    </row>
    <row r="109">
      <c r="A109" s="8">
        <f>'Price Book'!A109</f>
        <v/>
      </c>
      <c r="B109" s="8">
        <f>'Price Book'!B109</f>
        <v/>
      </c>
      <c r="C109" s="8">
        <f>'Price Book'!C109</f>
        <v/>
      </c>
      <c r="D109" s="8">
        <f>'Price Book'!D109</f>
        <v/>
      </c>
      <c r="E109" s="8">
        <f>'Price Book'!G109</f>
        <v/>
      </c>
      <c r="F109" s="10">
        <f>'Price Book'!I109</f>
        <v/>
      </c>
      <c r="G109" s="11">
        <f>'Price Book'!J109</f>
        <v/>
      </c>
      <c r="H109" s="10">
        <f>'Price Book'!K109</f>
        <v/>
      </c>
      <c r="I109" s="12">
        <f>IFERROR(H109*(1-L109),"")</f>
        <v/>
      </c>
      <c r="J109" s="12">
        <f>IFERROR(H109*(1-M109),"")</f>
        <v/>
      </c>
      <c r="K109" s="12">
        <f>IFERROR(H109*(1-N109),"")</f>
        <v/>
      </c>
      <c r="L109" s="14">
        <f>IF(D109="Start",'Partner Tiers'!$D$5,IF(D109="Pro",'Partner Tiers'!$E$5,IF(D109="Business",'Partner Tiers'!$F$5,IF(D109="Enterprise",'Partner Tiers'!$G$5,""))))</f>
        <v/>
      </c>
      <c r="M109" s="14">
        <f>IF(D109="Start",'Partner Tiers'!$D$6,IF(D109="Pro",'Partner Tiers'!$E$6,IF(D109="Business",'Partner Tiers'!$F$6,IF(D109="Enterprise",'Partner Tiers'!$G$6,""))))</f>
        <v/>
      </c>
      <c r="N109" s="14">
        <f>IF(D109="Start",'Partner Tiers'!$D$7,IF(D109="Pro",'Partner Tiers'!$E$7,IF(D109="Business",'Partner Tiers'!$F$7,IF(D109="Enterprise",'Partner Tiers'!$G$7,""))))</f>
        <v/>
      </c>
      <c r="O109" s="10">
        <f>'Price Book'!M109</f>
        <v/>
      </c>
      <c r="P109" s="10">
        <f>'Price Book'!N109</f>
        <v/>
      </c>
      <c r="Q109" s="11">
        <f>'Price Book'!O109</f>
        <v/>
      </c>
      <c r="R109" s="14">
        <f>IFERROR(I109/F109,"")</f>
        <v/>
      </c>
      <c r="S109" s="14">
        <f>IFERROR(J109/F109,"")</f>
        <v/>
      </c>
      <c r="T109" s="14">
        <f>IFERROR(K109/F109,"")</f>
        <v/>
      </c>
      <c r="U109" s="11">
        <f>'Price Book'!R109</f>
        <v/>
      </c>
      <c r="V109" s="8">
        <f>'Price Book'!AG109</f>
        <v/>
      </c>
    </row>
    <row r="110">
      <c r="A110" s="8">
        <f>'Price Book'!A110</f>
        <v/>
      </c>
      <c r="B110" s="8">
        <f>'Price Book'!B110</f>
        <v/>
      </c>
      <c r="C110" s="8">
        <f>'Price Book'!C110</f>
        <v/>
      </c>
      <c r="D110" s="8">
        <f>'Price Book'!D110</f>
        <v/>
      </c>
      <c r="E110" s="8">
        <f>'Price Book'!G110</f>
        <v/>
      </c>
      <c r="F110" s="10">
        <f>'Price Book'!I110</f>
        <v/>
      </c>
      <c r="G110" s="11">
        <f>'Price Book'!J110</f>
        <v/>
      </c>
      <c r="H110" s="10">
        <f>'Price Book'!K110</f>
        <v/>
      </c>
      <c r="I110" s="12">
        <f>IFERROR(H110*(1-L110),"")</f>
        <v/>
      </c>
      <c r="J110" s="12">
        <f>IFERROR(H110*(1-M110),"")</f>
        <v/>
      </c>
      <c r="K110" s="12">
        <f>IFERROR(H110*(1-N110),"")</f>
        <v/>
      </c>
      <c r="L110" s="14">
        <f>IF(D110="Start",'Partner Tiers'!$D$5,IF(D110="Pro",'Partner Tiers'!$E$5,IF(D110="Business",'Partner Tiers'!$F$5,IF(D110="Enterprise",'Partner Tiers'!$G$5,""))))</f>
        <v/>
      </c>
      <c r="M110" s="14">
        <f>IF(D110="Start",'Partner Tiers'!$D$6,IF(D110="Pro",'Partner Tiers'!$E$6,IF(D110="Business",'Partner Tiers'!$F$6,IF(D110="Enterprise",'Partner Tiers'!$G$6,""))))</f>
        <v/>
      </c>
      <c r="N110" s="14">
        <f>IF(D110="Start",'Partner Tiers'!$D$7,IF(D110="Pro",'Partner Tiers'!$E$7,IF(D110="Business",'Partner Tiers'!$F$7,IF(D110="Enterprise",'Partner Tiers'!$G$7,""))))</f>
        <v/>
      </c>
      <c r="O110" s="10">
        <f>'Price Book'!M110</f>
        <v/>
      </c>
      <c r="P110" s="10">
        <f>'Price Book'!N110</f>
        <v/>
      </c>
      <c r="Q110" s="11">
        <f>'Price Book'!O110</f>
        <v/>
      </c>
      <c r="R110" s="14">
        <f>IFERROR(I110/F110,"")</f>
        <v/>
      </c>
      <c r="S110" s="14">
        <f>IFERROR(J110/F110,"")</f>
        <v/>
      </c>
      <c r="T110" s="14">
        <f>IFERROR(K110/F110,"")</f>
        <v/>
      </c>
      <c r="U110" s="11">
        <f>'Price Book'!R110</f>
        <v/>
      </c>
      <c r="V110" s="8">
        <f>'Price Book'!AG110</f>
        <v/>
      </c>
    </row>
    <row r="111">
      <c r="A111" s="8">
        <f>'Price Book'!A111</f>
        <v/>
      </c>
      <c r="B111" s="8">
        <f>'Price Book'!B111</f>
        <v/>
      </c>
      <c r="C111" s="8">
        <f>'Price Book'!C111</f>
        <v/>
      </c>
      <c r="D111" s="8">
        <f>'Price Book'!D111</f>
        <v/>
      </c>
      <c r="E111" s="8">
        <f>'Price Book'!G111</f>
        <v/>
      </c>
      <c r="F111" s="10">
        <f>'Price Book'!I111</f>
        <v/>
      </c>
      <c r="G111" s="11">
        <f>'Price Book'!J111</f>
        <v/>
      </c>
      <c r="H111" s="10">
        <f>'Price Book'!K111</f>
        <v/>
      </c>
      <c r="I111" s="12">
        <f>IFERROR(H111*(1-L111),"")</f>
        <v/>
      </c>
      <c r="J111" s="12">
        <f>IFERROR(H111*(1-M111),"")</f>
        <v/>
      </c>
      <c r="K111" s="12">
        <f>IFERROR(H111*(1-N111),"")</f>
        <v/>
      </c>
      <c r="L111" s="14">
        <f>IF(D111="Start",'Partner Tiers'!$D$5,IF(D111="Pro",'Partner Tiers'!$E$5,IF(D111="Business",'Partner Tiers'!$F$5,IF(D111="Enterprise",'Partner Tiers'!$G$5,""))))</f>
        <v/>
      </c>
      <c r="M111" s="14">
        <f>IF(D111="Start",'Partner Tiers'!$D$6,IF(D111="Pro",'Partner Tiers'!$E$6,IF(D111="Business",'Partner Tiers'!$F$6,IF(D111="Enterprise",'Partner Tiers'!$G$6,""))))</f>
        <v/>
      </c>
      <c r="N111" s="14">
        <f>IF(D111="Start",'Partner Tiers'!$D$7,IF(D111="Pro",'Partner Tiers'!$E$7,IF(D111="Business",'Partner Tiers'!$F$7,IF(D111="Enterprise",'Partner Tiers'!$G$7,""))))</f>
        <v/>
      </c>
      <c r="O111" s="10">
        <f>'Price Book'!M111</f>
        <v/>
      </c>
      <c r="P111" s="10">
        <f>'Price Book'!N111</f>
        <v/>
      </c>
      <c r="Q111" s="11">
        <f>'Price Book'!O111</f>
        <v/>
      </c>
      <c r="R111" s="14">
        <f>IFERROR(I111/F111,"")</f>
        <v/>
      </c>
      <c r="S111" s="14">
        <f>IFERROR(J111/F111,"")</f>
        <v/>
      </c>
      <c r="T111" s="14">
        <f>IFERROR(K111/F111,"")</f>
        <v/>
      </c>
      <c r="U111" s="11">
        <f>'Price Book'!R111</f>
        <v/>
      </c>
      <c r="V111" s="8">
        <f>'Price Book'!AG111</f>
        <v/>
      </c>
    </row>
    <row r="112">
      <c r="A112" s="8">
        <f>'Price Book'!A112</f>
        <v/>
      </c>
      <c r="B112" s="8">
        <f>'Price Book'!B112</f>
        <v/>
      </c>
      <c r="C112" s="8">
        <f>'Price Book'!C112</f>
        <v/>
      </c>
      <c r="D112" s="8">
        <f>'Price Book'!D112</f>
        <v/>
      </c>
      <c r="E112" s="8">
        <f>'Price Book'!G112</f>
        <v/>
      </c>
      <c r="F112" s="10">
        <f>'Price Book'!I112</f>
        <v/>
      </c>
      <c r="G112" s="11">
        <f>'Price Book'!J112</f>
        <v/>
      </c>
      <c r="H112" s="10">
        <f>'Price Book'!K112</f>
        <v/>
      </c>
      <c r="I112" s="12">
        <f>IFERROR(H112*(1-L112),"")</f>
        <v/>
      </c>
      <c r="J112" s="12">
        <f>IFERROR(H112*(1-M112),"")</f>
        <v/>
      </c>
      <c r="K112" s="12">
        <f>IFERROR(H112*(1-N112),"")</f>
        <v/>
      </c>
      <c r="L112" s="14">
        <f>IF(D112="Start",'Partner Tiers'!$D$5,IF(D112="Pro",'Partner Tiers'!$E$5,IF(D112="Business",'Partner Tiers'!$F$5,IF(D112="Enterprise",'Partner Tiers'!$G$5,""))))</f>
        <v/>
      </c>
      <c r="M112" s="14">
        <f>IF(D112="Start",'Partner Tiers'!$D$6,IF(D112="Pro",'Partner Tiers'!$E$6,IF(D112="Business",'Partner Tiers'!$F$6,IF(D112="Enterprise",'Partner Tiers'!$G$6,""))))</f>
        <v/>
      </c>
      <c r="N112" s="14">
        <f>IF(D112="Start",'Partner Tiers'!$D$7,IF(D112="Pro",'Partner Tiers'!$E$7,IF(D112="Business",'Partner Tiers'!$F$7,IF(D112="Enterprise",'Partner Tiers'!$G$7,""))))</f>
        <v/>
      </c>
      <c r="O112" s="10">
        <f>'Price Book'!M112</f>
        <v/>
      </c>
      <c r="P112" s="10">
        <f>'Price Book'!N112</f>
        <v/>
      </c>
      <c r="Q112" s="11">
        <f>'Price Book'!O112</f>
        <v/>
      </c>
      <c r="R112" s="14">
        <f>IFERROR(I112/F112,"")</f>
        <v/>
      </c>
      <c r="S112" s="14">
        <f>IFERROR(J112/F112,"")</f>
        <v/>
      </c>
      <c r="T112" s="14">
        <f>IFERROR(K112/F112,"")</f>
        <v/>
      </c>
      <c r="U112" s="11">
        <f>'Price Book'!R112</f>
        <v/>
      </c>
      <c r="V112" s="8">
        <f>'Price Book'!AG112</f>
        <v/>
      </c>
    </row>
    <row r="113">
      <c r="A113" s="8">
        <f>'Price Book'!A113</f>
        <v/>
      </c>
      <c r="B113" s="8">
        <f>'Price Book'!B113</f>
        <v/>
      </c>
      <c r="C113" s="8">
        <f>'Price Book'!C113</f>
        <v/>
      </c>
      <c r="D113" s="8">
        <f>'Price Book'!D113</f>
        <v/>
      </c>
      <c r="E113" s="8">
        <f>'Price Book'!G113</f>
        <v/>
      </c>
      <c r="F113" s="10">
        <f>'Price Book'!I113</f>
        <v/>
      </c>
      <c r="G113" s="11">
        <f>'Price Book'!J113</f>
        <v/>
      </c>
      <c r="H113" s="10">
        <f>'Price Book'!K113</f>
        <v/>
      </c>
      <c r="I113" s="12">
        <f>IFERROR(H113*(1-L113),"")</f>
        <v/>
      </c>
      <c r="J113" s="12">
        <f>IFERROR(H113*(1-M113),"")</f>
        <v/>
      </c>
      <c r="K113" s="12">
        <f>IFERROR(H113*(1-N113),"")</f>
        <v/>
      </c>
      <c r="L113" s="14">
        <f>IF(D113="Start",'Partner Tiers'!$D$5,IF(D113="Pro",'Partner Tiers'!$E$5,IF(D113="Business",'Partner Tiers'!$F$5,IF(D113="Enterprise",'Partner Tiers'!$G$5,""))))</f>
        <v/>
      </c>
      <c r="M113" s="14">
        <f>IF(D113="Start",'Partner Tiers'!$D$6,IF(D113="Pro",'Partner Tiers'!$E$6,IF(D113="Business",'Partner Tiers'!$F$6,IF(D113="Enterprise",'Partner Tiers'!$G$6,""))))</f>
        <v/>
      </c>
      <c r="N113" s="14">
        <f>IF(D113="Start",'Partner Tiers'!$D$7,IF(D113="Pro",'Partner Tiers'!$E$7,IF(D113="Business",'Partner Tiers'!$F$7,IF(D113="Enterprise",'Partner Tiers'!$G$7,""))))</f>
        <v/>
      </c>
      <c r="O113" s="10">
        <f>'Price Book'!M113</f>
        <v/>
      </c>
      <c r="P113" s="10">
        <f>'Price Book'!N113</f>
        <v/>
      </c>
      <c r="Q113" s="11">
        <f>'Price Book'!O113</f>
        <v/>
      </c>
      <c r="R113" s="14">
        <f>IFERROR(I113/F113,"")</f>
        <v/>
      </c>
      <c r="S113" s="14">
        <f>IFERROR(J113/F113,"")</f>
        <v/>
      </c>
      <c r="T113" s="14">
        <f>IFERROR(K113/F113,"")</f>
        <v/>
      </c>
      <c r="U113" s="11">
        <f>'Price Book'!R113</f>
        <v/>
      </c>
      <c r="V113" s="8">
        <f>'Price Book'!AG113</f>
        <v/>
      </c>
    </row>
    <row r="114">
      <c r="A114" s="8">
        <f>'Price Book'!A114</f>
        <v/>
      </c>
      <c r="B114" s="8">
        <f>'Price Book'!B114</f>
        <v/>
      </c>
      <c r="C114" s="8">
        <f>'Price Book'!C114</f>
        <v/>
      </c>
      <c r="D114" s="8">
        <f>'Price Book'!D114</f>
        <v/>
      </c>
      <c r="E114" s="8">
        <f>'Price Book'!G114</f>
        <v/>
      </c>
      <c r="F114" s="10">
        <f>'Price Book'!I114</f>
        <v/>
      </c>
      <c r="G114" s="11">
        <f>'Price Book'!J114</f>
        <v/>
      </c>
      <c r="H114" s="10">
        <f>'Price Book'!K114</f>
        <v/>
      </c>
      <c r="I114" s="12">
        <f>IFERROR(H114*(1-L114),"")</f>
        <v/>
      </c>
      <c r="J114" s="12">
        <f>IFERROR(H114*(1-M114),"")</f>
        <v/>
      </c>
      <c r="K114" s="12">
        <f>IFERROR(H114*(1-N114),"")</f>
        <v/>
      </c>
      <c r="L114" s="14">
        <f>IF(D114="Start",'Partner Tiers'!$D$5,IF(D114="Pro",'Partner Tiers'!$E$5,IF(D114="Business",'Partner Tiers'!$F$5,IF(D114="Enterprise",'Partner Tiers'!$G$5,""))))</f>
        <v/>
      </c>
      <c r="M114" s="14">
        <f>IF(D114="Start",'Partner Tiers'!$D$6,IF(D114="Pro",'Partner Tiers'!$E$6,IF(D114="Business",'Partner Tiers'!$F$6,IF(D114="Enterprise",'Partner Tiers'!$G$6,""))))</f>
        <v/>
      </c>
      <c r="N114" s="14">
        <f>IF(D114="Start",'Partner Tiers'!$D$7,IF(D114="Pro",'Partner Tiers'!$E$7,IF(D114="Business",'Partner Tiers'!$F$7,IF(D114="Enterprise",'Partner Tiers'!$G$7,""))))</f>
        <v/>
      </c>
      <c r="O114" s="10">
        <f>'Price Book'!M114</f>
        <v/>
      </c>
      <c r="P114" s="10">
        <f>'Price Book'!N114</f>
        <v/>
      </c>
      <c r="Q114" s="11">
        <f>'Price Book'!O114</f>
        <v/>
      </c>
      <c r="R114" s="14">
        <f>IFERROR(I114/F114,"")</f>
        <v/>
      </c>
      <c r="S114" s="14">
        <f>IFERROR(J114/F114,"")</f>
        <v/>
      </c>
      <c r="T114" s="14">
        <f>IFERROR(K114/F114,"")</f>
        <v/>
      </c>
      <c r="U114" s="11">
        <f>'Price Book'!R114</f>
        <v/>
      </c>
      <c r="V114" s="8">
        <f>'Price Book'!AG114</f>
        <v/>
      </c>
    </row>
  </sheetData>
  <autoFilter ref="A4:V114"/>
  <mergeCells count="2">
    <mergeCell ref="A2:V2"/>
    <mergeCell ref="A1:V1"/>
  </mergeCells>
  <pageMargins left="0.2" right="0.2" top="0.35" bottom="0.35" header="0.5" footer="0.5"/>
  <pageSetup orientation="landscape" paperSize="8" fitToHeight="1" fitToWidth="2"/>
  <tableParts count="1">
    <tablePart xmlns:r="http://schemas.openxmlformats.org/officeDocument/2006/relationships" r:id="rId1"/>
  </tableParts>
</worksheet>
</file>

<file path=xl/worksheets/sheet9.xml><?xml version="1.0" encoding="utf-8"?>
<worksheet xmlns="http://schemas.openxmlformats.org/spreadsheetml/2006/main">
  <sheetPr>
    <tabColor rgb="007000FF"/>
    <outlinePr summaryBelow="1" summaryRight="1"/>
    <pageSetUpPr fitToPage="1"/>
  </sheetPr>
  <dimension ref="A1:H9"/>
  <sheetViews>
    <sheetView showGridLines="0" workbookViewId="0">
      <pane ySplit="4" topLeftCell="A5" activePane="bottomLeft" state="frozen"/>
      <selection pane="bottomLeft" activeCell="A1" sqref="A1"/>
    </sheetView>
  </sheetViews>
  <sheetFormatPr baseColWidth="8" defaultRowHeight="15"/>
  <cols>
    <col width="45" customWidth="1" min="1" max="1"/>
    <col width="22" customWidth="1" min="2" max="2"/>
    <col width="28" customWidth="1" min="3" max="3"/>
    <col width="20" customWidth="1" min="4" max="4"/>
    <col width="28" customWidth="1" min="5" max="5"/>
    <col width="26" customWidth="1" min="6" max="6"/>
    <col width="23" customWidth="1" min="7" max="7"/>
    <col width="45" customWidth="1" min="8" max="8"/>
  </cols>
  <sheetData>
    <row r="1" ht="34" customHeight="1">
      <c r="A1" s="1" t="inlineStr">
        <is>
          <t>Discount Approval Matrix</t>
        </is>
      </c>
    </row>
    <row r="2" ht="32" customHeight="1">
      <c r="A2" s="2" t="inlineStr">
        <is>
          <t>Customer discount governance aligned to the Special Pricing Matrix.</t>
        </is>
      </c>
    </row>
    <row r="3"/>
    <row r="4" ht="34" customHeight="1">
      <c r="A4" s="6" t="inlineStr">
        <is>
          <t>Discount Range</t>
        </is>
      </c>
      <c r="B4" s="6" t="inlineStr">
        <is>
          <t>Approval Required</t>
        </is>
      </c>
      <c r="C4" s="6" t="inlineStr">
        <is>
          <t>Applies To</t>
        </is>
      </c>
      <c r="D4" s="6" t="inlineStr">
        <is>
          <t>Partner Discretion</t>
        </is>
      </c>
      <c r="E4" s="6" t="inlineStr">
        <is>
          <t>Deal Registration Required</t>
        </is>
      </c>
      <c r="F4" s="6" t="inlineStr">
        <is>
          <t>Special Pricing Required</t>
        </is>
      </c>
      <c r="G4" s="6" t="inlineStr">
        <is>
          <t>CSO Approval Required</t>
        </is>
      </c>
      <c r="H4" s="6" t="inlineStr">
        <is>
          <t>Notes</t>
        </is>
      </c>
    </row>
    <row r="5">
      <c r="A5" s="5" t="inlineStr">
        <is>
          <t>0–10%</t>
        </is>
      </c>
      <c r="B5" s="5" t="inlineStr">
        <is>
          <t>Automatic</t>
        </is>
      </c>
      <c r="C5" s="5" t="inlineStr">
        <is>
          <t>All standard partner deals</t>
        </is>
      </c>
      <c r="D5" s="5" t="inlineStr">
        <is>
          <t>Yes</t>
        </is>
      </c>
      <c r="E5" s="5" t="inlineStr">
        <is>
          <t>No</t>
        </is>
      </c>
      <c r="F5" s="5" t="inlineStr">
        <is>
          <t>No</t>
        </is>
      </c>
      <c r="G5" s="5" t="inlineStr">
        <is>
          <t>No</t>
        </is>
      </c>
      <c r="H5" s="5" t="inlineStr">
        <is>
          <t>Standard authority.</t>
        </is>
      </c>
    </row>
    <row r="6">
      <c r="A6" s="5" t="inlineStr">
        <is>
          <t>&gt;10–20%</t>
        </is>
      </c>
      <c r="B6" s="5" t="inlineStr">
        <is>
          <t>Reported and tracked</t>
        </is>
      </c>
      <c r="C6" s="5" t="inlineStr">
        <is>
          <t>All plans</t>
        </is>
      </c>
      <c r="D6" s="5" t="inlineStr">
        <is>
          <t>Yes</t>
        </is>
      </c>
      <c r="E6" s="5" t="inlineStr">
        <is>
          <t>Recommended</t>
        </is>
      </c>
      <c r="F6" s="5" t="inlineStr">
        <is>
          <t>No</t>
        </is>
      </c>
      <c r="G6" s="5" t="inlineStr">
        <is>
          <t>No</t>
        </is>
      </c>
      <c r="H6" s="5" t="inlineStr">
        <is>
          <t>Monitor realization.</t>
        </is>
      </c>
    </row>
    <row r="7">
      <c r="A7" s="5" t="inlineStr">
        <is>
          <t>&gt;20–35%</t>
        </is>
      </c>
      <c r="B7" s="5" t="inlineStr">
        <is>
          <t>Sales leadership</t>
        </is>
      </c>
      <c r="C7" s="5" t="inlineStr">
        <is>
          <t>Standard program</t>
        </is>
      </c>
      <c r="D7" s="5" t="inlineStr">
        <is>
          <t>No</t>
        </is>
      </c>
      <c r="E7" s="5" t="inlineStr">
        <is>
          <t>Yes</t>
        </is>
      </c>
      <c r="F7" s="5" t="inlineStr">
        <is>
          <t>Yes</t>
        </is>
      </c>
      <c r="G7" s="5" t="inlineStr">
        <is>
          <t>No</t>
        </is>
      </c>
      <c r="H7" s="5" t="inlineStr">
        <is>
          <t>Special pricing required.</t>
        </is>
      </c>
    </row>
    <row r="8">
      <c r="A8" s="5" t="inlineStr">
        <is>
          <t>&gt;35–50%</t>
        </is>
      </c>
      <c r="B8" s="5" t="inlineStr">
        <is>
          <t>CSO</t>
        </is>
      </c>
      <c r="C8" s="5" t="inlineStr">
        <is>
          <t>Strategic exceptions</t>
        </is>
      </c>
      <c r="D8" s="5" t="inlineStr">
        <is>
          <t>No</t>
        </is>
      </c>
      <c r="E8" s="5" t="inlineStr">
        <is>
          <t>Yes</t>
        </is>
      </c>
      <c r="F8" s="5" t="inlineStr">
        <is>
          <t>Yes</t>
        </is>
      </c>
      <c r="G8" s="5" t="inlineStr">
        <is>
          <t>Yes</t>
        </is>
      </c>
      <c r="H8" s="5" t="inlineStr">
        <is>
          <t>Exceptional only.</t>
        </is>
      </c>
    </row>
    <row r="9">
      <c r="A9" s="5" t="inlineStr">
        <is>
          <t>&gt;50%</t>
        </is>
      </c>
      <c r="B9" s="5" t="inlineStr">
        <is>
          <t>CEO or prohibited</t>
        </is>
      </c>
      <c r="C9" s="5" t="inlineStr">
        <is>
          <t>Outside standard program</t>
        </is>
      </c>
      <c r="D9" s="5" t="inlineStr">
        <is>
          <t>No</t>
        </is>
      </c>
      <c r="E9" s="5" t="inlineStr">
        <is>
          <t>Yes</t>
        </is>
      </c>
      <c r="F9" s="5" t="inlineStr">
        <is>
          <t>Exceptional only</t>
        </is>
      </c>
      <c r="G9" s="5" t="inlineStr">
        <is>
          <t>Yes</t>
        </is>
      </c>
      <c r="H9" s="5" t="inlineStr">
        <is>
          <t>Escalate before commitment.</t>
        </is>
      </c>
    </row>
  </sheetData>
  <autoFilter ref="A4:H9"/>
  <mergeCells count="2">
    <mergeCell ref="A2:H2"/>
    <mergeCell ref="A1:H1"/>
  </mergeCells>
  <pageMargins left="0.2" right="0.2" top="0.35" bottom="0.35" header="0.5" footer="0.5"/>
  <pageSetup orientation="landscape" fitToHeight="1" fitToWidth="1"/>
  <tableParts count="1">
    <tablePart xmlns:r="http://schemas.openxmlformats.org/officeDocument/2006/relationships" r:id="rId1"/>
  </tableParts>
</worksheet>
</file>

<file path=xl/worksheets/sheet10.xml><?xml version="1.0" encoding="utf-8"?>
<worksheet xmlns="http://schemas.openxmlformats.org/spreadsheetml/2006/main">
  <sheetPr>
    <tabColor rgb="003D3D3D"/>
    <outlinePr summaryBelow="1" summaryRight="1"/>
    <pageSetUpPr fitToPage="1"/>
  </sheetPr>
  <dimension ref="A1:I6"/>
  <sheetViews>
    <sheetView showGridLines="0" workbookViewId="0">
      <pane ySplit="4" topLeftCell="A5" activePane="bottomLeft" state="frozen"/>
      <selection pane="bottomLeft" activeCell="A1" sqref="A1"/>
    </sheetView>
  </sheetViews>
  <sheetFormatPr baseColWidth="8" defaultRowHeight="15"/>
  <cols>
    <col width="39" customWidth="1" min="1" max="1"/>
    <col width="10" customWidth="1" min="2" max="2"/>
    <col width="16" customWidth="1" min="3" max="3"/>
    <col width="14" customWidth="1" min="4" max="4"/>
    <col width="23" customWidth="1" min="5" max="5"/>
    <col width="13" customWidth="1" min="6" max="6"/>
    <col width="15" customWidth="1" min="7" max="7"/>
    <col width="45" customWidth="1" min="8" max="8"/>
    <col width="40" customWidth="1" min="9" max="9"/>
  </cols>
  <sheetData>
    <row r="1" ht="34" customHeight="1">
      <c r="A1" s="1" t="inlineStr">
        <is>
          <t>Price Book History</t>
        </is>
      </c>
    </row>
    <row r="2" ht="32" customHeight="1">
      <c r="A2" s="2" t="inlineStr">
        <is>
          <t>Version control and approval history.</t>
        </is>
      </c>
    </row>
    <row r="3"/>
    <row r="4" ht="34" customHeight="1">
      <c r="A4" s="6" t="inlineStr">
        <is>
          <t>Version</t>
        </is>
      </c>
      <c r="B4" s="6" t="inlineStr">
        <is>
          <t>Status</t>
        </is>
      </c>
      <c r="C4" s="6" t="inlineStr">
        <is>
          <t>Effective From</t>
        </is>
      </c>
      <c r="D4" s="6" t="inlineStr">
        <is>
          <t>Effective To</t>
        </is>
      </c>
      <c r="E4" s="6" t="inlineStr">
        <is>
          <t>Created By</t>
        </is>
      </c>
      <c r="F4" s="6" t="inlineStr">
        <is>
          <t>Approved By</t>
        </is>
      </c>
      <c r="G4" s="6" t="inlineStr">
        <is>
          <t>Approval Date</t>
        </is>
      </c>
      <c r="H4" s="6" t="inlineStr">
        <is>
          <t>Summary of Changes</t>
        </is>
      </c>
      <c r="I4" s="6" t="inlineStr">
        <is>
          <t>Notes</t>
        </is>
      </c>
    </row>
    <row r="5">
      <c r="A5" s="5" t="inlineStr">
        <is>
          <t>FY2027-Q1</t>
        </is>
      </c>
      <c r="B5" s="17" t="inlineStr">
        <is>
          <t>Draft</t>
        </is>
      </c>
      <c r="C5" s="16" t="n">
        <v>46388</v>
      </c>
      <c r="D5" s="16" t="n">
        <v>46477</v>
      </c>
      <c r="E5" s="8" t="inlineStr">
        <is>
          <t>Commercial Operations</t>
        </is>
      </c>
      <c r="F5" s="17" t="inlineStr"/>
      <c r="G5" s="18" t="inlineStr"/>
      <c r="H5" s="8" t="inlineStr">
        <is>
          <t>Initial Commercial Pricing Engine workbook.</t>
        </is>
      </c>
      <c r="I5" s="8" t="inlineStr">
        <is>
          <t>Pending commercial approval.</t>
        </is>
      </c>
    </row>
    <row r="6">
      <c r="A6" s="5" t="inlineStr">
        <is>
          <t>FY2027-Q2</t>
        </is>
      </c>
      <c r="B6" s="17" t="inlineStr">
        <is>
          <t>Planned</t>
        </is>
      </c>
      <c r="C6" s="16" t="n">
        <v>46478</v>
      </c>
      <c r="D6" s="16" t="n">
        <v>46568</v>
      </c>
      <c r="E6" s="8" t="inlineStr">
        <is>
          <t>Commercial Operations</t>
        </is>
      </c>
      <c r="F6" s="17" t="inlineStr"/>
      <c r="G6" s="18" t="inlineStr"/>
      <c r="H6" s="8" t="inlineStr">
        <is>
          <t>Planned quarterly refresh.</t>
        </is>
      </c>
      <c r="I6" s="8" t="inlineStr">
        <is>
          <t>Not started.</t>
        </is>
      </c>
    </row>
  </sheetData>
  <autoFilter ref="A4:I6"/>
  <mergeCells count="2">
    <mergeCell ref="A1:I1"/>
    <mergeCell ref="A2:I2"/>
  </mergeCells>
  <pageMargins left="0.2" right="0.2" top="0.35" bottom="0.35" header="0.5" footer="0.5"/>
  <pageSetup orientation="landscape" fitToHeight="1" fitToWidth="1"/>
  <tableParts count="1">
    <tablePart xmlns:r="http://schemas.openxmlformats.org/officeDocument/2006/relationships" r:id="rId1"/>
  </tableParts>
</worksheet>
</file>

<file path=xl/worksheets/sheet11.xml><?xml version="1.0" encoding="utf-8"?>
<worksheet xmlns="http://schemas.openxmlformats.org/spreadsheetml/2006/main">
  <sheetPr>
    <tabColor rgb="007000FF"/>
    <outlinePr summaryBelow="1" summaryRight="1"/>
    <pageSetUpPr fitToPage="1"/>
  </sheetPr>
  <dimension ref="A1:O121"/>
  <sheetViews>
    <sheetView showGridLines="0" workbookViewId="0">
      <pane ySplit="11" topLeftCell="A12" activePane="bottomLeft" state="frozen"/>
      <selection pane="bottomLeft" activeCell="A1" sqref="A1"/>
    </sheetView>
  </sheetViews>
  <sheetFormatPr baseColWidth="8" defaultRowHeight="15"/>
  <cols>
    <col width="38" customWidth="1" min="1" max="1"/>
    <col width="28" customWidth="1" min="2" max="2"/>
    <col width="31" customWidth="1" min="3" max="3"/>
    <col width="20" customWidth="1" min="4" max="4"/>
    <col width="20" customWidth="1" min="5" max="5"/>
    <col width="20" customWidth="1" min="6" max="6"/>
    <col width="28" customWidth="1" min="7" max="7"/>
    <col width="24" customWidth="1" min="8" max="8"/>
    <col width="28" customWidth="1" min="9" max="9"/>
    <col width="28" customWidth="1" min="10" max="10"/>
    <col width="19" customWidth="1" min="11" max="11"/>
    <col width="24" customWidth="1" min="12" max="12"/>
    <col width="25" customWidth="1" min="13" max="13"/>
    <col width="27" customWidth="1" min="14" max="14"/>
    <col width="42" customWidth="1" min="15" max="15"/>
  </cols>
  <sheetData>
    <row r="1" ht="34" customHeight="1">
      <c r="A1" s="1" t="inlineStr">
        <is>
          <t>Circularo Price Realization</t>
        </is>
      </c>
    </row>
    <row r="2" ht="32" customHeight="1">
      <c r="A2" s="2" t="inlineStr">
        <is>
          <t>Finance KPI: Partner Buy Price ÷ MSRP. Portfolio KPIs are value-weighted, never simple averages.</t>
        </is>
      </c>
    </row>
    <row r="3"/>
    <row r="4"/>
    <row r="5">
      <c r="A5" s="20" t="inlineStr">
        <is>
          <t>Total MSRP Value</t>
        </is>
      </c>
      <c r="B5" s="21">
        <f>SUM(L12:L121)</f>
        <v/>
      </c>
    </row>
    <row r="6">
      <c r="A6" s="20" t="inlineStr">
        <is>
          <t>Total Standard Partner Buy Price Value</t>
        </is>
      </c>
      <c r="B6" s="21">
        <f>SUM(M12:M121)</f>
        <v/>
      </c>
    </row>
    <row r="7">
      <c r="A7" s="20" t="inlineStr">
        <is>
          <t>Weighted Standard Circularo Price Realization</t>
        </is>
      </c>
      <c r="B7" s="22">
        <f>IFERROR(B6/B5,"")</f>
        <v/>
      </c>
    </row>
    <row r="8">
      <c r="A8" s="20" t="inlineStr">
        <is>
          <t>Total Commercial Floor Value</t>
        </is>
      </c>
      <c r="B8" s="21">
        <f>IF(COUNT(N12:N121)=0,"",SUM(N12:N121))</f>
        <v/>
      </c>
    </row>
    <row r="9">
      <c r="A9" s="20" t="inlineStr">
        <is>
          <t>Weighted Floor Circularo Price Realization</t>
        </is>
      </c>
      <c r="B9" s="22">
        <f>IFERROR(B8/B5,"")</f>
        <v/>
      </c>
    </row>
    <row r="10"/>
    <row r="11" ht="34" customHeight="1">
      <c r="A11" s="6" t="inlineStr">
        <is>
          <t>Price Book Version</t>
        </is>
      </c>
      <c r="B11" s="6" t="inlineStr">
        <is>
          <t>SKU</t>
        </is>
      </c>
      <c r="C11" s="6" t="inlineStr">
        <is>
          <t>Product</t>
        </is>
      </c>
      <c r="D11" s="6" t="inlineStr">
        <is>
          <t>Plan</t>
        </is>
      </c>
      <c r="E11" s="6" t="inlineStr">
        <is>
          <t>Price Basis</t>
        </is>
      </c>
      <c r="F11" s="6" t="inlineStr">
        <is>
          <t>MSRP</t>
        </is>
      </c>
      <c r="G11" s="6" t="inlineStr">
        <is>
          <t>Standard Partner Buy Price</t>
        </is>
      </c>
      <c r="H11" s="6" t="inlineStr">
        <is>
          <t>Commercial Floor Price</t>
        </is>
      </c>
      <c r="I11" s="6" t="inlineStr">
        <is>
          <t>Standard Circularo Price Realization</t>
        </is>
      </c>
      <c r="J11" s="6" t="inlineStr">
        <is>
          <t>Floor Circularo Price Realization</t>
        </is>
      </c>
      <c r="K11" s="6" t="inlineStr">
        <is>
          <t>Quantity / Volume</t>
        </is>
      </c>
      <c r="L11" s="6" t="inlineStr">
        <is>
          <t>MSRP Value</t>
        </is>
      </c>
      <c r="M11" s="6" t="inlineStr">
        <is>
          <t>Partner Buy Price Value</t>
        </is>
      </c>
      <c r="N11" s="6" t="inlineStr">
        <is>
          <t>Commercial Floor Value</t>
        </is>
      </c>
      <c r="O11" s="6" t="inlineStr">
        <is>
          <t>Notes</t>
        </is>
      </c>
    </row>
    <row r="12">
      <c r="A12" s="8">
        <f>'Price Book'!A5</f>
        <v/>
      </c>
      <c r="B12" s="8">
        <f>'Price Book'!B5</f>
        <v/>
      </c>
      <c r="C12" s="8">
        <f>'Price Book'!C5</f>
        <v/>
      </c>
      <c r="D12" s="8">
        <f>'Price Book'!D5</f>
        <v/>
      </c>
      <c r="E12" s="8">
        <f>'Price Book'!G5</f>
        <v/>
      </c>
      <c r="F12" s="10">
        <f>'Price Book'!I5</f>
        <v/>
      </c>
      <c r="G12" s="10">
        <f>'Price Book'!L5</f>
        <v/>
      </c>
      <c r="H12" s="10">
        <f>'Price Book'!M5</f>
        <v/>
      </c>
      <c r="I12" s="11">
        <f>'Price Book'!Q5</f>
        <v/>
      </c>
      <c r="J12" s="11">
        <f>'Price Book'!R5</f>
        <v/>
      </c>
      <c r="K12" s="9" t="n">
        <v>1</v>
      </c>
      <c r="L12" s="12">
        <f>IFERROR(F12*K12,"")</f>
        <v/>
      </c>
      <c r="M12" s="12">
        <f>IFERROR(G12*K12,"")</f>
        <v/>
      </c>
      <c r="N12" s="12">
        <f>IF(H12="","",H12*K12)</f>
        <v/>
      </c>
      <c r="O12" s="8">
        <f>'Price Book'!AG5</f>
        <v/>
      </c>
    </row>
    <row r="13">
      <c r="A13" s="8">
        <f>'Price Book'!A6</f>
        <v/>
      </c>
      <c r="B13" s="8">
        <f>'Price Book'!B6</f>
        <v/>
      </c>
      <c r="C13" s="8">
        <f>'Price Book'!C6</f>
        <v/>
      </c>
      <c r="D13" s="8">
        <f>'Price Book'!D6</f>
        <v/>
      </c>
      <c r="E13" s="8">
        <f>'Price Book'!G6</f>
        <v/>
      </c>
      <c r="F13" s="10">
        <f>'Price Book'!I6</f>
        <v/>
      </c>
      <c r="G13" s="10">
        <f>'Price Book'!L6</f>
        <v/>
      </c>
      <c r="H13" s="10">
        <f>'Price Book'!M6</f>
        <v/>
      </c>
      <c r="I13" s="11">
        <f>'Price Book'!Q6</f>
        <v/>
      </c>
      <c r="J13" s="11">
        <f>'Price Book'!R6</f>
        <v/>
      </c>
      <c r="K13" s="9" t="n">
        <v>1</v>
      </c>
      <c r="L13" s="12">
        <f>IFERROR(F13*K13,"")</f>
        <v/>
      </c>
      <c r="M13" s="12">
        <f>IFERROR(G13*K13,"")</f>
        <v/>
      </c>
      <c r="N13" s="12">
        <f>IF(H13="","",H13*K13)</f>
        <v/>
      </c>
      <c r="O13" s="8">
        <f>'Price Book'!AG6</f>
        <v/>
      </c>
    </row>
    <row r="14">
      <c r="A14" s="8">
        <f>'Price Book'!A7</f>
        <v/>
      </c>
      <c r="B14" s="8">
        <f>'Price Book'!B7</f>
        <v/>
      </c>
      <c r="C14" s="8">
        <f>'Price Book'!C7</f>
        <v/>
      </c>
      <c r="D14" s="8">
        <f>'Price Book'!D7</f>
        <v/>
      </c>
      <c r="E14" s="8">
        <f>'Price Book'!G7</f>
        <v/>
      </c>
      <c r="F14" s="10">
        <f>'Price Book'!I7</f>
        <v/>
      </c>
      <c r="G14" s="10">
        <f>'Price Book'!L7</f>
        <v/>
      </c>
      <c r="H14" s="10">
        <f>'Price Book'!M7</f>
        <v/>
      </c>
      <c r="I14" s="11">
        <f>'Price Book'!Q7</f>
        <v/>
      </c>
      <c r="J14" s="11">
        <f>'Price Book'!R7</f>
        <v/>
      </c>
      <c r="K14" s="9" t="n">
        <v>1</v>
      </c>
      <c r="L14" s="12">
        <f>IFERROR(F14*K14,"")</f>
        <v/>
      </c>
      <c r="M14" s="12">
        <f>IFERROR(G14*K14,"")</f>
        <v/>
      </c>
      <c r="N14" s="12">
        <f>IF(H14="","",H14*K14)</f>
        <v/>
      </c>
      <c r="O14" s="8">
        <f>'Price Book'!AG7</f>
        <v/>
      </c>
    </row>
    <row r="15">
      <c r="A15" s="8">
        <f>'Price Book'!A8</f>
        <v/>
      </c>
      <c r="B15" s="8">
        <f>'Price Book'!B8</f>
        <v/>
      </c>
      <c r="C15" s="8">
        <f>'Price Book'!C8</f>
        <v/>
      </c>
      <c r="D15" s="8">
        <f>'Price Book'!D8</f>
        <v/>
      </c>
      <c r="E15" s="8">
        <f>'Price Book'!G8</f>
        <v/>
      </c>
      <c r="F15" s="10">
        <f>'Price Book'!I8</f>
        <v/>
      </c>
      <c r="G15" s="10">
        <f>'Price Book'!L8</f>
        <v/>
      </c>
      <c r="H15" s="10">
        <f>'Price Book'!M8</f>
        <v/>
      </c>
      <c r="I15" s="11">
        <f>'Price Book'!Q8</f>
        <v/>
      </c>
      <c r="J15" s="11">
        <f>'Price Book'!R8</f>
        <v/>
      </c>
      <c r="K15" s="9" t="n">
        <v>1</v>
      </c>
      <c r="L15" s="12">
        <f>IFERROR(F15*K15,"")</f>
        <v/>
      </c>
      <c r="M15" s="12">
        <f>IFERROR(G15*K15,"")</f>
        <v/>
      </c>
      <c r="N15" s="12">
        <f>IF(H15="","",H15*K15)</f>
        <v/>
      </c>
      <c r="O15" s="8">
        <f>'Price Book'!AG8</f>
        <v/>
      </c>
    </row>
    <row r="16">
      <c r="A16" s="8">
        <f>'Price Book'!A9</f>
        <v/>
      </c>
      <c r="B16" s="8">
        <f>'Price Book'!B9</f>
        <v/>
      </c>
      <c r="C16" s="8">
        <f>'Price Book'!C9</f>
        <v/>
      </c>
      <c r="D16" s="8">
        <f>'Price Book'!D9</f>
        <v/>
      </c>
      <c r="E16" s="8">
        <f>'Price Book'!G9</f>
        <v/>
      </c>
      <c r="F16" s="10">
        <f>'Price Book'!I9</f>
        <v/>
      </c>
      <c r="G16" s="10">
        <f>'Price Book'!L9</f>
        <v/>
      </c>
      <c r="H16" s="10">
        <f>'Price Book'!M9</f>
        <v/>
      </c>
      <c r="I16" s="11">
        <f>'Price Book'!Q9</f>
        <v/>
      </c>
      <c r="J16" s="11">
        <f>'Price Book'!R9</f>
        <v/>
      </c>
      <c r="K16" s="9" t="n">
        <v>1</v>
      </c>
      <c r="L16" s="12">
        <f>IFERROR(F16*K16,"")</f>
        <v/>
      </c>
      <c r="M16" s="12">
        <f>IFERROR(G16*K16,"")</f>
        <v/>
      </c>
      <c r="N16" s="12">
        <f>IF(H16="","",H16*K16)</f>
        <v/>
      </c>
      <c r="O16" s="8">
        <f>'Price Book'!AG9</f>
        <v/>
      </c>
    </row>
    <row r="17">
      <c r="A17" s="8">
        <f>'Price Book'!A10</f>
        <v/>
      </c>
      <c r="B17" s="8">
        <f>'Price Book'!B10</f>
        <v/>
      </c>
      <c r="C17" s="8">
        <f>'Price Book'!C10</f>
        <v/>
      </c>
      <c r="D17" s="8">
        <f>'Price Book'!D10</f>
        <v/>
      </c>
      <c r="E17" s="8">
        <f>'Price Book'!G10</f>
        <v/>
      </c>
      <c r="F17" s="10">
        <f>'Price Book'!I10</f>
        <v/>
      </c>
      <c r="G17" s="10">
        <f>'Price Book'!L10</f>
        <v/>
      </c>
      <c r="H17" s="10">
        <f>'Price Book'!M10</f>
        <v/>
      </c>
      <c r="I17" s="11">
        <f>'Price Book'!Q10</f>
        <v/>
      </c>
      <c r="J17" s="11">
        <f>'Price Book'!R10</f>
        <v/>
      </c>
      <c r="K17" s="9" t="n">
        <v>1</v>
      </c>
      <c r="L17" s="12">
        <f>IFERROR(F17*K17,"")</f>
        <v/>
      </c>
      <c r="M17" s="12">
        <f>IFERROR(G17*K17,"")</f>
        <v/>
      </c>
      <c r="N17" s="12">
        <f>IF(H17="","",H17*K17)</f>
        <v/>
      </c>
      <c r="O17" s="8">
        <f>'Price Book'!AG10</f>
        <v/>
      </c>
    </row>
    <row r="18">
      <c r="A18" s="8">
        <f>'Price Book'!A11</f>
        <v/>
      </c>
      <c r="B18" s="8">
        <f>'Price Book'!B11</f>
        <v/>
      </c>
      <c r="C18" s="8">
        <f>'Price Book'!C11</f>
        <v/>
      </c>
      <c r="D18" s="8">
        <f>'Price Book'!D11</f>
        <v/>
      </c>
      <c r="E18" s="8">
        <f>'Price Book'!G11</f>
        <v/>
      </c>
      <c r="F18" s="10">
        <f>'Price Book'!I11</f>
        <v/>
      </c>
      <c r="G18" s="10">
        <f>'Price Book'!L11</f>
        <v/>
      </c>
      <c r="H18" s="10">
        <f>'Price Book'!M11</f>
        <v/>
      </c>
      <c r="I18" s="11">
        <f>'Price Book'!Q11</f>
        <v/>
      </c>
      <c r="J18" s="11">
        <f>'Price Book'!R11</f>
        <v/>
      </c>
      <c r="K18" s="9" t="n">
        <v>1</v>
      </c>
      <c r="L18" s="12">
        <f>IFERROR(F18*K18,"")</f>
        <v/>
      </c>
      <c r="M18" s="12">
        <f>IFERROR(G18*K18,"")</f>
        <v/>
      </c>
      <c r="N18" s="12">
        <f>IF(H18="","",H18*K18)</f>
        <v/>
      </c>
      <c r="O18" s="8">
        <f>'Price Book'!AG11</f>
        <v/>
      </c>
    </row>
    <row r="19">
      <c r="A19" s="8">
        <f>'Price Book'!A12</f>
        <v/>
      </c>
      <c r="B19" s="8">
        <f>'Price Book'!B12</f>
        <v/>
      </c>
      <c r="C19" s="8">
        <f>'Price Book'!C12</f>
        <v/>
      </c>
      <c r="D19" s="8">
        <f>'Price Book'!D12</f>
        <v/>
      </c>
      <c r="E19" s="8">
        <f>'Price Book'!G12</f>
        <v/>
      </c>
      <c r="F19" s="10">
        <f>'Price Book'!I12</f>
        <v/>
      </c>
      <c r="G19" s="10">
        <f>'Price Book'!L12</f>
        <v/>
      </c>
      <c r="H19" s="10">
        <f>'Price Book'!M12</f>
        <v/>
      </c>
      <c r="I19" s="11">
        <f>'Price Book'!Q12</f>
        <v/>
      </c>
      <c r="J19" s="11">
        <f>'Price Book'!R12</f>
        <v/>
      </c>
      <c r="K19" s="9" t="n">
        <v>1</v>
      </c>
      <c r="L19" s="12">
        <f>IFERROR(F19*K19,"")</f>
        <v/>
      </c>
      <c r="M19" s="12">
        <f>IFERROR(G19*K19,"")</f>
        <v/>
      </c>
      <c r="N19" s="12">
        <f>IF(H19="","",H19*K19)</f>
        <v/>
      </c>
      <c r="O19" s="8">
        <f>'Price Book'!AG12</f>
        <v/>
      </c>
    </row>
    <row r="20">
      <c r="A20" s="8">
        <f>'Price Book'!A13</f>
        <v/>
      </c>
      <c r="B20" s="8">
        <f>'Price Book'!B13</f>
        <v/>
      </c>
      <c r="C20" s="8">
        <f>'Price Book'!C13</f>
        <v/>
      </c>
      <c r="D20" s="8">
        <f>'Price Book'!D13</f>
        <v/>
      </c>
      <c r="E20" s="8">
        <f>'Price Book'!G13</f>
        <v/>
      </c>
      <c r="F20" s="10">
        <f>'Price Book'!I13</f>
        <v/>
      </c>
      <c r="G20" s="10">
        <f>'Price Book'!L13</f>
        <v/>
      </c>
      <c r="H20" s="10">
        <f>'Price Book'!M13</f>
        <v/>
      </c>
      <c r="I20" s="11">
        <f>'Price Book'!Q13</f>
        <v/>
      </c>
      <c r="J20" s="11">
        <f>'Price Book'!R13</f>
        <v/>
      </c>
      <c r="K20" s="9" t="n">
        <v>1</v>
      </c>
      <c r="L20" s="12">
        <f>IFERROR(F20*K20,"")</f>
        <v/>
      </c>
      <c r="M20" s="12">
        <f>IFERROR(G20*K20,"")</f>
        <v/>
      </c>
      <c r="N20" s="12">
        <f>IF(H20="","",H20*K20)</f>
        <v/>
      </c>
      <c r="O20" s="8">
        <f>'Price Book'!AG13</f>
        <v/>
      </c>
    </row>
    <row r="21">
      <c r="A21" s="8">
        <f>'Price Book'!A14</f>
        <v/>
      </c>
      <c r="B21" s="8">
        <f>'Price Book'!B14</f>
        <v/>
      </c>
      <c r="C21" s="8">
        <f>'Price Book'!C14</f>
        <v/>
      </c>
      <c r="D21" s="8">
        <f>'Price Book'!D14</f>
        <v/>
      </c>
      <c r="E21" s="8">
        <f>'Price Book'!G14</f>
        <v/>
      </c>
      <c r="F21" s="10">
        <f>'Price Book'!I14</f>
        <v/>
      </c>
      <c r="G21" s="10">
        <f>'Price Book'!L14</f>
        <v/>
      </c>
      <c r="H21" s="10">
        <f>'Price Book'!M14</f>
        <v/>
      </c>
      <c r="I21" s="11">
        <f>'Price Book'!Q14</f>
        <v/>
      </c>
      <c r="J21" s="11">
        <f>'Price Book'!R14</f>
        <v/>
      </c>
      <c r="K21" s="9" t="n">
        <v>1</v>
      </c>
      <c r="L21" s="12">
        <f>IFERROR(F21*K21,"")</f>
        <v/>
      </c>
      <c r="M21" s="12">
        <f>IFERROR(G21*K21,"")</f>
        <v/>
      </c>
      <c r="N21" s="12">
        <f>IF(H21="","",H21*K21)</f>
        <v/>
      </c>
      <c r="O21" s="8">
        <f>'Price Book'!AG14</f>
        <v/>
      </c>
    </row>
    <row r="22">
      <c r="A22" s="8">
        <f>'Price Book'!A15</f>
        <v/>
      </c>
      <c r="B22" s="8">
        <f>'Price Book'!B15</f>
        <v/>
      </c>
      <c r="C22" s="8">
        <f>'Price Book'!C15</f>
        <v/>
      </c>
      <c r="D22" s="8">
        <f>'Price Book'!D15</f>
        <v/>
      </c>
      <c r="E22" s="8">
        <f>'Price Book'!G15</f>
        <v/>
      </c>
      <c r="F22" s="10">
        <f>'Price Book'!I15</f>
        <v/>
      </c>
      <c r="G22" s="10">
        <f>'Price Book'!L15</f>
        <v/>
      </c>
      <c r="H22" s="10">
        <f>'Price Book'!M15</f>
        <v/>
      </c>
      <c r="I22" s="11">
        <f>'Price Book'!Q15</f>
        <v/>
      </c>
      <c r="J22" s="11">
        <f>'Price Book'!R15</f>
        <v/>
      </c>
      <c r="K22" s="9" t="n">
        <v>1</v>
      </c>
      <c r="L22" s="12">
        <f>IFERROR(F22*K22,"")</f>
        <v/>
      </c>
      <c r="M22" s="12">
        <f>IFERROR(G22*K22,"")</f>
        <v/>
      </c>
      <c r="N22" s="12">
        <f>IF(H22="","",H22*K22)</f>
        <v/>
      </c>
      <c r="O22" s="8">
        <f>'Price Book'!AG15</f>
        <v/>
      </c>
    </row>
    <row r="23">
      <c r="A23" s="8">
        <f>'Price Book'!A16</f>
        <v/>
      </c>
      <c r="B23" s="8">
        <f>'Price Book'!B16</f>
        <v/>
      </c>
      <c r="C23" s="8">
        <f>'Price Book'!C16</f>
        <v/>
      </c>
      <c r="D23" s="8">
        <f>'Price Book'!D16</f>
        <v/>
      </c>
      <c r="E23" s="8">
        <f>'Price Book'!G16</f>
        <v/>
      </c>
      <c r="F23" s="10">
        <f>'Price Book'!I16</f>
        <v/>
      </c>
      <c r="G23" s="10">
        <f>'Price Book'!L16</f>
        <v/>
      </c>
      <c r="H23" s="10">
        <f>'Price Book'!M16</f>
        <v/>
      </c>
      <c r="I23" s="11">
        <f>'Price Book'!Q16</f>
        <v/>
      </c>
      <c r="J23" s="11">
        <f>'Price Book'!R16</f>
        <v/>
      </c>
      <c r="K23" s="9" t="n">
        <v>1</v>
      </c>
      <c r="L23" s="12">
        <f>IFERROR(F23*K23,"")</f>
        <v/>
      </c>
      <c r="M23" s="12">
        <f>IFERROR(G23*K23,"")</f>
        <v/>
      </c>
      <c r="N23" s="12">
        <f>IF(H23="","",H23*K23)</f>
        <v/>
      </c>
      <c r="O23" s="8">
        <f>'Price Book'!AG16</f>
        <v/>
      </c>
    </row>
    <row r="24">
      <c r="A24" s="8">
        <f>'Price Book'!A17</f>
        <v/>
      </c>
      <c r="B24" s="8">
        <f>'Price Book'!B17</f>
        <v/>
      </c>
      <c r="C24" s="8">
        <f>'Price Book'!C17</f>
        <v/>
      </c>
      <c r="D24" s="8">
        <f>'Price Book'!D17</f>
        <v/>
      </c>
      <c r="E24" s="8">
        <f>'Price Book'!G17</f>
        <v/>
      </c>
      <c r="F24" s="10">
        <f>'Price Book'!I17</f>
        <v/>
      </c>
      <c r="G24" s="10">
        <f>'Price Book'!L17</f>
        <v/>
      </c>
      <c r="H24" s="10">
        <f>'Price Book'!M17</f>
        <v/>
      </c>
      <c r="I24" s="11">
        <f>'Price Book'!Q17</f>
        <v/>
      </c>
      <c r="J24" s="11">
        <f>'Price Book'!R17</f>
        <v/>
      </c>
      <c r="K24" s="9" t="n">
        <v>1</v>
      </c>
      <c r="L24" s="12">
        <f>IFERROR(F24*K24,"")</f>
        <v/>
      </c>
      <c r="M24" s="12">
        <f>IFERROR(G24*K24,"")</f>
        <v/>
      </c>
      <c r="N24" s="12">
        <f>IF(H24="","",H24*K24)</f>
        <v/>
      </c>
      <c r="O24" s="8">
        <f>'Price Book'!AG17</f>
        <v/>
      </c>
    </row>
    <row r="25">
      <c r="A25" s="8">
        <f>'Price Book'!A18</f>
        <v/>
      </c>
      <c r="B25" s="8">
        <f>'Price Book'!B18</f>
        <v/>
      </c>
      <c r="C25" s="8">
        <f>'Price Book'!C18</f>
        <v/>
      </c>
      <c r="D25" s="8">
        <f>'Price Book'!D18</f>
        <v/>
      </c>
      <c r="E25" s="8">
        <f>'Price Book'!G18</f>
        <v/>
      </c>
      <c r="F25" s="10">
        <f>'Price Book'!I18</f>
        <v/>
      </c>
      <c r="G25" s="10">
        <f>'Price Book'!L18</f>
        <v/>
      </c>
      <c r="H25" s="10">
        <f>'Price Book'!M18</f>
        <v/>
      </c>
      <c r="I25" s="11">
        <f>'Price Book'!Q18</f>
        <v/>
      </c>
      <c r="J25" s="11">
        <f>'Price Book'!R18</f>
        <v/>
      </c>
      <c r="K25" s="9" t="n">
        <v>1</v>
      </c>
      <c r="L25" s="12">
        <f>IFERROR(F25*K25,"")</f>
        <v/>
      </c>
      <c r="M25" s="12">
        <f>IFERROR(G25*K25,"")</f>
        <v/>
      </c>
      <c r="N25" s="12">
        <f>IF(H25="","",H25*K25)</f>
        <v/>
      </c>
      <c r="O25" s="8">
        <f>'Price Book'!AG18</f>
        <v/>
      </c>
    </row>
    <row r="26">
      <c r="A26" s="8">
        <f>'Price Book'!A19</f>
        <v/>
      </c>
      <c r="B26" s="8">
        <f>'Price Book'!B19</f>
        <v/>
      </c>
      <c r="C26" s="8">
        <f>'Price Book'!C19</f>
        <v/>
      </c>
      <c r="D26" s="8">
        <f>'Price Book'!D19</f>
        <v/>
      </c>
      <c r="E26" s="8">
        <f>'Price Book'!G19</f>
        <v/>
      </c>
      <c r="F26" s="10">
        <f>'Price Book'!I19</f>
        <v/>
      </c>
      <c r="G26" s="10">
        <f>'Price Book'!L19</f>
        <v/>
      </c>
      <c r="H26" s="10">
        <f>'Price Book'!M19</f>
        <v/>
      </c>
      <c r="I26" s="11">
        <f>'Price Book'!Q19</f>
        <v/>
      </c>
      <c r="J26" s="11">
        <f>'Price Book'!R19</f>
        <v/>
      </c>
      <c r="K26" s="9" t="n">
        <v>1</v>
      </c>
      <c r="L26" s="12">
        <f>IFERROR(F26*K26,"")</f>
        <v/>
      </c>
      <c r="M26" s="12">
        <f>IFERROR(G26*K26,"")</f>
        <v/>
      </c>
      <c r="N26" s="12">
        <f>IF(H26="","",H26*K26)</f>
        <v/>
      </c>
      <c r="O26" s="8">
        <f>'Price Book'!AG19</f>
        <v/>
      </c>
    </row>
    <row r="27">
      <c r="A27" s="8">
        <f>'Price Book'!A20</f>
        <v/>
      </c>
      <c r="B27" s="8">
        <f>'Price Book'!B20</f>
        <v/>
      </c>
      <c r="C27" s="8">
        <f>'Price Book'!C20</f>
        <v/>
      </c>
      <c r="D27" s="8">
        <f>'Price Book'!D20</f>
        <v/>
      </c>
      <c r="E27" s="8">
        <f>'Price Book'!G20</f>
        <v/>
      </c>
      <c r="F27" s="10">
        <f>'Price Book'!I20</f>
        <v/>
      </c>
      <c r="G27" s="10">
        <f>'Price Book'!L20</f>
        <v/>
      </c>
      <c r="H27" s="10">
        <f>'Price Book'!M20</f>
        <v/>
      </c>
      <c r="I27" s="11">
        <f>'Price Book'!Q20</f>
        <v/>
      </c>
      <c r="J27" s="11">
        <f>'Price Book'!R20</f>
        <v/>
      </c>
      <c r="K27" s="9" t="n">
        <v>1</v>
      </c>
      <c r="L27" s="12">
        <f>IFERROR(F27*K27,"")</f>
        <v/>
      </c>
      <c r="M27" s="12">
        <f>IFERROR(G27*K27,"")</f>
        <v/>
      </c>
      <c r="N27" s="12">
        <f>IF(H27="","",H27*K27)</f>
        <v/>
      </c>
      <c r="O27" s="8">
        <f>'Price Book'!AG20</f>
        <v/>
      </c>
    </row>
    <row r="28">
      <c r="A28" s="8">
        <f>'Price Book'!A21</f>
        <v/>
      </c>
      <c r="B28" s="8">
        <f>'Price Book'!B21</f>
        <v/>
      </c>
      <c r="C28" s="8">
        <f>'Price Book'!C21</f>
        <v/>
      </c>
      <c r="D28" s="8">
        <f>'Price Book'!D21</f>
        <v/>
      </c>
      <c r="E28" s="8">
        <f>'Price Book'!G21</f>
        <v/>
      </c>
      <c r="F28" s="10">
        <f>'Price Book'!I21</f>
        <v/>
      </c>
      <c r="G28" s="10">
        <f>'Price Book'!L21</f>
        <v/>
      </c>
      <c r="H28" s="10">
        <f>'Price Book'!M21</f>
        <v/>
      </c>
      <c r="I28" s="11">
        <f>'Price Book'!Q21</f>
        <v/>
      </c>
      <c r="J28" s="11">
        <f>'Price Book'!R21</f>
        <v/>
      </c>
      <c r="K28" s="9" t="n">
        <v>1</v>
      </c>
      <c r="L28" s="12">
        <f>IFERROR(F28*K28,"")</f>
        <v/>
      </c>
      <c r="M28" s="12">
        <f>IFERROR(G28*K28,"")</f>
        <v/>
      </c>
      <c r="N28" s="12">
        <f>IF(H28="","",H28*K28)</f>
        <v/>
      </c>
      <c r="O28" s="8">
        <f>'Price Book'!AG21</f>
        <v/>
      </c>
    </row>
    <row r="29">
      <c r="A29" s="8">
        <f>'Price Book'!A22</f>
        <v/>
      </c>
      <c r="B29" s="8">
        <f>'Price Book'!B22</f>
        <v/>
      </c>
      <c r="C29" s="8">
        <f>'Price Book'!C22</f>
        <v/>
      </c>
      <c r="D29" s="8">
        <f>'Price Book'!D22</f>
        <v/>
      </c>
      <c r="E29" s="8">
        <f>'Price Book'!G22</f>
        <v/>
      </c>
      <c r="F29" s="10">
        <f>'Price Book'!I22</f>
        <v/>
      </c>
      <c r="G29" s="10">
        <f>'Price Book'!L22</f>
        <v/>
      </c>
      <c r="H29" s="10">
        <f>'Price Book'!M22</f>
        <v/>
      </c>
      <c r="I29" s="11">
        <f>'Price Book'!Q22</f>
        <v/>
      </c>
      <c r="J29" s="11">
        <f>'Price Book'!R22</f>
        <v/>
      </c>
      <c r="K29" s="9" t="n">
        <v>1</v>
      </c>
      <c r="L29" s="12">
        <f>IFERROR(F29*K29,"")</f>
        <v/>
      </c>
      <c r="M29" s="12">
        <f>IFERROR(G29*K29,"")</f>
        <v/>
      </c>
      <c r="N29" s="12">
        <f>IF(H29="","",H29*K29)</f>
        <v/>
      </c>
      <c r="O29" s="8">
        <f>'Price Book'!AG22</f>
        <v/>
      </c>
    </row>
    <row r="30">
      <c r="A30" s="8">
        <f>'Price Book'!A23</f>
        <v/>
      </c>
      <c r="B30" s="8">
        <f>'Price Book'!B23</f>
        <v/>
      </c>
      <c r="C30" s="8">
        <f>'Price Book'!C23</f>
        <v/>
      </c>
      <c r="D30" s="8">
        <f>'Price Book'!D23</f>
        <v/>
      </c>
      <c r="E30" s="8">
        <f>'Price Book'!G23</f>
        <v/>
      </c>
      <c r="F30" s="10">
        <f>'Price Book'!I23</f>
        <v/>
      </c>
      <c r="G30" s="10">
        <f>'Price Book'!L23</f>
        <v/>
      </c>
      <c r="H30" s="10">
        <f>'Price Book'!M23</f>
        <v/>
      </c>
      <c r="I30" s="11">
        <f>'Price Book'!Q23</f>
        <v/>
      </c>
      <c r="J30" s="11">
        <f>'Price Book'!R23</f>
        <v/>
      </c>
      <c r="K30" s="9" t="n">
        <v>1</v>
      </c>
      <c r="L30" s="12">
        <f>IFERROR(F30*K30,"")</f>
        <v/>
      </c>
      <c r="M30" s="12">
        <f>IFERROR(G30*K30,"")</f>
        <v/>
      </c>
      <c r="N30" s="12">
        <f>IF(H30="","",H30*K30)</f>
        <v/>
      </c>
      <c r="O30" s="8">
        <f>'Price Book'!AG23</f>
        <v/>
      </c>
    </row>
    <row r="31">
      <c r="A31" s="8">
        <f>'Price Book'!A24</f>
        <v/>
      </c>
      <c r="B31" s="8">
        <f>'Price Book'!B24</f>
        <v/>
      </c>
      <c r="C31" s="8">
        <f>'Price Book'!C24</f>
        <v/>
      </c>
      <c r="D31" s="8">
        <f>'Price Book'!D24</f>
        <v/>
      </c>
      <c r="E31" s="8">
        <f>'Price Book'!G24</f>
        <v/>
      </c>
      <c r="F31" s="10">
        <f>'Price Book'!I24</f>
        <v/>
      </c>
      <c r="G31" s="10">
        <f>'Price Book'!L24</f>
        <v/>
      </c>
      <c r="H31" s="10">
        <f>'Price Book'!M24</f>
        <v/>
      </c>
      <c r="I31" s="11">
        <f>'Price Book'!Q24</f>
        <v/>
      </c>
      <c r="J31" s="11">
        <f>'Price Book'!R24</f>
        <v/>
      </c>
      <c r="K31" s="9" t="n">
        <v>1</v>
      </c>
      <c r="L31" s="12">
        <f>IFERROR(F31*K31,"")</f>
        <v/>
      </c>
      <c r="M31" s="12">
        <f>IFERROR(G31*K31,"")</f>
        <v/>
      </c>
      <c r="N31" s="12">
        <f>IF(H31="","",H31*K31)</f>
        <v/>
      </c>
      <c r="O31" s="8">
        <f>'Price Book'!AG24</f>
        <v/>
      </c>
    </row>
    <row r="32">
      <c r="A32" s="8">
        <f>'Price Book'!A25</f>
        <v/>
      </c>
      <c r="B32" s="8">
        <f>'Price Book'!B25</f>
        <v/>
      </c>
      <c r="C32" s="8">
        <f>'Price Book'!C25</f>
        <v/>
      </c>
      <c r="D32" s="8">
        <f>'Price Book'!D25</f>
        <v/>
      </c>
      <c r="E32" s="8">
        <f>'Price Book'!G25</f>
        <v/>
      </c>
      <c r="F32" s="10">
        <f>'Price Book'!I25</f>
        <v/>
      </c>
      <c r="G32" s="10">
        <f>'Price Book'!L25</f>
        <v/>
      </c>
      <c r="H32" s="10">
        <f>'Price Book'!M25</f>
        <v/>
      </c>
      <c r="I32" s="11">
        <f>'Price Book'!Q25</f>
        <v/>
      </c>
      <c r="J32" s="11">
        <f>'Price Book'!R25</f>
        <v/>
      </c>
      <c r="K32" s="9" t="n">
        <v>1</v>
      </c>
      <c r="L32" s="12">
        <f>IFERROR(F32*K32,"")</f>
        <v/>
      </c>
      <c r="M32" s="12">
        <f>IFERROR(G32*K32,"")</f>
        <v/>
      </c>
      <c r="N32" s="12">
        <f>IF(H32="","",H32*K32)</f>
        <v/>
      </c>
      <c r="O32" s="8">
        <f>'Price Book'!AG25</f>
        <v/>
      </c>
    </row>
    <row r="33">
      <c r="A33" s="8">
        <f>'Price Book'!A26</f>
        <v/>
      </c>
      <c r="B33" s="8">
        <f>'Price Book'!B26</f>
        <v/>
      </c>
      <c r="C33" s="8">
        <f>'Price Book'!C26</f>
        <v/>
      </c>
      <c r="D33" s="8">
        <f>'Price Book'!D26</f>
        <v/>
      </c>
      <c r="E33" s="8">
        <f>'Price Book'!G26</f>
        <v/>
      </c>
      <c r="F33" s="10">
        <f>'Price Book'!I26</f>
        <v/>
      </c>
      <c r="G33" s="10">
        <f>'Price Book'!L26</f>
        <v/>
      </c>
      <c r="H33" s="10">
        <f>'Price Book'!M26</f>
        <v/>
      </c>
      <c r="I33" s="11">
        <f>'Price Book'!Q26</f>
        <v/>
      </c>
      <c r="J33" s="11">
        <f>'Price Book'!R26</f>
        <v/>
      </c>
      <c r="K33" s="9" t="n">
        <v>1</v>
      </c>
      <c r="L33" s="12">
        <f>IFERROR(F33*K33,"")</f>
        <v/>
      </c>
      <c r="M33" s="12">
        <f>IFERROR(G33*K33,"")</f>
        <v/>
      </c>
      <c r="N33" s="12">
        <f>IF(H33="","",H33*K33)</f>
        <v/>
      </c>
      <c r="O33" s="8">
        <f>'Price Book'!AG26</f>
        <v/>
      </c>
    </row>
    <row r="34">
      <c r="A34" s="8">
        <f>'Price Book'!A27</f>
        <v/>
      </c>
      <c r="B34" s="8">
        <f>'Price Book'!B27</f>
        <v/>
      </c>
      <c r="C34" s="8">
        <f>'Price Book'!C27</f>
        <v/>
      </c>
      <c r="D34" s="8">
        <f>'Price Book'!D27</f>
        <v/>
      </c>
      <c r="E34" s="8">
        <f>'Price Book'!G27</f>
        <v/>
      </c>
      <c r="F34" s="10">
        <f>'Price Book'!I27</f>
        <v/>
      </c>
      <c r="G34" s="10">
        <f>'Price Book'!L27</f>
        <v/>
      </c>
      <c r="H34" s="10">
        <f>'Price Book'!M27</f>
        <v/>
      </c>
      <c r="I34" s="11">
        <f>'Price Book'!Q27</f>
        <v/>
      </c>
      <c r="J34" s="11">
        <f>'Price Book'!R27</f>
        <v/>
      </c>
      <c r="K34" s="9" t="n">
        <v>1</v>
      </c>
      <c r="L34" s="12">
        <f>IFERROR(F34*K34,"")</f>
        <v/>
      </c>
      <c r="M34" s="12">
        <f>IFERROR(G34*K34,"")</f>
        <v/>
      </c>
      <c r="N34" s="12">
        <f>IF(H34="","",H34*K34)</f>
        <v/>
      </c>
      <c r="O34" s="8">
        <f>'Price Book'!AG27</f>
        <v/>
      </c>
    </row>
    <row r="35">
      <c r="A35" s="8">
        <f>'Price Book'!A28</f>
        <v/>
      </c>
      <c r="B35" s="8">
        <f>'Price Book'!B28</f>
        <v/>
      </c>
      <c r="C35" s="8">
        <f>'Price Book'!C28</f>
        <v/>
      </c>
      <c r="D35" s="8">
        <f>'Price Book'!D28</f>
        <v/>
      </c>
      <c r="E35" s="8">
        <f>'Price Book'!G28</f>
        <v/>
      </c>
      <c r="F35" s="10">
        <f>'Price Book'!I28</f>
        <v/>
      </c>
      <c r="G35" s="10">
        <f>'Price Book'!L28</f>
        <v/>
      </c>
      <c r="H35" s="10">
        <f>'Price Book'!M28</f>
        <v/>
      </c>
      <c r="I35" s="11">
        <f>'Price Book'!Q28</f>
        <v/>
      </c>
      <c r="J35" s="11">
        <f>'Price Book'!R28</f>
        <v/>
      </c>
      <c r="K35" s="9" t="n">
        <v>1</v>
      </c>
      <c r="L35" s="12">
        <f>IFERROR(F35*K35,"")</f>
        <v/>
      </c>
      <c r="M35" s="12">
        <f>IFERROR(G35*K35,"")</f>
        <v/>
      </c>
      <c r="N35" s="12">
        <f>IF(H35="","",H35*K35)</f>
        <v/>
      </c>
      <c r="O35" s="8">
        <f>'Price Book'!AG28</f>
        <v/>
      </c>
    </row>
    <row r="36">
      <c r="A36" s="8">
        <f>'Price Book'!A29</f>
        <v/>
      </c>
      <c r="B36" s="8">
        <f>'Price Book'!B29</f>
        <v/>
      </c>
      <c r="C36" s="8">
        <f>'Price Book'!C29</f>
        <v/>
      </c>
      <c r="D36" s="8">
        <f>'Price Book'!D29</f>
        <v/>
      </c>
      <c r="E36" s="8">
        <f>'Price Book'!G29</f>
        <v/>
      </c>
      <c r="F36" s="10">
        <f>'Price Book'!I29</f>
        <v/>
      </c>
      <c r="G36" s="10">
        <f>'Price Book'!L29</f>
        <v/>
      </c>
      <c r="H36" s="10">
        <f>'Price Book'!M29</f>
        <v/>
      </c>
      <c r="I36" s="11">
        <f>'Price Book'!Q29</f>
        <v/>
      </c>
      <c r="J36" s="11">
        <f>'Price Book'!R29</f>
        <v/>
      </c>
      <c r="K36" s="9" t="n">
        <v>1</v>
      </c>
      <c r="L36" s="12">
        <f>IFERROR(F36*K36,"")</f>
        <v/>
      </c>
      <c r="M36" s="12">
        <f>IFERROR(G36*K36,"")</f>
        <v/>
      </c>
      <c r="N36" s="12">
        <f>IF(H36="","",H36*K36)</f>
        <v/>
      </c>
      <c r="O36" s="8">
        <f>'Price Book'!AG29</f>
        <v/>
      </c>
    </row>
    <row r="37">
      <c r="A37" s="8">
        <f>'Price Book'!A30</f>
        <v/>
      </c>
      <c r="B37" s="8">
        <f>'Price Book'!B30</f>
        <v/>
      </c>
      <c r="C37" s="8">
        <f>'Price Book'!C30</f>
        <v/>
      </c>
      <c r="D37" s="8">
        <f>'Price Book'!D30</f>
        <v/>
      </c>
      <c r="E37" s="8">
        <f>'Price Book'!G30</f>
        <v/>
      </c>
      <c r="F37" s="10">
        <f>'Price Book'!I30</f>
        <v/>
      </c>
      <c r="G37" s="10">
        <f>'Price Book'!L30</f>
        <v/>
      </c>
      <c r="H37" s="10">
        <f>'Price Book'!M30</f>
        <v/>
      </c>
      <c r="I37" s="11">
        <f>'Price Book'!Q30</f>
        <v/>
      </c>
      <c r="J37" s="11">
        <f>'Price Book'!R30</f>
        <v/>
      </c>
      <c r="K37" s="9" t="n">
        <v>1</v>
      </c>
      <c r="L37" s="12">
        <f>IFERROR(F37*K37,"")</f>
        <v/>
      </c>
      <c r="M37" s="12">
        <f>IFERROR(G37*K37,"")</f>
        <v/>
      </c>
      <c r="N37" s="12">
        <f>IF(H37="","",H37*K37)</f>
        <v/>
      </c>
      <c r="O37" s="8">
        <f>'Price Book'!AG30</f>
        <v/>
      </c>
    </row>
    <row r="38">
      <c r="A38" s="8">
        <f>'Price Book'!A31</f>
        <v/>
      </c>
      <c r="B38" s="8">
        <f>'Price Book'!B31</f>
        <v/>
      </c>
      <c r="C38" s="8">
        <f>'Price Book'!C31</f>
        <v/>
      </c>
      <c r="D38" s="8">
        <f>'Price Book'!D31</f>
        <v/>
      </c>
      <c r="E38" s="8">
        <f>'Price Book'!G31</f>
        <v/>
      </c>
      <c r="F38" s="10">
        <f>'Price Book'!I31</f>
        <v/>
      </c>
      <c r="G38" s="10">
        <f>'Price Book'!L31</f>
        <v/>
      </c>
      <c r="H38" s="10">
        <f>'Price Book'!M31</f>
        <v/>
      </c>
      <c r="I38" s="11">
        <f>'Price Book'!Q31</f>
        <v/>
      </c>
      <c r="J38" s="11">
        <f>'Price Book'!R31</f>
        <v/>
      </c>
      <c r="K38" s="9" t="n">
        <v>1</v>
      </c>
      <c r="L38" s="12">
        <f>IFERROR(F38*K38,"")</f>
        <v/>
      </c>
      <c r="M38" s="12">
        <f>IFERROR(G38*K38,"")</f>
        <v/>
      </c>
      <c r="N38" s="12">
        <f>IF(H38="","",H38*K38)</f>
        <v/>
      </c>
      <c r="O38" s="8">
        <f>'Price Book'!AG31</f>
        <v/>
      </c>
    </row>
    <row r="39">
      <c r="A39" s="8">
        <f>'Price Book'!A32</f>
        <v/>
      </c>
      <c r="B39" s="8">
        <f>'Price Book'!B32</f>
        <v/>
      </c>
      <c r="C39" s="8">
        <f>'Price Book'!C32</f>
        <v/>
      </c>
      <c r="D39" s="8">
        <f>'Price Book'!D32</f>
        <v/>
      </c>
      <c r="E39" s="8">
        <f>'Price Book'!G32</f>
        <v/>
      </c>
      <c r="F39" s="10">
        <f>'Price Book'!I32</f>
        <v/>
      </c>
      <c r="G39" s="10">
        <f>'Price Book'!L32</f>
        <v/>
      </c>
      <c r="H39" s="10">
        <f>'Price Book'!M32</f>
        <v/>
      </c>
      <c r="I39" s="11">
        <f>'Price Book'!Q32</f>
        <v/>
      </c>
      <c r="J39" s="11">
        <f>'Price Book'!R32</f>
        <v/>
      </c>
      <c r="K39" s="9" t="n">
        <v>1</v>
      </c>
      <c r="L39" s="12">
        <f>IFERROR(F39*K39,"")</f>
        <v/>
      </c>
      <c r="M39" s="12">
        <f>IFERROR(G39*K39,"")</f>
        <v/>
      </c>
      <c r="N39" s="12">
        <f>IF(H39="","",H39*K39)</f>
        <v/>
      </c>
      <c r="O39" s="8">
        <f>'Price Book'!AG32</f>
        <v/>
      </c>
    </row>
    <row r="40">
      <c r="A40" s="8">
        <f>'Price Book'!A33</f>
        <v/>
      </c>
      <c r="B40" s="8">
        <f>'Price Book'!B33</f>
        <v/>
      </c>
      <c r="C40" s="8">
        <f>'Price Book'!C33</f>
        <v/>
      </c>
      <c r="D40" s="8">
        <f>'Price Book'!D33</f>
        <v/>
      </c>
      <c r="E40" s="8">
        <f>'Price Book'!G33</f>
        <v/>
      </c>
      <c r="F40" s="10">
        <f>'Price Book'!I33</f>
        <v/>
      </c>
      <c r="G40" s="10">
        <f>'Price Book'!L33</f>
        <v/>
      </c>
      <c r="H40" s="10">
        <f>'Price Book'!M33</f>
        <v/>
      </c>
      <c r="I40" s="11">
        <f>'Price Book'!Q33</f>
        <v/>
      </c>
      <c r="J40" s="11">
        <f>'Price Book'!R33</f>
        <v/>
      </c>
      <c r="K40" s="9" t="n">
        <v>1</v>
      </c>
      <c r="L40" s="12">
        <f>IFERROR(F40*K40,"")</f>
        <v/>
      </c>
      <c r="M40" s="12">
        <f>IFERROR(G40*K40,"")</f>
        <v/>
      </c>
      <c r="N40" s="12">
        <f>IF(H40="","",H40*K40)</f>
        <v/>
      </c>
      <c r="O40" s="8">
        <f>'Price Book'!AG33</f>
        <v/>
      </c>
    </row>
    <row r="41">
      <c r="A41" s="8">
        <f>'Price Book'!A34</f>
        <v/>
      </c>
      <c r="B41" s="8">
        <f>'Price Book'!B34</f>
        <v/>
      </c>
      <c r="C41" s="8">
        <f>'Price Book'!C34</f>
        <v/>
      </c>
      <c r="D41" s="8">
        <f>'Price Book'!D34</f>
        <v/>
      </c>
      <c r="E41" s="8">
        <f>'Price Book'!G34</f>
        <v/>
      </c>
      <c r="F41" s="10">
        <f>'Price Book'!I34</f>
        <v/>
      </c>
      <c r="G41" s="10">
        <f>'Price Book'!L34</f>
        <v/>
      </c>
      <c r="H41" s="10">
        <f>'Price Book'!M34</f>
        <v/>
      </c>
      <c r="I41" s="11">
        <f>'Price Book'!Q34</f>
        <v/>
      </c>
      <c r="J41" s="11">
        <f>'Price Book'!R34</f>
        <v/>
      </c>
      <c r="K41" s="9" t="n">
        <v>1</v>
      </c>
      <c r="L41" s="12">
        <f>IFERROR(F41*K41,"")</f>
        <v/>
      </c>
      <c r="M41" s="12">
        <f>IFERROR(G41*K41,"")</f>
        <v/>
      </c>
      <c r="N41" s="12">
        <f>IF(H41="","",H41*K41)</f>
        <v/>
      </c>
      <c r="O41" s="8">
        <f>'Price Book'!AG34</f>
        <v/>
      </c>
    </row>
    <row r="42">
      <c r="A42" s="8">
        <f>'Price Book'!A35</f>
        <v/>
      </c>
      <c r="B42" s="8">
        <f>'Price Book'!B35</f>
        <v/>
      </c>
      <c r="C42" s="8">
        <f>'Price Book'!C35</f>
        <v/>
      </c>
      <c r="D42" s="8">
        <f>'Price Book'!D35</f>
        <v/>
      </c>
      <c r="E42" s="8">
        <f>'Price Book'!G35</f>
        <v/>
      </c>
      <c r="F42" s="10">
        <f>'Price Book'!I35</f>
        <v/>
      </c>
      <c r="G42" s="10">
        <f>'Price Book'!L35</f>
        <v/>
      </c>
      <c r="H42" s="10">
        <f>'Price Book'!M35</f>
        <v/>
      </c>
      <c r="I42" s="11">
        <f>'Price Book'!Q35</f>
        <v/>
      </c>
      <c r="J42" s="11">
        <f>'Price Book'!R35</f>
        <v/>
      </c>
      <c r="K42" s="9" t="n">
        <v>1</v>
      </c>
      <c r="L42" s="12">
        <f>IFERROR(F42*K42,"")</f>
        <v/>
      </c>
      <c r="M42" s="12">
        <f>IFERROR(G42*K42,"")</f>
        <v/>
      </c>
      <c r="N42" s="12">
        <f>IF(H42="","",H42*K42)</f>
        <v/>
      </c>
      <c r="O42" s="8">
        <f>'Price Book'!AG35</f>
        <v/>
      </c>
    </row>
    <row r="43">
      <c r="A43" s="8">
        <f>'Price Book'!A36</f>
        <v/>
      </c>
      <c r="B43" s="8">
        <f>'Price Book'!B36</f>
        <v/>
      </c>
      <c r="C43" s="8">
        <f>'Price Book'!C36</f>
        <v/>
      </c>
      <c r="D43" s="8">
        <f>'Price Book'!D36</f>
        <v/>
      </c>
      <c r="E43" s="8">
        <f>'Price Book'!G36</f>
        <v/>
      </c>
      <c r="F43" s="10">
        <f>'Price Book'!I36</f>
        <v/>
      </c>
      <c r="G43" s="10">
        <f>'Price Book'!L36</f>
        <v/>
      </c>
      <c r="H43" s="10">
        <f>'Price Book'!M36</f>
        <v/>
      </c>
      <c r="I43" s="11">
        <f>'Price Book'!Q36</f>
        <v/>
      </c>
      <c r="J43" s="11">
        <f>'Price Book'!R36</f>
        <v/>
      </c>
      <c r="K43" s="9" t="n">
        <v>1</v>
      </c>
      <c r="L43" s="12">
        <f>IFERROR(F43*K43,"")</f>
        <v/>
      </c>
      <c r="M43" s="12">
        <f>IFERROR(G43*K43,"")</f>
        <v/>
      </c>
      <c r="N43" s="12">
        <f>IF(H43="","",H43*K43)</f>
        <v/>
      </c>
      <c r="O43" s="8">
        <f>'Price Book'!AG36</f>
        <v/>
      </c>
    </row>
    <row r="44">
      <c r="A44" s="8">
        <f>'Price Book'!A37</f>
        <v/>
      </c>
      <c r="B44" s="8">
        <f>'Price Book'!B37</f>
        <v/>
      </c>
      <c r="C44" s="8">
        <f>'Price Book'!C37</f>
        <v/>
      </c>
      <c r="D44" s="8">
        <f>'Price Book'!D37</f>
        <v/>
      </c>
      <c r="E44" s="8">
        <f>'Price Book'!G37</f>
        <v/>
      </c>
      <c r="F44" s="10">
        <f>'Price Book'!I37</f>
        <v/>
      </c>
      <c r="G44" s="10">
        <f>'Price Book'!L37</f>
        <v/>
      </c>
      <c r="H44" s="10">
        <f>'Price Book'!M37</f>
        <v/>
      </c>
      <c r="I44" s="11">
        <f>'Price Book'!Q37</f>
        <v/>
      </c>
      <c r="J44" s="11">
        <f>'Price Book'!R37</f>
        <v/>
      </c>
      <c r="K44" s="9" t="n">
        <v>1</v>
      </c>
      <c r="L44" s="12">
        <f>IFERROR(F44*K44,"")</f>
        <v/>
      </c>
      <c r="M44" s="12">
        <f>IFERROR(G44*K44,"")</f>
        <v/>
      </c>
      <c r="N44" s="12">
        <f>IF(H44="","",H44*K44)</f>
        <v/>
      </c>
      <c r="O44" s="8">
        <f>'Price Book'!AG37</f>
        <v/>
      </c>
    </row>
    <row r="45">
      <c r="A45" s="8">
        <f>'Price Book'!A38</f>
        <v/>
      </c>
      <c r="B45" s="8">
        <f>'Price Book'!B38</f>
        <v/>
      </c>
      <c r="C45" s="8">
        <f>'Price Book'!C38</f>
        <v/>
      </c>
      <c r="D45" s="8">
        <f>'Price Book'!D38</f>
        <v/>
      </c>
      <c r="E45" s="8">
        <f>'Price Book'!G38</f>
        <v/>
      </c>
      <c r="F45" s="10">
        <f>'Price Book'!I38</f>
        <v/>
      </c>
      <c r="G45" s="10">
        <f>'Price Book'!L38</f>
        <v/>
      </c>
      <c r="H45" s="10">
        <f>'Price Book'!M38</f>
        <v/>
      </c>
      <c r="I45" s="11">
        <f>'Price Book'!Q38</f>
        <v/>
      </c>
      <c r="J45" s="11">
        <f>'Price Book'!R38</f>
        <v/>
      </c>
      <c r="K45" s="9" t="n">
        <v>1</v>
      </c>
      <c r="L45" s="12">
        <f>IFERROR(F45*K45,"")</f>
        <v/>
      </c>
      <c r="M45" s="12">
        <f>IFERROR(G45*K45,"")</f>
        <v/>
      </c>
      <c r="N45" s="12">
        <f>IF(H45="","",H45*K45)</f>
        <v/>
      </c>
      <c r="O45" s="8">
        <f>'Price Book'!AG38</f>
        <v/>
      </c>
    </row>
    <row r="46">
      <c r="A46" s="8">
        <f>'Price Book'!A39</f>
        <v/>
      </c>
      <c r="B46" s="8">
        <f>'Price Book'!B39</f>
        <v/>
      </c>
      <c r="C46" s="8">
        <f>'Price Book'!C39</f>
        <v/>
      </c>
      <c r="D46" s="8">
        <f>'Price Book'!D39</f>
        <v/>
      </c>
      <c r="E46" s="8">
        <f>'Price Book'!G39</f>
        <v/>
      </c>
      <c r="F46" s="10">
        <f>'Price Book'!I39</f>
        <v/>
      </c>
      <c r="G46" s="10">
        <f>'Price Book'!L39</f>
        <v/>
      </c>
      <c r="H46" s="10">
        <f>'Price Book'!M39</f>
        <v/>
      </c>
      <c r="I46" s="11">
        <f>'Price Book'!Q39</f>
        <v/>
      </c>
      <c r="J46" s="11">
        <f>'Price Book'!R39</f>
        <v/>
      </c>
      <c r="K46" s="9" t="n">
        <v>1</v>
      </c>
      <c r="L46" s="12">
        <f>IFERROR(F46*K46,"")</f>
        <v/>
      </c>
      <c r="M46" s="12">
        <f>IFERROR(G46*K46,"")</f>
        <v/>
      </c>
      <c r="N46" s="12">
        <f>IF(H46="","",H46*K46)</f>
        <v/>
      </c>
      <c r="O46" s="8">
        <f>'Price Book'!AG39</f>
        <v/>
      </c>
    </row>
    <row r="47">
      <c r="A47" s="8">
        <f>'Price Book'!A40</f>
        <v/>
      </c>
      <c r="B47" s="8">
        <f>'Price Book'!B40</f>
        <v/>
      </c>
      <c r="C47" s="8">
        <f>'Price Book'!C40</f>
        <v/>
      </c>
      <c r="D47" s="8">
        <f>'Price Book'!D40</f>
        <v/>
      </c>
      <c r="E47" s="8">
        <f>'Price Book'!G40</f>
        <v/>
      </c>
      <c r="F47" s="10">
        <f>'Price Book'!I40</f>
        <v/>
      </c>
      <c r="G47" s="10">
        <f>'Price Book'!L40</f>
        <v/>
      </c>
      <c r="H47" s="10">
        <f>'Price Book'!M40</f>
        <v/>
      </c>
      <c r="I47" s="11">
        <f>'Price Book'!Q40</f>
        <v/>
      </c>
      <c r="J47" s="11">
        <f>'Price Book'!R40</f>
        <v/>
      </c>
      <c r="K47" s="9" t="n">
        <v>1</v>
      </c>
      <c r="L47" s="12">
        <f>IFERROR(F47*K47,"")</f>
        <v/>
      </c>
      <c r="M47" s="12">
        <f>IFERROR(G47*K47,"")</f>
        <v/>
      </c>
      <c r="N47" s="12">
        <f>IF(H47="","",H47*K47)</f>
        <v/>
      </c>
      <c r="O47" s="8">
        <f>'Price Book'!AG40</f>
        <v/>
      </c>
    </row>
    <row r="48">
      <c r="A48" s="8">
        <f>'Price Book'!A41</f>
        <v/>
      </c>
      <c r="B48" s="8">
        <f>'Price Book'!B41</f>
        <v/>
      </c>
      <c r="C48" s="8">
        <f>'Price Book'!C41</f>
        <v/>
      </c>
      <c r="D48" s="8">
        <f>'Price Book'!D41</f>
        <v/>
      </c>
      <c r="E48" s="8">
        <f>'Price Book'!G41</f>
        <v/>
      </c>
      <c r="F48" s="10">
        <f>'Price Book'!I41</f>
        <v/>
      </c>
      <c r="G48" s="10">
        <f>'Price Book'!L41</f>
        <v/>
      </c>
      <c r="H48" s="10">
        <f>'Price Book'!M41</f>
        <v/>
      </c>
      <c r="I48" s="11">
        <f>'Price Book'!Q41</f>
        <v/>
      </c>
      <c r="J48" s="11">
        <f>'Price Book'!R41</f>
        <v/>
      </c>
      <c r="K48" s="9" t="n">
        <v>1</v>
      </c>
      <c r="L48" s="12">
        <f>IFERROR(F48*K48,"")</f>
        <v/>
      </c>
      <c r="M48" s="12">
        <f>IFERROR(G48*K48,"")</f>
        <v/>
      </c>
      <c r="N48" s="12">
        <f>IF(H48="","",H48*K48)</f>
        <v/>
      </c>
      <c r="O48" s="8">
        <f>'Price Book'!AG41</f>
        <v/>
      </c>
    </row>
    <row r="49">
      <c r="A49" s="8">
        <f>'Price Book'!A42</f>
        <v/>
      </c>
      <c r="B49" s="8">
        <f>'Price Book'!B42</f>
        <v/>
      </c>
      <c r="C49" s="8">
        <f>'Price Book'!C42</f>
        <v/>
      </c>
      <c r="D49" s="8">
        <f>'Price Book'!D42</f>
        <v/>
      </c>
      <c r="E49" s="8">
        <f>'Price Book'!G42</f>
        <v/>
      </c>
      <c r="F49" s="10">
        <f>'Price Book'!I42</f>
        <v/>
      </c>
      <c r="G49" s="10">
        <f>'Price Book'!L42</f>
        <v/>
      </c>
      <c r="H49" s="10">
        <f>'Price Book'!M42</f>
        <v/>
      </c>
      <c r="I49" s="11">
        <f>'Price Book'!Q42</f>
        <v/>
      </c>
      <c r="J49" s="11">
        <f>'Price Book'!R42</f>
        <v/>
      </c>
      <c r="K49" s="9" t="n">
        <v>1</v>
      </c>
      <c r="L49" s="12">
        <f>IFERROR(F49*K49,"")</f>
        <v/>
      </c>
      <c r="M49" s="12">
        <f>IFERROR(G49*K49,"")</f>
        <v/>
      </c>
      <c r="N49" s="12">
        <f>IF(H49="","",H49*K49)</f>
        <v/>
      </c>
      <c r="O49" s="8">
        <f>'Price Book'!AG42</f>
        <v/>
      </c>
    </row>
    <row r="50">
      <c r="A50" s="8">
        <f>'Price Book'!A43</f>
        <v/>
      </c>
      <c r="B50" s="8">
        <f>'Price Book'!B43</f>
        <v/>
      </c>
      <c r="C50" s="8">
        <f>'Price Book'!C43</f>
        <v/>
      </c>
      <c r="D50" s="8">
        <f>'Price Book'!D43</f>
        <v/>
      </c>
      <c r="E50" s="8">
        <f>'Price Book'!G43</f>
        <v/>
      </c>
      <c r="F50" s="10">
        <f>'Price Book'!I43</f>
        <v/>
      </c>
      <c r="G50" s="10">
        <f>'Price Book'!L43</f>
        <v/>
      </c>
      <c r="H50" s="10">
        <f>'Price Book'!M43</f>
        <v/>
      </c>
      <c r="I50" s="11">
        <f>'Price Book'!Q43</f>
        <v/>
      </c>
      <c r="J50" s="11">
        <f>'Price Book'!R43</f>
        <v/>
      </c>
      <c r="K50" s="9" t="n">
        <v>1</v>
      </c>
      <c r="L50" s="12">
        <f>IFERROR(F50*K50,"")</f>
        <v/>
      </c>
      <c r="M50" s="12">
        <f>IFERROR(G50*K50,"")</f>
        <v/>
      </c>
      <c r="N50" s="12">
        <f>IF(H50="","",H50*K50)</f>
        <v/>
      </c>
      <c r="O50" s="8">
        <f>'Price Book'!AG43</f>
        <v/>
      </c>
    </row>
    <row r="51">
      <c r="A51" s="8">
        <f>'Price Book'!A44</f>
        <v/>
      </c>
      <c r="B51" s="8">
        <f>'Price Book'!B44</f>
        <v/>
      </c>
      <c r="C51" s="8">
        <f>'Price Book'!C44</f>
        <v/>
      </c>
      <c r="D51" s="8">
        <f>'Price Book'!D44</f>
        <v/>
      </c>
      <c r="E51" s="8">
        <f>'Price Book'!G44</f>
        <v/>
      </c>
      <c r="F51" s="10">
        <f>'Price Book'!I44</f>
        <v/>
      </c>
      <c r="G51" s="10">
        <f>'Price Book'!L44</f>
        <v/>
      </c>
      <c r="H51" s="10">
        <f>'Price Book'!M44</f>
        <v/>
      </c>
      <c r="I51" s="11">
        <f>'Price Book'!Q44</f>
        <v/>
      </c>
      <c r="J51" s="11">
        <f>'Price Book'!R44</f>
        <v/>
      </c>
      <c r="K51" s="9" t="n">
        <v>1</v>
      </c>
      <c r="L51" s="12">
        <f>IFERROR(F51*K51,"")</f>
        <v/>
      </c>
      <c r="M51" s="12">
        <f>IFERROR(G51*K51,"")</f>
        <v/>
      </c>
      <c r="N51" s="12">
        <f>IF(H51="","",H51*K51)</f>
        <v/>
      </c>
      <c r="O51" s="8">
        <f>'Price Book'!AG44</f>
        <v/>
      </c>
    </row>
    <row r="52">
      <c r="A52" s="8">
        <f>'Price Book'!A45</f>
        <v/>
      </c>
      <c r="B52" s="8">
        <f>'Price Book'!B45</f>
        <v/>
      </c>
      <c r="C52" s="8">
        <f>'Price Book'!C45</f>
        <v/>
      </c>
      <c r="D52" s="8">
        <f>'Price Book'!D45</f>
        <v/>
      </c>
      <c r="E52" s="8">
        <f>'Price Book'!G45</f>
        <v/>
      </c>
      <c r="F52" s="10">
        <f>'Price Book'!I45</f>
        <v/>
      </c>
      <c r="G52" s="10">
        <f>'Price Book'!L45</f>
        <v/>
      </c>
      <c r="H52" s="10">
        <f>'Price Book'!M45</f>
        <v/>
      </c>
      <c r="I52" s="11">
        <f>'Price Book'!Q45</f>
        <v/>
      </c>
      <c r="J52" s="11">
        <f>'Price Book'!R45</f>
        <v/>
      </c>
      <c r="K52" s="9" t="n">
        <v>1</v>
      </c>
      <c r="L52" s="12">
        <f>IFERROR(F52*K52,"")</f>
        <v/>
      </c>
      <c r="M52" s="12">
        <f>IFERROR(G52*K52,"")</f>
        <v/>
      </c>
      <c r="N52" s="12">
        <f>IF(H52="","",H52*K52)</f>
        <v/>
      </c>
      <c r="O52" s="8">
        <f>'Price Book'!AG45</f>
        <v/>
      </c>
    </row>
    <row r="53">
      <c r="A53" s="8">
        <f>'Price Book'!A46</f>
        <v/>
      </c>
      <c r="B53" s="8">
        <f>'Price Book'!B46</f>
        <v/>
      </c>
      <c r="C53" s="8">
        <f>'Price Book'!C46</f>
        <v/>
      </c>
      <c r="D53" s="8">
        <f>'Price Book'!D46</f>
        <v/>
      </c>
      <c r="E53" s="8">
        <f>'Price Book'!G46</f>
        <v/>
      </c>
      <c r="F53" s="10">
        <f>'Price Book'!I46</f>
        <v/>
      </c>
      <c r="G53" s="10">
        <f>'Price Book'!L46</f>
        <v/>
      </c>
      <c r="H53" s="10">
        <f>'Price Book'!M46</f>
        <v/>
      </c>
      <c r="I53" s="11">
        <f>'Price Book'!Q46</f>
        <v/>
      </c>
      <c r="J53" s="11">
        <f>'Price Book'!R46</f>
        <v/>
      </c>
      <c r="K53" s="9" t="n">
        <v>1</v>
      </c>
      <c r="L53" s="12">
        <f>IFERROR(F53*K53,"")</f>
        <v/>
      </c>
      <c r="M53" s="12">
        <f>IFERROR(G53*K53,"")</f>
        <v/>
      </c>
      <c r="N53" s="12">
        <f>IF(H53="","",H53*K53)</f>
        <v/>
      </c>
      <c r="O53" s="8">
        <f>'Price Book'!AG46</f>
        <v/>
      </c>
    </row>
    <row r="54">
      <c r="A54" s="8">
        <f>'Price Book'!A47</f>
        <v/>
      </c>
      <c r="B54" s="8">
        <f>'Price Book'!B47</f>
        <v/>
      </c>
      <c r="C54" s="8">
        <f>'Price Book'!C47</f>
        <v/>
      </c>
      <c r="D54" s="8">
        <f>'Price Book'!D47</f>
        <v/>
      </c>
      <c r="E54" s="8">
        <f>'Price Book'!G47</f>
        <v/>
      </c>
      <c r="F54" s="10">
        <f>'Price Book'!I47</f>
        <v/>
      </c>
      <c r="G54" s="10">
        <f>'Price Book'!L47</f>
        <v/>
      </c>
      <c r="H54" s="10">
        <f>'Price Book'!M47</f>
        <v/>
      </c>
      <c r="I54" s="11">
        <f>'Price Book'!Q47</f>
        <v/>
      </c>
      <c r="J54" s="11">
        <f>'Price Book'!R47</f>
        <v/>
      </c>
      <c r="K54" s="9" t="n">
        <v>1</v>
      </c>
      <c r="L54" s="12">
        <f>IFERROR(F54*K54,"")</f>
        <v/>
      </c>
      <c r="M54" s="12">
        <f>IFERROR(G54*K54,"")</f>
        <v/>
      </c>
      <c r="N54" s="12">
        <f>IF(H54="","",H54*K54)</f>
        <v/>
      </c>
      <c r="O54" s="8">
        <f>'Price Book'!AG47</f>
        <v/>
      </c>
    </row>
    <row r="55">
      <c r="A55" s="8">
        <f>'Price Book'!A48</f>
        <v/>
      </c>
      <c r="B55" s="8">
        <f>'Price Book'!B48</f>
        <v/>
      </c>
      <c r="C55" s="8">
        <f>'Price Book'!C48</f>
        <v/>
      </c>
      <c r="D55" s="8">
        <f>'Price Book'!D48</f>
        <v/>
      </c>
      <c r="E55" s="8">
        <f>'Price Book'!G48</f>
        <v/>
      </c>
      <c r="F55" s="10">
        <f>'Price Book'!I48</f>
        <v/>
      </c>
      <c r="G55" s="10">
        <f>'Price Book'!L48</f>
        <v/>
      </c>
      <c r="H55" s="10">
        <f>'Price Book'!M48</f>
        <v/>
      </c>
      <c r="I55" s="11">
        <f>'Price Book'!Q48</f>
        <v/>
      </c>
      <c r="J55" s="11">
        <f>'Price Book'!R48</f>
        <v/>
      </c>
      <c r="K55" s="9" t="n">
        <v>1</v>
      </c>
      <c r="L55" s="12">
        <f>IFERROR(F55*K55,"")</f>
        <v/>
      </c>
      <c r="M55" s="12">
        <f>IFERROR(G55*K55,"")</f>
        <v/>
      </c>
      <c r="N55" s="12">
        <f>IF(H55="","",H55*K55)</f>
        <v/>
      </c>
      <c r="O55" s="8">
        <f>'Price Book'!AG48</f>
        <v/>
      </c>
    </row>
    <row r="56">
      <c r="A56" s="8">
        <f>'Price Book'!A49</f>
        <v/>
      </c>
      <c r="B56" s="8">
        <f>'Price Book'!B49</f>
        <v/>
      </c>
      <c r="C56" s="8">
        <f>'Price Book'!C49</f>
        <v/>
      </c>
      <c r="D56" s="8">
        <f>'Price Book'!D49</f>
        <v/>
      </c>
      <c r="E56" s="8">
        <f>'Price Book'!G49</f>
        <v/>
      </c>
      <c r="F56" s="10">
        <f>'Price Book'!I49</f>
        <v/>
      </c>
      <c r="G56" s="10">
        <f>'Price Book'!L49</f>
        <v/>
      </c>
      <c r="H56" s="10">
        <f>'Price Book'!M49</f>
        <v/>
      </c>
      <c r="I56" s="11">
        <f>'Price Book'!Q49</f>
        <v/>
      </c>
      <c r="J56" s="11">
        <f>'Price Book'!R49</f>
        <v/>
      </c>
      <c r="K56" s="9" t="n">
        <v>1</v>
      </c>
      <c r="L56" s="12">
        <f>IFERROR(F56*K56,"")</f>
        <v/>
      </c>
      <c r="M56" s="12">
        <f>IFERROR(G56*K56,"")</f>
        <v/>
      </c>
      <c r="N56" s="12">
        <f>IF(H56="","",H56*K56)</f>
        <v/>
      </c>
      <c r="O56" s="8">
        <f>'Price Book'!AG49</f>
        <v/>
      </c>
    </row>
    <row r="57">
      <c r="A57" s="8">
        <f>'Price Book'!A50</f>
        <v/>
      </c>
      <c r="B57" s="8">
        <f>'Price Book'!B50</f>
        <v/>
      </c>
      <c r="C57" s="8">
        <f>'Price Book'!C50</f>
        <v/>
      </c>
      <c r="D57" s="8">
        <f>'Price Book'!D50</f>
        <v/>
      </c>
      <c r="E57" s="8">
        <f>'Price Book'!G50</f>
        <v/>
      </c>
      <c r="F57" s="10">
        <f>'Price Book'!I50</f>
        <v/>
      </c>
      <c r="G57" s="10">
        <f>'Price Book'!L50</f>
        <v/>
      </c>
      <c r="H57" s="10">
        <f>'Price Book'!M50</f>
        <v/>
      </c>
      <c r="I57" s="11">
        <f>'Price Book'!Q50</f>
        <v/>
      </c>
      <c r="J57" s="11">
        <f>'Price Book'!R50</f>
        <v/>
      </c>
      <c r="K57" s="9" t="n">
        <v>1</v>
      </c>
      <c r="L57" s="12">
        <f>IFERROR(F57*K57,"")</f>
        <v/>
      </c>
      <c r="M57" s="12">
        <f>IFERROR(G57*K57,"")</f>
        <v/>
      </c>
      <c r="N57" s="12">
        <f>IF(H57="","",H57*K57)</f>
        <v/>
      </c>
      <c r="O57" s="8">
        <f>'Price Book'!AG50</f>
        <v/>
      </c>
    </row>
    <row r="58">
      <c r="A58" s="8">
        <f>'Price Book'!A51</f>
        <v/>
      </c>
      <c r="B58" s="8">
        <f>'Price Book'!B51</f>
        <v/>
      </c>
      <c r="C58" s="8">
        <f>'Price Book'!C51</f>
        <v/>
      </c>
      <c r="D58" s="8">
        <f>'Price Book'!D51</f>
        <v/>
      </c>
      <c r="E58" s="8">
        <f>'Price Book'!G51</f>
        <v/>
      </c>
      <c r="F58" s="10">
        <f>'Price Book'!I51</f>
        <v/>
      </c>
      <c r="G58" s="10">
        <f>'Price Book'!L51</f>
        <v/>
      </c>
      <c r="H58" s="10">
        <f>'Price Book'!M51</f>
        <v/>
      </c>
      <c r="I58" s="11">
        <f>'Price Book'!Q51</f>
        <v/>
      </c>
      <c r="J58" s="11">
        <f>'Price Book'!R51</f>
        <v/>
      </c>
      <c r="K58" s="9" t="n">
        <v>1</v>
      </c>
      <c r="L58" s="12">
        <f>IFERROR(F58*K58,"")</f>
        <v/>
      </c>
      <c r="M58" s="12">
        <f>IFERROR(G58*K58,"")</f>
        <v/>
      </c>
      <c r="N58" s="12">
        <f>IF(H58="","",H58*K58)</f>
        <v/>
      </c>
      <c r="O58" s="8">
        <f>'Price Book'!AG51</f>
        <v/>
      </c>
    </row>
    <row r="59">
      <c r="A59" s="8">
        <f>'Price Book'!A52</f>
        <v/>
      </c>
      <c r="B59" s="8">
        <f>'Price Book'!B52</f>
        <v/>
      </c>
      <c r="C59" s="8">
        <f>'Price Book'!C52</f>
        <v/>
      </c>
      <c r="D59" s="8">
        <f>'Price Book'!D52</f>
        <v/>
      </c>
      <c r="E59" s="8">
        <f>'Price Book'!G52</f>
        <v/>
      </c>
      <c r="F59" s="10">
        <f>'Price Book'!I52</f>
        <v/>
      </c>
      <c r="G59" s="10">
        <f>'Price Book'!L52</f>
        <v/>
      </c>
      <c r="H59" s="10">
        <f>'Price Book'!M52</f>
        <v/>
      </c>
      <c r="I59" s="11">
        <f>'Price Book'!Q52</f>
        <v/>
      </c>
      <c r="J59" s="11">
        <f>'Price Book'!R52</f>
        <v/>
      </c>
      <c r="K59" s="9" t="n">
        <v>1</v>
      </c>
      <c r="L59" s="12">
        <f>IFERROR(F59*K59,"")</f>
        <v/>
      </c>
      <c r="M59" s="12">
        <f>IFERROR(G59*K59,"")</f>
        <v/>
      </c>
      <c r="N59" s="12">
        <f>IF(H59="","",H59*K59)</f>
        <v/>
      </c>
      <c r="O59" s="8">
        <f>'Price Book'!AG52</f>
        <v/>
      </c>
    </row>
    <row r="60">
      <c r="A60" s="8">
        <f>'Price Book'!A53</f>
        <v/>
      </c>
      <c r="B60" s="8">
        <f>'Price Book'!B53</f>
        <v/>
      </c>
      <c r="C60" s="8">
        <f>'Price Book'!C53</f>
        <v/>
      </c>
      <c r="D60" s="8">
        <f>'Price Book'!D53</f>
        <v/>
      </c>
      <c r="E60" s="8">
        <f>'Price Book'!G53</f>
        <v/>
      </c>
      <c r="F60" s="10">
        <f>'Price Book'!I53</f>
        <v/>
      </c>
      <c r="G60" s="10">
        <f>'Price Book'!L53</f>
        <v/>
      </c>
      <c r="H60" s="10">
        <f>'Price Book'!M53</f>
        <v/>
      </c>
      <c r="I60" s="11">
        <f>'Price Book'!Q53</f>
        <v/>
      </c>
      <c r="J60" s="11">
        <f>'Price Book'!R53</f>
        <v/>
      </c>
      <c r="K60" s="9" t="n">
        <v>1</v>
      </c>
      <c r="L60" s="12">
        <f>IFERROR(F60*K60,"")</f>
        <v/>
      </c>
      <c r="M60" s="12">
        <f>IFERROR(G60*K60,"")</f>
        <v/>
      </c>
      <c r="N60" s="12">
        <f>IF(H60="","",H60*K60)</f>
        <v/>
      </c>
      <c r="O60" s="8">
        <f>'Price Book'!AG53</f>
        <v/>
      </c>
    </row>
    <row r="61">
      <c r="A61" s="8">
        <f>'Price Book'!A54</f>
        <v/>
      </c>
      <c r="B61" s="8">
        <f>'Price Book'!B54</f>
        <v/>
      </c>
      <c r="C61" s="8">
        <f>'Price Book'!C54</f>
        <v/>
      </c>
      <c r="D61" s="8">
        <f>'Price Book'!D54</f>
        <v/>
      </c>
      <c r="E61" s="8">
        <f>'Price Book'!G54</f>
        <v/>
      </c>
      <c r="F61" s="10">
        <f>'Price Book'!I54</f>
        <v/>
      </c>
      <c r="G61" s="10">
        <f>'Price Book'!L54</f>
        <v/>
      </c>
      <c r="H61" s="10">
        <f>'Price Book'!M54</f>
        <v/>
      </c>
      <c r="I61" s="11">
        <f>'Price Book'!Q54</f>
        <v/>
      </c>
      <c r="J61" s="11">
        <f>'Price Book'!R54</f>
        <v/>
      </c>
      <c r="K61" s="9" t="n">
        <v>1</v>
      </c>
      <c r="L61" s="12">
        <f>IFERROR(F61*K61,"")</f>
        <v/>
      </c>
      <c r="M61" s="12">
        <f>IFERROR(G61*K61,"")</f>
        <v/>
      </c>
      <c r="N61" s="12">
        <f>IF(H61="","",H61*K61)</f>
        <v/>
      </c>
      <c r="O61" s="8">
        <f>'Price Book'!AG54</f>
        <v/>
      </c>
    </row>
    <row r="62">
      <c r="A62" s="8">
        <f>'Price Book'!A55</f>
        <v/>
      </c>
      <c r="B62" s="8">
        <f>'Price Book'!B55</f>
        <v/>
      </c>
      <c r="C62" s="8">
        <f>'Price Book'!C55</f>
        <v/>
      </c>
      <c r="D62" s="8">
        <f>'Price Book'!D55</f>
        <v/>
      </c>
      <c r="E62" s="8">
        <f>'Price Book'!G55</f>
        <v/>
      </c>
      <c r="F62" s="10">
        <f>'Price Book'!I55</f>
        <v/>
      </c>
      <c r="G62" s="10">
        <f>'Price Book'!L55</f>
        <v/>
      </c>
      <c r="H62" s="10">
        <f>'Price Book'!M55</f>
        <v/>
      </c>
      <c r="I62" s="11">
        <f>'Price Book'!Q55</f>
        <v/>
      </c>
      <c r="J62" s="11">
        <f>'Price Book'!R55</f>
        <v/>
      </c>
      <c r="K62" s="9" t="n">
        <v>1</v>
      </c>
      <c r="L62" s="12">
        <f>IFERROR(F62*K62,"")</f>
        <v/>
      </c>
      <c r="M62" s="12">
        <f>IFERROR(G62*K62,"")</f>
        <v/>
      </c>
      <c r="N62" s="12">
        <f>IF(H62="","",H62*K62)</f>
        <v/>
      </c>
      <c r="O62" s="8">
        <f>'Price Book'!AG55</f>
        <v/>
      </c>
    </row>
    <row r="63">
      <c r="A63" s="8">
        <f>'Price Book'!A56</f>
        <v/>
      </c>
      <c r="B63" s="8">
        <f>'Price Book'!B56</f>
        <v/>
      </c>
      <c r="C63" s="8">
        <f>'Price Book'!C56</f>
        <v/>
      </c>
      <c r="D63" s="8">
        <f>'Price Book'!D56</f>
        <v/>
      </c>
      <c r="E63" s="8">
        <f>'Price Book'!G56</f>
        <v/>
      </c>
      <c r="F63" s="10">
        <f>'Price Book'!I56</f>
        <v/>
      </c>
      <c r="G63" s="10">
        <f>'Price Book'!L56</f>
        <v/>
      </c>
      <c r="H63" s="10">
        <f>'Price Book'!M56</f>
        <v/>
      </c>
      <c r="I63" s="11">
        <f>'Price Book'!Q56</f>
        <v/>
      </c>
      <c r="J63" s="11">
        <f>'Price Book'!R56</f>
        <v/>
      </c>
      <c r="K63" s="9" t="n">
        <v>1</v>
      </c>
      <c r="L63" s="12">
        <f>IFERROR(F63*K63,"")</f>
        <v/>
      </c>
      <c r="M63" s="12">
        <f>IFERROR(G63*K63,"")</f>
        <v/>
      </c>
      <c r="N63" s="12">
        <f>IF(H63="","",H63*K63)</f>
        <v/>
      </c>
      <c r="O63" s="8">
        <f>'Price Book'!AG56</f>
        <v/>
      </c>
    </row>
    <row r="64">
      <c r="A64" s="8">
        <f>'Price Book'!A57</f>
        <v/>
      </c>
      <c r="B64" s="8">
        <f>'Price Book'!B57</f>
        <v/>
      </c>
      <c r="C64" s="8">
        <f>'Price Book'!C57</f>
        <v/>
      </c>
      <c r="D64" s="8">
        <f>'Price Book'!D57</f>
        <v/>
      </c>
      <c r="E64" s="8">
        <f>'Price Book'!G57</f>
        <v/>
      </c>
      <c r="F64" s="10">
        <f>'Price Book'!I57</f>
        <v/>
      </c>
      <c r="G64" s="10">
        <f>'Price Book'!L57</f>
        <v/>
      </c>
      <c r="H64" s="10">
        <f>'Price Book'!M57</f>
        <v/>
      </c>
      <c r="I64" s="11">
        <f>'Price Book'!Q57</f>
        <v/>
      </c>
      <c r="J64" s="11">
        <f>'Price Book'!R57</f>
        <v/>
      </c>
      <c r="K64" s="9" t="n">
        <v>1</v>
      </c>
      <c r="L64" s="12">
        <f>IFERROR(F64*K64,"")</f>
        <v/>
      </c>
      <c r="M64" s="12">
        <f>IFERROR(G64*K64,"")</f>
        <v/>
      </c>
      <c r="N64" s="12">
        <f>IF(H64="","",H64*K64)</f>
        <v/>
      </c>
      <c r="O64" s="8">
        <f>'Price Book'!AG57</f>
        <v/>
      </c>
    </row>
    <row r="65">
      <c r="A65" s="8">
        <f>'Price Book'!A58</f>
        <v/>
      </c>
      <c r="B65" s="8">
        <f>'Price Book'!B58</f>
        <v/>
      </c>
      <c r="C65" s="8">
        <f>'Price Book'!C58</f>
        <v/>
      </c>
      <c r="D65" s="8">
        <f>'Price Book'!D58</f>
        <v/>
      </c>
      <c r="E65" s="8">
        <f>'Price Book'!G58</f>
        <v/>
      </c>
      <c r="F65" s="10">
        <f>'Price Book'!I58</f>
        <v/>
      </c>
      <c r="G65" s="10">
        <f>'Price Book'!L58</f>
        <v/>
      </c>
      <c r="H65" s="10">
        <f>'Price Book'!M58</f>
        <v/>
      </c>
      <c r="I65" s="11">
        <f>'Price Book'!Q58</f>
        <v/>
      </c>
      <c r="J65" s="11">
        <f>'Price Book'!R58</f>
        <v/>
      </c>
      <c r="K65" s="9" t="n">
        <v>1</v>
      </c>
      <c r="L65" s="12">
        <f>IFERROR(F65*K65,"")</f>
        <v/>
      </c>
      <c r="M65" s="12">
        <f>IFERROR(G65*K65,"")</f>
        <v/>
      </c>
      <c r="N65" s="12">
        <f>IF(H65="","",H65*K65)</f>
        <v/>
      </c>
      <c r="O65" s="8">
        <f>'Price Book'!AG58</f>
        <v/>
      </c>
    </row>
    <row r="66">
      <c r="A66" s="8">
        <f>'Price Book'!A59</f>
        <v/>
      </c>
      <c r="B66" s="8">
        <f>'Price Book'!B59</f>
        <v/>
      </c>
      <c r="C66" s="8">
        <f>'Price Book'!C59</f>
        <v/>
      </c>
      <c r="D66" s="8">
        <f>'Price Book'!D59</f>
        <v/>
      </c>
      <c r="E66" s="8">
        <f>'Price Book'!G59</f>
        <v/>
      </c>
      <c r="F66" s="10">
        <f>'Price Book'!I59</f>
        <v/>
      </c>
      <c r="G66" s="10">
        <f>'Price Book'!L59</f>
        <v/>
      </c>
      <c r="H66" s="10">
        <f>'Price Book'!M59</f>
        <v/>
      </c>
      <c r="I66" s="11">
        <f>'Price Book'!Q59</f>
        <v/>
      </c>
      <c r="J66" s="11">
        <f>'Price Book'!R59</f>
        <v/>
      </c>
      <c r="K66" s="9" t="n">
        <v>1</v>
      </c>
      <c r="L66" s="12">
        <f>IFERROR(F66*K66,"")</f>
        <v/>
      </c>
      <c r="M66" s="12">
        <f>IFERROR(G66*K66,"")</f>
        <v/>
      </c>
      <c r="N66" s="12">
        <f>IF(H66="","",H66*K66)</f>
        <v/>
      </c>
      <c r="O66" s="8">
        <f>'Price Book'!AG59</f>
        <v/>
      </c>
    </row>
    <row r="67">
      <c r="A67" s="8">
        <f>'Price Book'!A60</f>
        <v/>
      </c>
      <c r="B67" s="8">
        <f>'Price Book'!B60</f>
        <v/>
      </c>
      <c r="C67" s="8">
        <f>'Price Book'!C60</f>
        <v/>
      </c>
      <c r="D67" s="8">
        <f>'Price Book'!D60</f>
        <v/>
      </c>
      <c r="E67" s="8">
        <f>'Price Book'!G60</f>
        <v/>
      </c>
      <c r="F67" s="10">
        <f>'Price Book'!I60</f>
        <v/>
      </c>
      <c r="G67" s="10">
        <f>'Price Book'!L60</f>
        <v/>
      </c>
      <c r="H67" s="10">
        <f>'Price Book'!M60</f>
        <v/>
      </c>
      <c r="I67" s="11">
        <f>'Price Book'!Q60</f>
        <v/>
      </c>
      <c r="J67" s="11">
        <f>'Price Book'!R60</f>
        <v/>
      </c>
      <c r="K67" s="9" t="n">
        <v>1</v>
      </c>
      <c r="L67" s="12">
        <f>IFERROR(F67*K67,"")</f>
        <v/>
      </c>
      <c r="M67" s="12">
        <f>IFERROR(G67*K67,"")</f>
        <v/>
      </c>
      <c r="N67" s="12">
        <f>IF(H67="","",H67*K67)</f>
        <v/>
      </c>
      <c r="O67" s="8">
        <f>'Price Book'!AG60</f>
        <v/>
      </c>
    </row>
    <row r="68">
      <c r="A68" s="8">
        <f>'Price Book'!A61</f>
        <v/>
      </c>
      <c r="B68" s="8">
        <f>'Price Book'!B61</f>
        <v/>
      </c>
      <c r="C68" s="8">
        <f>'Price Book'!C61</f>
        <v/>
      </c>
      <c r="D68" s="8">
        <f>'Price Book'!D61</f>
        <v/>
      </c>
      <c r="E68" s="8">
        <f>'Price Book'!G61</f>
        <v/>
      </c>
      <c r="F68" s="10">
        <f>'Price Book'!I61</f>
        <v/>
      </c>
      <c r="G68" s="10">
        <f>'Price Book'!L61</f>
        <v/>
      </c>
      <c r="H68" s="10">
        <f>'Price Book'!M61</f>
        <v/>
      </c>
      <c r="I68" s="11">
        <f>'Price Book'!Q61</f>
        <v/>
      </c>
      <c r="J68" s="11">
        <f>'Price Book'!R61</f>
        <v/>
      </c>
      <c r="K68" s="9" t="n">
        <v>1</v>
      </c>
      <c r="L68" s="12">
        <f>IFERROR(F68*K68,"")</f>
        <v/>
      </c>
      <c r="M68" s="12">
        <f>IFERROR(G68*K68,"")</f>
        <v/>
      </c>
      <c r="N68" s="12">
        <f>IF(H68="","",H68*K68)</f>
        <v/>
      </c>
      <c r="O68" s="8">
        <f>'Price Book'!AG61</f>
        <v/>
      </c>
    </row>
    <row r="69">
      <c r="A69" s="8">
        <f>'Price Book'!A62</f>
        <v/>
      </c>
      <c r="B69" s="8">
        <f>'Price Book'!B62</f>
        <v/>
      </c>
      <c r="C69" s="8">
        <f>'Price Book'!C62</f>
        <v/>
      </c>
      <c r="D69" s="8">
        <f>'Price Book'!D62</f>
        <v/>
      </c>
      <c r="E69" s="8">
        <f>'Price Book'!G62</f>
        <v/>
      </c>
      <c r="F69" s="10">
        <f>'Price Book'!I62</f>
        <v/>
      </c>
      <c r="G69" s="10">
        <f>'Price Book'!L62</f>
        <v/>
      </c>
      <c r="H69" s="10">
        <f>'Price Book'!M62</f>
        <v/>
      </c>
      <c r="I69" s="11">
        <f>'Price Book'!Q62</f>
        <v/>
      </c>
      <c r="J69" s="11">
        <f>'Price Book'!R62</f>
        <v/>
      </c>
      <c r="K69" s="9" t="n">
        <v>1</v>
      </c>
      <c r="L69" s="12">
        <f>IFERROR(F69*K69,"")</f>
        <v/>
      </c>
      <c r="M69" s="12">
        <f>IFERROR(G69*K69,"")</f>
        <v/>
      </c>
      <c r="N69" s="12">
        <f>IF(H69="","",H69*K69)</f>
        <v/>
      </c>
      <c r="O69" s="8">
        <f>'Price Book'!AG62</f>
        <v/>
      </c>
    </row>
    <row r="70">
      <c r="A70" s="8">
        <f>'Price Book'!A63</f>
        <v/>
      </c>
      <c r="B70" s="8">
        <f>'Price Book'!B63</f>
        <v/>
      </c>
      <c r="C70" s="8">
        <f>'Price Book'!C63</f>
        <v/>
      </c>
      <c r="D70" s="8">
        <f>'Price Book'!D63</f>
        <v/>
      </c>
      <c r="E70" s="8">
        <f>'Price Book'!G63</f>
        <v/>
      </c>
      <c r="F70" s="10">
        <f>'Price Book'!I63</f>
        <v/>
      </c>
      <c r="G70" s="10">
        <f>'Price Book'!L63</f>
        <v/>
      </c>
      <c r="H70" s="10">
        <f>'Price Book'!M63</f>
        <v/>
      </c>
      <c r="I70" s="11">
        <f>'Price Book'!Q63</f>
        <v/>
      </c>
      <c r="J70" s="11">
        <f>'Price Book'!R63</f>
        <v/>
      </c>
      <c r="K70" s="9" t="n">
        <v>1</v>
      </c>
      <c r="L70" s="12">
        <f>IFERROR(F70*K70,"")</f>
        <v/>
      </c>
      <c r="M70" s="12">
        <f>IFERROR(G70*K70,"")</f>
        <v/>
      </c>
      <c r="N70" s="12">
        <f>IF(H70="","",H70*K70)</f>
        <v/>
      </c>
      <c r="O70" s="8">
        <f>'Price Book'!AG63</f>
        <v/>
      </c>
    </row>
    <row r="71">
      <c r="A71" s="8">
        <f>'Price Book'!A64</f>
        <v/>
      </c>
      <c r="B71" s="8">
        <f>'Price Book'!B64</f>
        <v/>
      </c>
      <c r="C71" s="8">
        <f>'Price Book'!C64</f>
        <v/>
      </c>
      <c r="D71" s="8">
        <f>'Price Book'!D64</f>
        <v/>
      </c>
      <c r="E71" s="8">
        <f>'Price Book'!G64</f>
        <v/>
      </c>
      <c r="F71" s="10">
        <f>'Price Book'!I64</f>
        <v/>
      </c>
      <c r="G71" s="10">
        <f>'Price Book'!L64</f>
        <v/>
      </c>
      <c r="H71" s="10">
        <f>'Price Book'!M64</f>
        <v/>
      </c>
      <c r="I71" s="11">
        <f>'Price Book'!Q64</f>
        <v/>
      </c>
      <c r="J71" s="11">
        <f>'Price Book'!R64</f>
        <v/>
      </c>
      <c r="K71" s="9" t="n">
        <v>1</v>
      </c>
      <c r="L71" s="12">
        <f>IFERROR(F71*K71,"")</f>
        <v/>
      </c>
      <c r="M71" s="12">
        <f>IFERROR(G71*K71,"")</f>
        <v/>
      </c>
      <c r="N71" s="12">
        <f>IF(H71="","",H71*K71)</f>
        <v/>
      </c>
      <c r="O71" s="8">
        <f>'Price Book'!AG64</f>
        <v/>
      </c>
    </row>
    <row r="72">
      <c r="A72" s="8">
        <f>'Price Book'!A65</f>
        <v/>
      </c>
      <c r="B72" s="8">
        <f>'Price Book'!B65</f>
        <v/>
      </c>
      <c r="C72" s="8">
        <f>'Price Book'!C65</f>
        <v/>
      </c>
      <c r="D72" s="8">
        <f>'Price Book'!D65</f>
        <v/>
      </c>
      <c r="E72" s="8">
        <f>'Price Book'!G65</f>
        <v/>
      </c>
      <c r="F72" s="10">
        <f>'Price Book'!I65</f>
        <v/>
      </c>
      <c r="G72" s="10">
        <f>'Price Book'!L65</f>
        <v/>
      </c>
      <c r="H72" s="10">
        <f>'Price Book'!M65</f>
        <v/>
      </c>
      <c r="I72" s="11">
        <f>'Price Book'!Q65</f>
        <v/>
      </c>
      <c r="J72" s="11">
        <f>'Price Book'!R65</f>
        <v/>
      </c>
      <c r="K72" s="9" t="n">
        <v>1</v>
      </c>
      <c r="L72" s="12">
        <f>IFERROR(F72*K72,"")</f>
        <v/>
      </c>
      <c r="M72" s="12">
        <f>IFERROR(G72*K72,"")</f>
        <v/>
      </c>
      <c r="N72" s="12">
        <f>IF(H72="","",H72*K72)</f>
        <v/>
      </c>
      <c r="O72" s="8">
        <f>'Price Book'!AG65</f>
        <v/>
      </c>
    </row>
    <row r="73">
      <c r="A73" s="8">
        <f>'Price Book'!A66</f>
        <v/>
      </c>
      <c r="B73" s="8">
        <f>'Price Book'!B66</f>
        <v/>
      </c>
      <c r="C73" s="8">
        <f>'Price Book'!C66</f>
        <v/>
      </c>
      <c r="D73" s="8">
        <f>'Price Book'!D66</f>
        <v/>
      </c>
      <c r="E73" s="8">
        <f>'Price Book'!G66</f>
        <v/>
      </c>
      <c r="F73" s="10">
        <f>'Price Book'!I66</f>
        <v/>
      </c>
      <c r="G73" s="10">
        <f>'Price Book'!L66</f>
        <v/>
      </c>
      <c r="H73" s="10">
        <f>'Price Book'!M66</f>
        <v/>
      </c>
      <c r="I73" s="11">
        <f>'Price Book'!Q66</f>
        <v/>
      </c>
      <c r="J73" s="11">
        <f>'Price Book'!R66</f>
        <v/>
      </c>
      <c r="K73" s="9" t="n">
        <v>1</v>
      </c>
      <c r="L73" s="12">
        <f>IFERROR(F73*K73,"")</f>
        <v/>
      </c>
      <c r="M73" s="12">
        <f>IFERROR(G73*K73,"")</f>
        <v/>
      </c>
      <c r="N73" s="12">
        <f>IF(H73="","",H73*K73)</f>
        <v/>
      </c>
      <c r="O73" s="8">
        <f>'Price Book'!AG66</f>
        <v/>
      </c>
    </row>
    <row r="74">
      <c r="A74" s="8">
        <f>'Price Book'!A67</f>
        <v/>
      </c>
      <c r="B74" s="8">
        <f>'Price Book'!B67</f>
        <v/>
      </c>
      <c r="C74" s="8">
        <f>'Price Book'!C67</f>
        <v/>
      </c>
      <c r="D74" s="8">
        <f>'Price Book'!D67</f>
        <v/>
      </c>
      <c r="E74" s="8">
        <f>'Price Book'!G67</f>
        <v/>
      </c>
      <c r="F74" s="10">
        <f>'Price Book'!I67</f>
        <v/>
      </c>
      <c r="G74" s="10">
        <f>'Price Book'!L67</f>
        <v/>
      </c>
      <c r="H74" s="10">
        <f>'Price Book'!M67</f>
        <v/>
      </c>
      <c r="I74" s="11">
        <f>'Price Book'!Q67</f>
        <v/>
      </c>
      <c r="J74" s="11">
        <f>'Price Book'!R67</f>
        <v/>
      </c>
      <c r="K74" s="9" t="n">
        <v>1</v>
      </c>
      <c r="L74" s="12">
        <f>IFERROR(F74*K74,"")</f>
        <v/>
      </c>
      <c r="M74" s="12">
        <f>IFERROR(G74*K74,"")</f>
        <v/>
      </c>
      <c r="N74" s="12">
        <f>IF(H74="","",H74*K74)</f>
        <v/>
      </c>
      <c r="O74" s="8">
        <f>'Price Book'!AG67</f>
        <v/>
      </c>
    </row>
    <row r="75">
      <c r="A75" s="8">
        <f>'Price Book'!A68</f>
        <v/>
      </c>
      <c r="B75" s="8">
        <f>'Price Book'!B68</f>
        <v/>
      </c>
      <c r="C75" s="8">
        <f>'Price Book'!C68</f>
        <v/>
      </c>
      <c r="D75" s="8">
        <f>'Price Book'!D68</f>
        <v/>
      </c>
      <c r="E75" s="8">
        <f>'Price Book'!G68</f>
        <v/>
      </c>
      <c r="F75" s="10">
        <f>'Price Book'!I68</f>
        <v/>
      </c>
      <c r="G75" s="10">
        <f>'Price Book'!L68</f>
        <v/>
      </c>
      <c r="H75" s="10">
        <f>'Price Book'!M68</f>
        <v/>
      </c>
      <c r="I75" s="11">
        <f>'Price Book'!Q68</f>
        <v/>
      </c>
      <c r="J75" s="11">
        <f>'Price Book'!R68</f>
        <v/>
      </c>
      <c r="K75" s="9" t="n">
        <v>1</v>
      </c>
      <c r="L75" s="12">
        <f>IFERROR(F75*K75,"")</f>
        <v/>
      </c>
      <c r="M75" s="12">
        <f>IFERROR(G75*K75,"")</f>
        <v/>
      </c>
      <c r="N75" s="12">
        <f>IF(H75="","",H75*K75)</f>
        <v/>
      </c>
      <c r="O75" s="8">
        <f>'Price Book'!AG68</f>
        <v/>
      </c>
    </row>
    <row r="76">
      <c r="A76" s="8">
        <f>'Price Book'!A69</f>
        <v/>
      </c>
      <c r="B76" s="8">
        <f>'Price Book'!B69</f>
        <v/>
      </c>
      <c r="C76" s="8">
        <f>'Price Book'!C69</f>
        <v/>
      </c>
      <c r="D76" s="8">
        <f>'Price Book'!D69</f>
        <v/>
      </c>
      <c r="E76" s="8">
        <f>'Price Book'!G69</f>
        <v/>
      </c>
      <c r="F76" s="10">
        <f>'Price Book'!I69</f>
        <v/>
      </c>
      <c r="G76" s="10">
        <f>'Price Book'!L69</f>
        <v/>
      </c>
      <c r="H76" s="10">
        <f>'Price Book'!M69</f>
        <v/>
      </c>
      <c r="I76" s="11">
        <f>'Price Book'!Q69</f>
        <v/>
      </c>
      <c r="J76" s="11">
        <f>'Price Book'!R69</f>
        <v/>
      </c>
      <c r="K76" s="9" t="n">
        <v>1</v>
      </c>
      <c r="L76" s="12">
        <f>IFERROR(F76*K76,"")</f>
        <v/>
      </c>
      <c r="M76" s="12">
        <f>IFERROR(G76*K76,"")</f>
        <v/>
      </c>
      <c r="N76" s="12">
        <f>IF(H76="","",H76*K76)</f>
        <v/>
      </c>
      <c r="O76" s="8">
        <f>'Price Book'!AG69</f>
        <v/>
      </c>
    </row>
    <row r="77">
      <c r="A77" s="8">
        <f>'Price Book'!A70</f>
        <v/>
      </c>
      <c r="B77" s="8">
        <f>'Price Book'!B70</f>
        <v/>
      </c>
      <c r="C77" s="8">
        <f>'Price Book'!C70</f>
        <v/>
      </c>
      <c r="D77" s="8">
        <f>'Price Book'!D70</f>
        <v/>
      </c>
      <c r="E77" s="8">
        <f>'Price Book'!G70</f>
        <v/>
      </c>
      <c r="F77" s="10">
        <f>'Price Book'!I70</f>
        <v/>
      </c>
      <c r="G77" s="10">
        <f>'Price Book'!L70</f>
        <v/>
      </c>
      <c r="H77" s="10">
        <f>'Price Book'!M70</f>
        <v/>
      </c>
      <c r="I77" s="11">
        <f>'Price Book'!Q70</f>
        <v/>
      </c>
      <c r="J77" s="11">
        <f>'Price Book'!R70</f>
        <v/>
      </c>
      <c r="K77" s="9" t="n">
        <v>1</v>
      </c>
      <c r="L77" s="12">
        <f>IFERROR(F77*K77,"")</f>
        <v/>
      </c>
      <c r="M77" s="12">
        <f>IFERROR(G77*K77,"")</f>
        <v/>
      </c>
      <c r="N77" s="12">
        <f>IF(H77="","",H77*K77)</f>
        <v/>
      </c>
      <c r="O77" s="8">
        <f>'Price Book'!AG70</f>
        <v/>
      </c>
    </row>
    <row r="78">
      <c r="A78" s="8">
        <f>'Price Book'!A71</f>
        <v/>
      </c>
      <c r="B78" s="8">
        <f>'Price Book'!B71</f>
        <v/>
      </c>
      <c r="C78" s="8">
        <f>'Price Book'!C71</f>
        <v/>
      </c>
      <c r="D78" s="8">
        <f>'Price Book'!D71</f>
        <v/>
      </c>
      <c r="E78" s="8">
        <f>'Price Book'!G71</f>
        <v/>
      </c>
      <c r="F78" s="10">
        <f>'Price Book'!I71</f>
        <v/>
      </c>
      <c r="G78" s="10">
        <f>'Price Book'!L71</f>
        <v/>
      </c>
      <c r="H78" s="10">
        <f>'Price Book'!M71</f>
        <v/>
      </c>
      <c r="I78" s="11">
        <f>'Price Book'!Q71</f>
        <v/>
      </c>
      <c r="J78" s="11">
        <f>'Price Book'!R71</f>
        <v/>
      </c>
      <c r="K78" s="9" t="n">
        <v>1</v>
      </c>
      <c r="L78" s="12">
        <f>IFERROR(F78*K78,"")</f>
        <v/>
      </c>
      <c r="M78" s="12">
        <f>IFERROR(G78*K78,"")</f>
        <v/>
      </c>
      <c r="N78" s="12">
        <f>IF(H78="","",H78*K78)</f>
        <v/>
      </c>
      <c r="O78" s="8">
        <f>'Price Book'!AG71</f>
        <v/>
      </c>
    </row>
    <row r="79">
      <c r="A79" s="8">
        <f>'Price Book'!A72</f>
        <v/>
      </c>
      <c r="B79" s="8">
        <f>'Price Book'!B72</f>
        <v/>
      </c>
      <c r="C79" s="8">
        <f>'Price Book'!C72</f>
        <v/>
      </c>
      <c r="D79" s="8">
        <f>'Price Book'!D72</f>
        <v/>
      </c>
      <c r="E79" s="8">
        <f>'Price Book'!G72</f>
        <v/>
      </c>
      <c r="F79" s="10">
        <f>'Price Book'!I72</f>
        <v/>
      </c>
      <c r="G79" s="10">
        <f>'Price Book'!L72</f>
        <v/>
      </c>
      <c r="H79" s="10">
        <f>'Price Book'!M72</f>
        <v/>
      </c>
      <c r="I79" s="11">
        <f>'Price Book'!Q72</f>
        <v/>
      </c>
      <c r="J79" s="11">
        <f>'Price Book'!R72</f>
        <v/>
      </c>
      <c r="K79" s="9" t="n">
        <v>1</v>
      </c>
      <c r="L79" s="12">
        <f>IFERROR(F79*K79,"")</f>
        <v/>
      </c>
      <c r="M79" s="12">
        <f>IFERROR(G79*K79,"")</f>
        <v/>
      </c>
      <c r="N79" s="12">
        <f>IF(H79="","",H79*K79)</f>
        <v/>
      </c>
      <c r="O79" s="8">
        <f>'Price Book'!AG72</f>
        <v/>
      </c>
    </row>
    <row r="80">
      <c r="A80" s="8">
        <f>'Price Book'!A73</f>
        <v/>
      </c>
      <c r="B80" s="8">
        <f>'Price Book'!B73</f>
        <v/>
      </c>
      <c r="C80" s="8">
        <f>'Price Book'!C73</f>
        <v/>
      </c>
      <c r="D80" s="8">
        <f>'Price Book'!D73</f>
        <v/>
      </c>
      <c r="E80" s="8">
        <f>'Price Book'!G73</f>
        <v/>
      </c>
      <c r="F80" s="10">
        <f>'Price Book'!I73</f>
        <v/>
      </c>
      <c r="G80" s="10">
        <f>'Price Book'!L73</f>
        <v/>
      </c>
      <c r="H80" s="10">
        <f>'Price Book'!M73</f>
        <v/>
      </c>
      <c r="I80" s="11">
        <f>'Price Book'!Q73</f>
        <v/>
      </c>
      <c r="J80" s="11">
        <f>'Price Book'!R73</f>
        <v/>
      </c>
      <c r="K80" s="9" t="n">
        <v>1</v>
      </c>
      <c r="L80" s="12">
        <f>IFERROR(F80*K80,"")</f>
        <v/>
      </c>
      <c r="M80" s="12">
        <f>IFERROR(G80*K80,"")</f>
        <v/>
      </c>
      <c r="N80" s="12">
        <f>IF(H80="","",H80*K80)</f>
        <v/>
      </c>
      <c r="O80" s="8">
        <f>'Price Book'!AG73</f>
        <v/>
      </c>
    </row>
    <row r="81">
      <c r="A81" s="8">
        <f>'Price Book'!A74</f>
        <v/>
      </c>
      <c r="B81" s="8">
        <f>'Price Book'!B74</f>
        <v/>
      </c>
      <c r="C81" s="8">
        <f>'Price Book'!C74</f>
        <v/>
      </c>
      <c r="D81" s="8">
        <f>'Price Book'!D74</f>
        <v/>
      </c>
      <c r="E81" s="8">
        <f>'Price Book'!G74</f>
        <v/>
      </c>
      <c r="F81" s="10">
        <f>'Price Book'!I74</f>
        <v/>
      </c>
      <c r="G81" s="10">
        <f>'Price Book'!L74</f>
        <v/>
      </c>
      <c r="H81" s="10">
        <f>'Price Book'!M74</f>
        <v/>
      </c>
      <c r="I81" s="11">
        <f>'Price Book'!Q74</f>
        <v/>
      </c>
      <c r="J81" s="11">
        <f>'Price Book'!R74</f>
        <v/>
      </c>
      <c r="K81" s="9" t="n">
        <v>1</v>
      </c>
      <c r="L81" s="12">
        <f>IFERROR(F81*K81,"")</f>
        <v/>
      </c>
      <c r="M81" s="12">
        <f>IFERROR(G81*K81,"")</f>
        <v/>
      </c>
      <c r="N81" s="12">
        <f>IF(H81="","",H81*K81)</f>
        <v/>
      </c>
      <c r="O81" s="8">
        <f>'Price Book'!AG74</f>
        <v/>
      </c>
    </row>
    <row r="82">
      <c r="A82" s="8">
        <f>'Price Book'!A75</f>
        <v/>
      </c>
      <c r="B82" s="8">
        <f>'Price Book'!B75</f>
        <v/>
      </c>
      <c r="C82" s="8">
        <f>'Price Book'!C75</f>
        <v/>
      </c>
      <c r="D82" s="8">
        <f>'Price Book'!D75</f>
        <v/>
      </c>
      <c r="E82" s="8">
        <f>'Price Book'!G75</f>
        <v/>
      </c>
      <c r="F82" s="10">
        <f>'Price Book'!I75</f>
        <v/>
      </c>
      <c r="G82" s="10">
        <f>'Price Book'!L75</f>
        <v/>
      </c>
      <c r="H82" s="10">
        <f>'Price Book'!M75</f>
        <v/>
      </c>
      <c r="I82" s="11">
        <f>'Price Book'!Q75</f>
        <v/>
      </c>
      <c r="J82" s="11">
        <f>'Price Book'!R75</f>
        <v/>
      </c>
      <c r="K82" s="9" t="n">
        <v>1</v>
      </c>
      <c r="L82" s="12">
        <f>IFERROR(F82*K82,"")</f>
        <v/>
      </c>
      <c r="M82" s="12">
        <f>IFERROR(G82*K82,"")</f>
        <v/>
      </c>
      <c r="N82" s="12">
        <f>IF(H82="","",H82*K82)</f>
        <v/>
      </c>
      <c r="O82" s="8">
        <f>'Price Book'!AG75</f>
        <v/>
      </c>
    </row>
    <row r="83">
      <c r="A83" s="8">
        <f>'Price Book'!A76</f>
        <v/>
      </c>
      <c r="B83" s="8">
        <f>'Price Book'!B76</f>
        <v/>
      </c>
      <c r="C83" s="8">
        <f>'Price Book'!C76</f>
        <v/>
      </c>
      <c r="D83" s="8">
        <f>'Price Book'!D76</f>
        <v/>
      </c>
      <c r="E83" s="8">
        <f>'Price Book'!G76</f>
        <v/>
      </c>
      <c r="F83" s="10">
        <f>'Price Book'!I76</f>
        <v/>
      </c>
      <c r="G83" s="10">
        <f>'Price Book'!L76</f>
        <v/>
      </c>
      <c r="H83" s="10">
        <f>'Price Book'!M76</f>
        <v/>
      </c>
      <c r="I83" s="11">
        <f>'Price Book'!Q76</f>
        <v/>
      </c>
      <c r="J83" s="11">
        <f>'Price Book'!R76</f>
        <v/>
      </c>
      <c r="K83" s="9" t="n">
        <v>1</v>
      </c>
      <c r="L83" s="12">
        <f>IFERROR(F83*K83,"")</f>
        <v/>
      </c>
      <c r="M83" s="12">
        <f>IFERROR(G83*K83,"")</f>
        <v/>
      </c>
      <c r="N83" s="12">
        <f>IF(H83="","",H83*K83)</f>
        <v/>
      </c>
      <c r="O83" s="8">
        <f>'Price Book'!AG76</f>
        <v/>
      </c>
    </row>
    <row r="84">
      <c r="A84" s="8">
        <f>'Price Book'!A77</f>
        <v/>
      </c>
      <c r="B84" s="8">
        <f>'Price Book'!B77</f>
        <v/>
      </c>
      <c r="C84" s="8">
        <f>'Price Book'!C77</f>
        <v/>
      </c>
      <c r="D84" s="8">
        <f>'Price Book'!D77</f>
        <v/>
      </c>
      <c r="E84" s="8">
        <f>'Price Book'!G77</f>
        <v/>
      </c>
      <c r="F84" s="10">
        <f>'Price Book'!I77</f>
        <v/>
      </c>
      <c r="G84" s="10">
        <f>'Price Book'!L77</f>
        <v/>
      </c>
      <c r="H84" s="10">
        <f>'Price Book'!M77</f>
        <v/>
      </c>
      <c r="I84" s="11">
        <f>'Price Book'!Q77</f>
        <v/>
      </c>
      <c r="J84" s="11">
        <f>'Price Book'!R77</f>
        <v/>
      </c>
      <c r="K84" s="9" t="n">
        <v>1</v>
      </c>
      <c r="L84" s="12">
        <f>IFERROR(F84*K84,"")</f>
        <v/>
      </c>
      <c r="M84" s="12">
        <f>IFERROR(G84*K84,"")</f>
        <v/>
      </c>
      <c r="N84" s="12">
        <f>IF(H84="","",H84*K84)</f>
        <v/>
      </c>
      <c r="O84" s="8">
        <f>'Price Book'!AG77</f>
        <v/>
      </c>
    </row>
    <row r="85">
      <c r="A85" s="8">
        <f>'Price Book'!A78</f>
        <v/>
      </c>
      <c r="B85" s="8">
        <f>'Price Book'!B78</f>
        <v/>
      </c>
      <c r="C85" s="8">
        <f>'Price Book'!C78</f>
        <v/>
      </c>
      <c r="D85" s="8">
        <f>'Price Book'!D78</f>
        <v/>
      </c>
      <c r="E85" s="8">
        <f>'Price Book'!G78</f>
        <v/>
      </c>
      <c r="F85" s="10">
        <f>'Price Book'!I78</f>
        <v/>
      </c>
      <c r="G85" s="10">
        <f>'Price Book'!L78</f>
        <v/>
      </c>
      <c r="H85" s="10">
        <f>'Price Book'!M78</f>
        <v/>
      </c>
      <c r="I85" s="11">
        <f>'Price Book'!Q78</f>
        <v/>
      </c>
      <c r="J85" s="11">
        <f>'Price Book'!R78</f>
        <v/>
      </c>
      <c r="K85" s="9" t="n">
        <v>1</v>
      </c>
      <c r="L85" s="12">
        <f>IFERROR(F85*K85,"")</f>
        <v/>
      </c>
      <c r="M85" s="12">
        <f>IFERROR(G85*K85,"")</f>
        <v/>
      </c>
      <c r="N85" s="12">
        <f>IF(H85="","",H85*K85)</f>
        <v/>
      </c>
      <c r="O85" s="8">
        <f>'Price Book'!AG78</f>
        <v/>
      </c>
    </row>
    <row r="86">
      <c r="A86" s="8">
        <f>'Price Book'!A79</f>
        <v/>
      </c>
      <c r="B86" s="8">
        <f>'Price Book'!B79</f>
        <v/>
      </c>
      <c r="C86" s="8">
        <f>'Price Book'!C79</f>
        <v/>
      </c>
      <c r="D86" s="8">
        <f>'Price Book'!D79</f>
        <v/>
      </c>
      <c r="E86" s="8">
        <f>'Price Book'!G79</f>
        <v/>
      </c>
      <c r="F86" s="10">
        <f>'Price Book'!I79</f>
        <v/>
      </c>
      <c r="G86" s="10">
        <f>'Price Book'!L79</f>
        <v/>
      </c>
      <c r="H86" s="10">
        <f>'Price Book'!M79</f>
        <v/>
      </c>
      <c r="I86" s="11">
        <f>'Price Book'!Q79</f>
        <v/>
      </c>
      <c r="J86" s="11">
        <f>'Price Book'!R79</f>
        <v/>
      </c>
      <c r="K86" s="9" t="n">
        <v>1</v>
      </c>
      <c r="L86" s="12">
        <f>IFERROR(F86*K86,"")</f>
        <v/>
      </c>
      <c r="M86" s="12">
        <f>IFERROR(G86*K86,"")</f>
        <v/>
      </c>
      <c r="N86" s="12">
        <f>IF(H86="","",H86*K86)</f>
        <v/>
      </c>
      <c r="O86" s="8">
        <f>'Price Book'!AG79</f>
        <v/>
      </c>
    </row>
    <row r="87">
      <c r="A87" s="8">
        <f>'Price Book'!A80</f>
        <v/>
      </c>
      <c r="B87" s="8">
        <f>'Price Book'!B80</f>
        <v/>
      </c>
      <c r="C87" s="8">
        <f>'Price Book'!C80</f>
        <v/>
      </c>
      <c r="D87" s="8">
        <f>'Price Book'!D80</f>
        <v/>
      </c>
      <c r="E87" s="8">
        <f>'Price Book'!G80</f>
        <v/>
      </c>
      <c r="F87" s="10">
        <f>'Price Book'!I80</f>
        <v/>
      </c>
      <c r="G87" s="10">
        <f>'Price Book'!L80</f>
        <v/>
      </c>
      <c r="H87" s="10">
        <f>'Price Book'!M80</f>
        <v/>
      </c>
      <c r="I87" s="11">
        <f>'Price Book'!Q80</f>
        <v/>
      </c>
      <c r="J87" s="11">
        <f>'Price Book'!R80</f>
        <v/>
      </c>
      <c r="K87" s="9" t="n">
        <v>1</v>
      </c>
      <c r="L87" s="12">
        <f>IFERROR(F87*K87,"")</f>
        <v/>
      </c>
      <c r="M87" s="12">
        <f>IFERROR(G87*K87,"")</f>
        <v/>
      </c>
      <c r="N87" s="12">
        <f>IF(H87="","",H87*K87)</f>
        <v/>
      </c>
      <c r="O87" s="8">
        <f>'Price Book'!AG80</f>
        <v/>
      </c>
    </row>
    <row r="88">
      <c r="A88" s="8">
        <f>'Price Book'!A81</f>
        <v/>
      </c>
      <c r="B88" s="8">
        <f>'Price Book'!B81</f>
        <v/>
      </c>
      <c r="C88" s="8">
        <f>'Price Book'!C81</f>
        <v/>
      </c>
      <c r="D88" s="8">
        <f>'Price Book'!D81</f>
        <v/>
      </c>
      <c r="E88" s="8">
        <f>'Price Book'!G81</f>
        <v/>
      </c>
      <c r="F88" s="10">
        <f>'Price Book'!I81</f>
        <v/>
      </c>
      <c r="G88" s="10">
        <f>'Price Book'!L81</f>
        <v/>
      </c>
      <c r="H88" s="10">
        <f>'Price Book'!M81</f>
        <v/>
      </c>
      <c r="I88" s="11">
        <f>'Price Book'!Q81</f>
        <v/>
      </c>
      <c r="J88" s="11">
        <f>'Price Book'!R81</f>
        <v/>
      </c>
      <c r="K88" s="9" t="n">
        <v>1</v>
      </c>
      <c r="L88" s="12">
        <f>IFERROR(F88*K88,"")</f>
        <v/>
      </c>
      <c r="M88" s="12">
        <f>IFERROR(G88*K88,"")</f>
        <v/>
      </c>
      <c r="N88" s="12">
        <f>IF(H88="","",H88*K88)</f>
        <v/>
      </c>
      <c r="O88" s="8">
        <f>'Price Book'!AG81</f>
        <v/>
      </c>
    </row>
    <row r="89">
      <c r="A89" s="8">
        <f>'Price Book'!A82</f>
        <v/>
      </c>
      <c r="B89" s="8">
        <f>'Price Book'!B82</f>
        <v/>
      </c>
      <c r="C89" s="8">
        <f>'Price Book'!C82</f>
        <v/>
      </c>
      <c r="D89" s="8">
        <f>'Price Book'!D82</f>
        <v/>
      </c>
      <c r="E89" s="8">
        <f>'Price Book'!G82</f>
        <v/>
      </c>
      <c r="F89" s="10">
        <f>'Price Book'!I82</f>
        <v/>
      </c>
      <c r="G89" s="10">
        <f>'Price Book'!L82</f>
        <v/>
      </c>
      <c r="H89" s="10">
        <f>'Price Book'!M82</f>
        <v/>
      </c>
      <c r="I89" s="11">
        <f>'Price Book'!Q82</f>
        <v/>
      </c>
      <c r="J89" s="11">
        <f>'Price Book'!R82</f>
        <v/>
      </c>
      <c r="K89" s="9" t="n">
        <v>1</v>
      </c>
      <c r="L89" s="12">
        <f>IFERROR(F89*K89,"")</f>
        <v/>
      </c>
      <c r="M89" s="12">
        <f>IFERROR(G89*K89,"")</f>
        <v/>
      </c>
      <c r="N89" s="12">
        <f>IF(H89="","",H89*K89)</f>
        <v/>
      </c>
      <c r="O89" s="8">
        <f>'Price Book'!AG82</f>
        <v/>
      </c>
    </row>
    <row r="90">
      <c r="A90" s="8">
        <f>'Price Book'!A83</f>
        <v/>
      </c>
      <c r="B90" s="8">
        <f>'Price Book'!B83</f>
        <v/>
      </c>
      <c r="C90" s="8">
        <f>'Price Book'!C83</f>
        <v/>
      </c>
      <c r="D90" s="8">
        <f>'Price Book'!D83</f>
        <v/>
      </c>
      <c r="E90" s="8">
        <f>'Price Book'!G83</f>
        <v/>
      </c>
      <c r="F90" s="10">
        <f>'Price Book'!I83</f>
        <v/>
      </c>
      <c r="G90" s="10">
        <f>'Price Book'!L83</f>
        <v/>
      </c>
      <c r="H90" s="10">
        <f>'Price Book'!M83</f>
        <v/>
      </c>
      <c r="I90" s="11">
        <f>'Price Book'!Q83</f>
        <v/>
      </c>
      <c r="J90" s="11">
        <f>'Price Book'!R83</f>
        <v/>
      </c>
      <c r="K90" s="9" t="n">
        <v>1</v>
      </c>
      <c r="L90" s="12">
        <f>IFERROR(F90*K90,"")</f>
        <v/>
      </c>
      <c r="M90" s="12">
        <f>IFERROR(G90*K90,"")</f>
        <v/>
      </c>
      <c r="N90" s="12">
        <f>IF(H90="","",H90*K90)</f>
        <v/>
      </c>
      <c r="O90" s="8">
        <f>'Price Book'!AG83</f>
        <v/>
      </c>
    </row>
    <row r="91">
      <c r="A91" s="8">
        <f>'Price Book'!A84</f>
        <v/>
      </c>
      <c r="B91" s="8">
        <f>'Price Book'!B84</f>
        <v/>
      </c>
      <c r="C91" s="8">
        <f>'Price Book'!C84</f>
        <v/>
      </c>
      <c r="D91" s="8">
        <f>'Price Book'!D84</f>
        <v/>
      </c>
      <c r="E91" s="8">
        <f>'Price Book'!G84</f>
        <v/>
      </c>
      <c r="F91" s="10">
        <f>'Price Book'!I84</f>
        <v/>
      </c>
      <c r="G91" s="10">
        <f>'Price Book'!L84</f>
        <v/>
      </c>
      <c r="H91" s="10">
        <f>'Price Book'!M84</f>
        <v/>
      </c>
      <c r="I91" s="11">
        <f>'Price Book'!Q84</f>
        <v/>
      </c>
      <c r="J91" s="11">
        <f>'Price Book'!R84</f>
        <v/>
      </c>
      <c r="K91" s="9" t="n">
        <v>1</v>
      </c>
      <c r="L91" s="12">
        <f>IFERROR(F91*K91,"")</f>
        <v/>
      </c>
      <c r="M91" s="12">
        <f>IFERROR(G91*K91,"")</f>
        <v/>
      </c>
      <c r="N91" s="12">
        <f>IF(H91="","",H91*K91)</f>
        <v/>
      </c>
      <c r="O91" s="8">
        <f>'Price Book'!AG84</f>
        <v/>
      </c>
    </row>
    <row r="92">
      <c r="A92" s="8">
        <f>'Price Book'!A85</f>
        <v/>
      </c>
      <c r="B92" s="8">
        <f>'Price Book'!B85</f>
        <v/>
      </c>
      <c r="C92" s="8">
        <f>'Price Book'!C85</f>
        <v/>
      </c>
      <c r="D92" s="8">
        <f>'Price Book'!D85</f>
        <v/>
      </c>
      <c r="E92" s="8">
        <f>'Price Book'!G85</f>
        <v/>
      </c>
      <c r="F92" s="10">
        <f>'Price Book'!I85</f>
        <v/>
      </c>
      <c r="G92" s="10">
        <f>'Price Book'!L85</f>
        <v/>
      </c>
      <c r="H92" s="10">
        <f>'Price Book'!M85</f>
        <v/>
      </c>
      <c r="I92" s="11">
        <f>'Price Book'!Q85</f>
        <v/>
      </c>
      <c r="J92" s="11">
        <f>'Price Book'!R85</f>
        <v/>
      </c>
      <c r="K92" s="9" t="n">
        <v>1</v>
      </c>
      <c r="L92" s="12">
        <f>IFERROR(F92*K92,"")</f>
        <v/>
      </c>
      <c r="M92" s="12">
        <f>IFERROR(G92*K92,"")</f>
        <v/>
      </c>
      <c r="N92" s="12">
        <f>IF(H92="","",H92*K92)</f>
        <v/>
      </c>
      <c r="O92" s="8">
        <f>'Price Book'!AG85</f>
        <v/>
      </c>
    </row>
    <row r="93">
      <c r="A93" s="8">
        <f>'Price Book'!A86</f>
        <v/>
      </c>
      <c r="B93" s="8">
        <f>'Price Book'!B86</f>
        <v/>
      </c>
      <c r="C93" s="8">
        <f>'Price Book'!C86</f>
        <v/>
      </c>
      <c r="D93" s="8">
        <f>'Price Book'!D86</f>
        <v/>
      </c>
      <c r="E93" s="8">
        <f>'Price Book'!G86</f>
        <v/>
      </c>
      <c r="F93" s="10">
        <f>'Price Book'!I86</f>
        <v/>
      </c>
      <c r="G93" s="10">
        <f>'Price Book'!L86</f>
        <v/>
      </c>
      <c r="H93" s="10">
        <f>'Price Book'!M86</f>
        <v/>
      </c>
      <c r="I93" s="11">
        <f>'Price Book'!Q86</f>
        <v/>
      </c>
      <c r="J93" s="11">
        <f>'Price Book'!R86</f>
        <v/>
      </c>
      <c r="K93" s="9" t="n">
        <v>1</v>
      </c>
      <c r="L93" s="12">
        <f>IFERROR(F93*K93,"")</f>
        <v/>
      </c>
      <c r="M93" s="12">
        <f>IFERROR(G93*K93,"")</f>
        <v/>
      </c>
      <c r="N93" s="12">
        <f>IF(H93="","",H93*K93)</f>
        <v/>
      </c>
      <c r="O93" s="8">
        <f>'Price Book'!AG86</f>
        <v/>
      </c>
    </row>
    <row r="94">
      <c r="A94" s="8">
        <f>'Price Book'!A87</f>
        <v/>
      </c>
      <c r="B94" s="8">
        <f>'Price Book'!B87</f>
        <v/>
      </c>
      <c r="C94" s="8">
        <f>'Price Book'!C87</f>
        <v/>
      </c>
      <c r="D94" s="8">
        <f>'Price Book'!D87</f>
        <v/>
      </c>
      <c r="E94" s="8">
        <f>'Price Book'!G87</f>
        <v/>
      </c>
      <c r="F94" s="10">
        <f>'Price Book'!I87</f>
        <v/>
      </c>
      <c r="G94" s="10">
        <f>'Price Book'!L87</f>
        <v/>
      </c>
      <c r="H94" s="10">
        <f>'Price Book'!M87</f>
        <v/>
      </c>
      <c r="I94" s="11">
        <f>'Price Book'!Q87</f>
        <v/>
      </c>
      <c r="J94" s="11">
        <f>'Price Book'!R87</f>
        <v/>
      </c>
      <c r="K94" s="9" t="n">
        <v>1</v>
      </c>
      <c r="L94" s="12">
        <f>IFERROR(F94*K94,"")</f>
        <v/>
      </c>
      <c r="M94" s="12">
        <f>IFERROR(G94*K94,"")</f>
        <v/>
      </c>
      <c r="N94" s="12">
        <f>IF(H94="","",H94*K94)</f>
        <v/>
      </c>
      <c r="O94" s="8">
        <f>'Price Book'!AG87</f>
        <v/>
      </c>
    </row>
    <row r="95">
      <c r="A95" s="8">
        <f>'Price Book'!A88</f>
        <v/>
      </c>
      <c r="B95" s="8">
        <f>'Price Book'!B88</f>
        <v/>
      </c>
      <c r="C95" s="8">
        <f>'Price Book'!C88</f>
        <v/>
      </c>
      <c r="D95" s="8">
        <f>'Price Book'!D88</f>
        <v/>
      </c>
      <c r="E95" s="8">
        <f>'Price Book'!G88</f>
        <v/>
      </c>
      <c r="F95" s="10">
        <f>'Price Book'!I88</f>
        <v/>
      </c>
      <c r="G95" s="10">
        <f>'Price Book'!L88</f>
        <v/>
      </c>
      <c r="H95" s="10">
        <f>'Price Book'!M88</f>
        <v/>
      </c>
      <c r="I95" s="11">
        <f>'Price Book'!Q88</f>
        <v/>
      </c>
      <c r="J95" s="11">
        <f>'Price Book'!R88</f>
        <v/>
      </c>
      <c r="K95" s="9" t="n">
        <v>1</v>
      </c>
      <c r="L95" s="12">
        <f>IFERROR(F95*K95,"")</f>
        <v/>
      </c>
      <c r="M95" s="12">
        <f>IFERROR(G95*K95,"")</f>
        <v/>
      </c>
      <c r="N95" s="12">
        <f>IF(H95="","",H95*K95)</f>
        <v/>
      </c>
      <c r="O95" s="8">
        <f>'Price Book'!AG88</f>
        <v/>
      </c>
    </row>
    <row r="96">
      <c r="A96" s="8">
        <f>'Price Book'!A89</f>
        <v/>
      </c>
      <c r="B96" s="8">
        <f>'Price Book'!B89</f>
        <v/>
      </c>
      <c r="C96" s="8">
        <f>'Price Book'!C89</f>
        <v/>
      </c>
      <c r="D96" s="8">
        <f>'Price Book'!D89</f>
        <v/>
      </c>
      <c r="E96" s="8">
        <f>'Price Book'!G89</f>
        <v/>
      </c>
      <c r="F96" s="10">
        <f>'Price Book'!I89</f>
        <v/>
      </c>
      <c r="G96" s="10">
        <f>'Price Book'!L89</f>
        <v/>
      </c>
      <c r="H96" s="10">
        <f>'Price Book'!M89</f>
        <v/>
      </c>
      <c r="I96" s="11">
        <f>'Price Book'!Q89</f>
        <v/>
      </c>
      <c r="J96" s="11">
        <f>'Price Book'!R89</f>
        <v/>
      </c>
      <c r="K96" s="9" t="n">
        <v>1</v>
      </c>
      <c r="L96" s="12">
        <f>IFERROR(F96*K96,"")</f>
        <v/>
      </c>
      <c r="M96" s="12">
        <f>IFERROR(G96*K96,"")</f>
        <v/>
      </c>
      <c r="N96" s="12">
        <f>IF(H96="","",H96*K96)</f>
        <v/>
      </c>
      <c r="O96" s="8">
        <f>'Price Book'!AG89</f>
        <v/>
      </c>
    </row>
    <row r="97">
      <c r="A97" s="8">
        <f>'Price Book'!A90</f>
        <v/>
      </c>
      <c r="B97" s="8">
        <f>'Price Book'!B90</f>
        <v/>
      </c>
      <c r="C97" s="8">
        <f>'Price Book'!C90</f>
        <v/>
      </c>
      <c r="D97" s="8">
        <f>'Price Book'!D90</f>
        <v/>
      </c>
      <c r="E97" s="8">
        <f>'Price Book'!G90</f>
        <v/>
      </c>
      <c r="F97" s="10">
        <f>'Price Book'!I90</f>
        <v/>
      </c>
      <c r="G97" s="10">
        <f>'Price Book'!L90</f>
        <v/>
      </c>
      <c r="H97" s="10">
        <f>'Price Book'!M90</f>
        <v/>
      </c>
      <c r="I97" s="11">
        <f>'Price Book'!Q90</f>
        <v/>
      </c>
      <c r="J97" s="11">
        <f>'Price Book'!R90</f>
        <v/>
      </c>
      <c r="K97" s="9" t="n">
        <v>1</v>
      </c>
      <c r="L97" s="12">
        <f>IFERROR(F97*K97,"")</f>
        <v/>
      </c>
      <c r="M97" s="12">
        <f>IFERROR(G97*K97,"")</f>
        <v/>
      </c>
      <c r="N97" s="12">
        <f>IF(H97="","",H97*K97)</f>
        <v/>
      </c>
      <c r="O97" s="8">
        <f>'Price Book'!AG90</f>
        <v/>
      </c>
    </row>
    <row r="98">
      <c r="A98" s="8">
        <f>'Price Book'!A91</f>
        <v/>
      </c>
      <c r="B98" s="8">
        <f>'Price Book'!B91</f>
        <v/>
      </c>
      <c r="C98" s="8">
        <f>'Price Book'!C91</f>
        <v/>
      </c>
      <c r="D98" s="8">
        <f>'Price Book'!D91</f>
        <v/>
      </c>
      <c r="E98" s="8">
        <f>'Price Book'!G91</f>
        <v/>
      </c>
      <c r="F98" s="10">
        <f>'Price Book'!I91</f>
        <v/>
      </c>
      <c r="G98" s="10">
        <f>'Price Book'!L91</f>
        <v/>
      </c>
      <c r="H98" s="10">
        <f>'Price Book'!M91</f>
        <v/>
      </c>
      <c r="I98" s="11">
        <f>'Price Book'!Q91</f>
        <v/>
      </c>
      <c r="J98" s="11">
        <f>'Price Book'!R91</f>
        <v/>
      </c>
      <c r="K98" s="9" t="n">
        <v>1</v>
      </c>
      <c r="L98" s="12">
        <f>IFERROR(F98*K98,"")</f>
        <v/>
      </c>
      <c r="M98" s="12">
        <f>IFERROR(G98*K98,"")</f>
        <v/>
      </c>
      <c r="N98" s="12">
        <f>IF(H98="","",H98*K98)</f>
        <v/>
      </c>
      <c r="O98" s="8">
        <f>'Price Book'!AG91</f>
        <v/>
      </c>
    </row>
    <row r="99">
      <c r="A99" s="8">
        <f>'Price Book'!A92</f>
        <v/>
      </c>
      <c r="B99" s="8">
        <f>'Price Book'!B92</f>
        <v/>
      </c>
      <c r="C99" s="8">
        <f>'Price Book'!C92</f>
        <v/>
      </c>
      <c r="D99" s="8">
        <f>'Price Book'!D92</f>
        <v/>
      </c>
      <c r="E99" s="8">
        <f>'Price Book'!G92</f>
        <v/>
      </c>
      <c r="F99" s="10">
        <f>'Price Book'!I92</f>
        <v/>
      </c>
      <c r="G99" s="10">
        <f>'Price Book'!L92</f>
        <v/>
      </c>
      <c r="H99" s="10">
        <f>'Price Book'!M92</f>
        <v/>
      </c>
      <c r="I99" s="11">
        <f>'Price Book'!Q92</f>
        <v/>
      </c>
      <c r="J99" s="11">
        <f>'Price Book'!R92</f>
        <v/>
      </c>
      <c r="K99" s="9" t="n">
        <v>1</v>
      </c>
      <c r="L99" s="12">
        <f>IFERROR(F99*K99,"")</f>
        <v/>
      </c>
      <c r="M99" s="12">
        <f>IFERROR(G99*K99,"")</f>
        <v/>
      </c>
      <c r="N99" s="12">
        <f>IF(H99="","",H99*K99)</f>
        <v/>
      </c>
      <c r="O99" s="8">
        <f>'Price Book'!AG92</f>
        <v/>
      </c>
    </row>
    <row r="100">
      <c r="A100" s="8">
        <f>'Price Book'!A93</f>
        <v/>
      </c>
      <c r="B100" s="8">
        <f>'Price Book'!B93</f>
        <v/>
      </c>
      <c r="C100" s="8">
        <f>'Price Book'!C93</f>
        <v/>
      </c>
      <c r="D100" s="8">
        <f>'Price Book'!D93</f>
        <v/>
      </c>
      <c r="E100" s="8">
        <f>'Price Book'!G93</f>
        <v/>
      </c>
      <c r="F100" s="10">
        <f>'Price Book'!I93</f>
        <v/>
      </c>
      <c r="G100" s="10">
        <f>'Price Book'!L93</f>
        <v/>
      </c>
      <c r="H100" s="10">
        <f>'Price Book'!M93</f>
        <v/>
      </c>
      <c r="I100" s="11">
        <f>'Price Book'!Q93</f>
        <v/>
      </c>
      <c r="J100" s="11">
        <f>'Price Book'!R93</f>
        <v/>
      </c>
      <c r="K100" s="9" t="n">
        <v>1</v>
      </c>
      <c r="L100" s="12">
        <f>IFERROR(F100*K100,"")</f>
        <v/>
      </c>
      <c r="M100" s="12">
        <f>IFERROR(G100*K100,"")</f>
        <v/>
      </c>
      <c r="N100" s="12">
        <f>IF(H100="","",H100*K100)</f>
        <v/>
      </c>
      <c r="O100" s="8">
        <f>'Price Book'!AG93</f>
        <v/>
      </c>
    </row>
    <row r="101">
      <c r="A101" s="8">
        <f>'Price Book'!A94</f>
        <v/>
      </c>
      <c r="B101" s="8">
        <f>'Price Book'!B94</f>
        <v/>
      </c>
      <c r="C101" s="8">
        <f>'Price Book'!C94</f>
        <v/>
      </c>
      <c r="D101" s="8">
        <f>'Price Book'!D94</f>
        <v/>
      </c>
      <c r="E101" s="8">
        <f>'Price Book'!G94</f>
        <v/>
      </c>
      <c r="F101" s="10">
        <f>'Price Book'!I94</f>
        <v/>
      </c>
      <c r="G101" s="10">
        <f>'Price Book'!L94</f>
        <v/>
      </c>
      <c r="H101" s="10">
        <f>'Price Book'!M94</f>
        <v/>
      </c>
      <c r="I101" s="11">
        <f>'Price Book'!Q94</f>
        <v/>
      </c>
      <c r="J101" s="11">
        <f>'Price Book'!R94</f>
        <v/>
      </c>
      <c r="K101" s="9" t="n">
        <v>1</v>
      </c>
      <c r="L101" s="12">
        <f>IFERROR(F101*K101,"")</f>
        <v/>
      </c>
      <c r="M101" s="12">
        <f>IFERROR(G101*K101,"")</f>
        <v/>
      </c>
      <c r="N101" s="12">
        <f>IF(H101="","",H101*K101)</f>
        <v/>
      </c>
      <c r="O101" s="8">
        <f>'Price Book'!AG94</f>
        <v/>
      </c>
    </row>
    <row r="102">
      <c r="A102" s="8">
        <f>'Price Book'!A95</f>
        <v/>
      </c>
      <c r="B102" s="8">
        <f>'Price Book'!B95</f>
        <v/>
      </c>
      <c r="C102" s="8">
        <f>'Price Book'!C95</f>
        <v/>
      </c>
      <c r="D102" s="8">
        <f>'Price Book'!D95</f>
        <v/>
      </c>
      <c r="E102" s="8">
        <f>'Price Book'!G95</f>
        <v/>
      </c>
      <c r="F102" s="10">
        <f>'Price Book'!I95</f>
        <v/>
      </c>
      <c r="G102" s="10">
        <f>'Price Book'!L95</f>
        <v/>
      </c>
      <c r="H102" s="10">
        <f>'Price Book'!M95</f>
        <v/>
      </c>
      <c r="I102" s="11">
        <f>'Price Book'!Q95</f>
        <v/>
      </c>
      <c r="J102" s="11">
        <f>'Price Book'!R95</f>
        <v/>
      </c>
      <c r="K102" s="9" t="n">
        <v>1</v>
      </c>
      <c r="L102" s="12">
        <f>IFERROR(F102*K102,"")</f>
        <v/>
      </c>
      <c r="M102" s="12">
        <f>IFERROR(G102*K102,"")</f>
        <v/>
      </c>
      <c r="N102" s="12">
        <f>IF(H102="","",H102*K102)</f>
        <v/>
      </c>
      <c r="O102" s="8">
        <f>'Price Book'!AG95</f>
        <v/>
      </c>
    </row>
    <row r="103">
      <c r="A103" s="8">
        <f>'Price Book'!A96</f>
        <v/>
      </c>
      <c r="B103" s="8">
        <f>'Price Book'!B96</f>
        <v/>
      </c>
      <c r="C103" s="8">
        <f>'Price Book'!C96</f>
        <v/>
      </c>
      <c r="D103" s="8">
        <f>'Price Book'!D96</f>
        <v/>
      </c>
      <c r="E103" s="8">
        <f>'Price Book'!G96</f>
        <v/>
      </c>
      <c r="F103" s="10">
        <f>'Price Book'!I96</f>
        <v/>
      </c>
      <c r="G103" s="10">
        <f>'Price Book'!L96</f>
        <v/>
      </c>
      <c r="H103" s="10">
        <f>'Price Book'!M96</f>
        <v/>
      </c>
      <c r="I103" s="11">
        <f>'Price Book'!Q96</f>
        <v/>
      </c>
      <c r="J103" s="11">
        <f>'Price Book'!R96</f>
        <v/>
      </c>
      <c r="K103" s="9" t="n">
        <v>1</v>
      </c>
      <c r="L103" s="12">
        <f>IFERROR(F103*K103,"")</f>
        <v/>
      </c>
      <c r="M103" s="12">
        <f>IFERROR(G103*K103,"")</f>
        <v/>
      </c>
      <c r="N103" s="12">
        <f>IF(H103="","",H103*K103)</f>
        <v/>
      </c>
      <c r="O103" s="8">
        <f>'Price Book'!AG96</f>
        <v/>
      </c>
    </row>
    <row r="104">
      <c r="A104" s="8">
        <f>'Price Book'!A97</f>
        <v/>
      </c>
      <c r="B104" s="8">
        <f>'Price Book'!B97</f>
        <v/>
      </c>
      <c r="C104" s="8">
        <f>'Price Book'!C97</f>
        <v/>
      </c>
      <c r="D104" s="8">
        <f>'Price Book'!D97</f>
        <v/>
      </c>
      <c r="E104" s="8">
        <f>'Price Book'!G97</f>
        <v/>
      </c>
      <c r="F104" s="10">
        <f>'Price Book'!I97</f>
        <v/>
      </c>
      <c r="G104" s="10">
        <f>'Price Book'!L97</f>
        <v/>
      </c>
      <c r="H104" s="10">
        <f>'Price Book'!M97</f>
        <v/>
      </c>
      <c r="I104" s="11">
        <f>'Price Book'!Q97</f>
        <v/>
      </c>
      <c r="J104" s="11">
        <f>'Price Book'!R97</f>
        <v/>
      </c>
      <c r="K104" s="9" t="n">
        <v>1</v>
      </c>
      <c r="L104" s="12">
        <f>IFERROR(F104*K104,"")</f>
        <v/>
      </c>
      <c r="M104" s="12">
        <f>IFERROR(G104*K104,"")</f>
        <v/>
      </c>
      <c r="N104" s="12">
        <f>IF(H104="","",H104*K104)</f>
        <v/>
      </c>
      <c r="O104" s="8">
        <f>'Price Book'!AG97</f>
        <v/>
      </c>
    </row>
    <row r="105">
      <c r="A105" s="8">
        <f>'Price Book'!A98</f>
        <v/>
      </c>
      <c r="B105" s="8">
        <f>'Price Book'!B98</f>
        <v/>
      </c>
      <c r="C105" s="8">
        <f>'Price Book'!C98</f>
        <v/>
      </c>
      <c r="D105" s="8">
        <f>'Price Book'!D98</f>
        <v/>
      </c>
      <c r="E105" s="8">
        <f>'Price Book'!G98</f>
        <v/>
      </c>
      <c r="F105" s="10">
        <f>'Price Book'!I98</f>
        <v/>
      </c>
      <c r="G105" s="10">
        <f>'Price Book'!L98</f>
        <v/>
      </c>
      <c r="H105" s="10">
        <f>'Price Book'!M98</f>
        <v/>
      </c>
      <c r="I105" s="11">
        <f>'Price Book'!Q98</f>
        <v/>
      </c>
      <c r="J105" s="11">
        <f>'Price Book'!R98</f>
        <v/>
      </c>
      <c r="K105" s="9" t="n">
        <v>1</v>
      </c>
      <c r="L105" s="12">
        <f>IFERROR(F105*K105,"")</f>
        <v/>
      </c>
      <c r="M105" s="12">
        <f>IFERROR(G105*K105,"")</f>
        <v/>
      </c>
      <c r="N105" s="12">
        <f>IF(H105="","",H105*K105)</f>
        <v/>
      </c>
      <c r="O105" s="8">
        <f>'Price Book'!AG98</f>
        <v/>
      </c>
    </row>
    <row r="106">
      <c r="A106" s="8">
        <f>'Price Book'!A99</f>
        <v/>
      </c>
      <c r="B106" s="8">
        <f>'Price Book'!B99</f>
        <v/>
      </c>
      <c r="C106" s="8">
        <f>'Price Book'!C99</f>
        <v/>
      </c>
      <c r="D106" s="8">
        <f>'Price Book'!D99</f>
        <v/>
      </c>
      <c r="E106" s="8">
        <f>'Price Book'!G99</f>
        <v/>
      </c>
      <c r="F106" s="10">
        <f>'Price Book'!I99</f>
        <v/>
      </c>
      <c r="G106" s="10">
        <f>'Price Book'!L99</f>
        <v/>
      </c>
      <c r="H106" s="10">
        <f>'Price Book'!M99</f>
        <v/>
      </c>
      <c r="I106" s="11">
        <f>'Price Book'!Q99</f>
        <v/>
      </c>
      <c r="J106" s="11">
        <f>'Price Book'!R99</f>
        <v/>
      </c>
      <c r="K106" s="9" t="n">
        <v>1</v>
      </c>
      <c r="L106" s="12">
        <f>IFERROR(F106*K106,"")</f>
        <v/>
      </c>
      <c r="M106" s="12">
        <f>IFERROR(G106*K106,"")</f>
        <v/>
      </c>
      <c r="N106" s="12">
        <f>IF(H106="","",H106*K106)</f>
        <v/>
      </c>
      <c r="O106" s="8">
        <f>'Price Book'!AG99</f>
        <v/>
      </c>
    </row>
    <row r="107">
      <c r="A107" s="8">
        <f>'Price Book'!A100</f>
        <v/>
      </c>
      <c r="B107" s="8">
        <f>'Price Book'!B100</f>
        <v/>
      </c>
      <c r="C107" s="8">
        <f>'Price Book'!C100</f>
        <v/>
      </c>
      <c r="D107" s="8">
        <f>'Price Book'!D100</f>
        <v/>
      </c>
      <c r="E107" s="8">
        <f>'Price Book'!G100</f>
        <v/>
      </c>
      <c r="F107" s="10">
        <f>'Price Book'!I100</f>
        <v/>
      </c>
      <c r="G107" s="10">
        <f>'Price Book'!L100</f>
        <v/>
      </c>
      <c r="H107" s="10">
        <f>'Price Book'!M100</f>
        <v/>
      </c>
      <c r="I107" s="11">
        <f>'Price Book'!Q100</f>
        <v/>
      </c>
      <c r="J107" s="11">
        <f>'Price Book'!R100</f>
        <v/>
      </c>
      <c r="K107" s="9" t="n">
        <v>1</v>
      </c>
      <c r="L107" s="12">
        <f>IFERROR(F107*K107,"")</f>
        <v/>
      </c>
      <c r="M107" s="12">
        <f>IFERROR(G107*K107,"")</f>
        <v/>
      </c>
      <c r="N107" s="12">
        <f>IF(H107="","",H107*K107)</f>
        <v/>
      </c>
      <c r="O107" s="8">
        <f>'Price Book'!AG100</f>
        <v/>
      </c>
    </row>
    <row r="108">
      <c r="A108" s="8">
        <f>'Price Book'!A101</f>
        <v/>
      </c>
      <c r="B108" s="8">
        <f>'Price Book'!B101</f>
        <v/>
      </c>
      <c r="C108" s="8">
        <f>'Price Book'!C101</f>
        <v/>
      </c>
      <c r="D108" s="8">
        <f>'Price Book'!D101</f>
        <v/>
      </c>
      <c r="E108" s="8">
        <f>'Price Book'!G101</f>
        <v/>
      </c>
      <c r="F108" s="10">
        <f>'Price Book'!I101</f>
        <v/>
      </c>
      <c r="G108" s="10">
        <f>'Price Book'!L101</f>
        <v/>
      </c>
      <c r="H108" s="10">
        <f>'Price Book'!M101</f>
        <v/>
      </c>
      <c r="I108" s="11">
        <f>'Price Book'!Q101</f>
        <v/>
      </c>
      <c r="J108" s="11">
        <f>'Price Book'!R101</f>
        <v/>
      </c>
      <c r="K108" s="9" t="n">
        <v>1</v>
      </c>
      <c r="L108" s="12">
        <f>IFERROR(F108*K108,"")</f>
        <v/>
      </c>
      <c r="M108" s="12">
        <f>IFERROR(G108*K108,"")</f>
        <v/>
      </c>
      <c r="N108" s="12">
        <f>IF(H108="","",H108*K108)</f>
        <v/>
      </c>
      <c r="O108" s="8">
        <f>'Price Book'!AG101</f>
        <v/>
      </c>
    </row>
    <row r="109">
      <c r="A109" s="8">
        <f>'Price Book'!A102</f>
        <v/>
      </c>
      <c r="B109" s="8">
        <f>'Price Book'!B102</f>
        <v/>
      </c>
      <c r="C109" s="8">
        <f>'Price Book'!C102</f>
        <v/>
      </c>
      <c r="D109" s="8">
        <f>'Price Book'!D102</f>
        <v/>
      </c>
      <c r="E109" s="8">
        <f>'Price Book'!G102</f>
        <v/>
      </c>
      <c r="F109" s="10">
        <f>'Price Book'!I102</f>
        <v/>
      </c>
      <c r="G109" s="10">
        <f>'Price Book'!L102</f>
        <v/>
      </c>
      <c r="H109" s="10">
        <f>'Price Book'!M102</f>
        <v/>
      </c>
      <c r="I109" s="11">
        <f>'Price Book'!Q102</f>
        <v/>
      </c>
      <c r="J109" s="11">
        <f>'Price Book'!R102</f>
        <v/>
      </c>
      <c r="K109" s="9" t="n">
        <v>1</v>
      </c>
      <c r="L109" s="12">
        <f>IFERROR(F109*K109,"")</f>
        <v/>
      </c>
      <c r="M109" s="12">
        <f>IFERROR(G109*K109,"")</f>
        <v/>
      </c>
      <c r="N109" s="12">
        <f>IF(H109="","",H109*K109)</f>
        <v/>
      </c>
      <c r="O109" s="8">
        <f>'Price Book'!AG102</f>
        <v/>
      </c>
    </row>
    <row r="110">
      <c r="A110" s="8">
        <f>'Price Book'!A103</f>
        <v/>
      </c>
      <c r="B110" s="8">
        <f>'Price Book'!B103</f>
        <v/>
      </c>
      <c r="C110" s="8">
        <f>'Price Book'!C103</f>
        <v/>
      </c>
      <c r="D110" s="8">
        <f>'Price Book'!D103</f>
        <v/>
      </c>
      <c r="E110" s="8">
        <f>'Price Book'!G103</f>
        <v/>
      </c>
      <c r="F110" s="10">
        <f>'Price Book'!I103</f>
        <v/>
      </c>
      <c r="G110" s="10">
        <f>'Price Book'!L103</f>
        <v/>
      </c>
      <c r="H110" s="10">
        <f>'Price Book'!M103</f>
        <v/>
      </c>
      <c r="I110" s="11">
        <f>'Price Book'!Q103</f>
        <v/>
      </c>
      <c r="J110" s="11">
        <f>'Price Book'!R103</f>
        <v/>
      </c>
      <c r="K110" s="9" t="n">
        <v>1</v>
      </c>
      <c r="L110" s="12">
        <f>IFERROR(F110*K110,"")</f>
        <v/>
      </c>
      <c r="M110" s="12">
        <f>IFERROR(G110*K110,"")</f>
        <v/>
      </c>
      <c r="N110" s="12">
        <f>IF(H110="","",H110*K110)</f>
        <v/>
      </c>
      <c r="O110" s="8">
        <f>'Price Book'!AG103</f>
        <v/>
      </c>
    </row>
    <row r="111">
      <c r="A111" s="8">
        <f>'Price Book'!A104</f>
        <v/>
      </c>
      <c r="B111" s="8">
        <f>'Price Book'!B104</f>
        <v/>
      </c>
      <c r="C111" s="8">
        <f>'Price Book'!C104</f>
        <v/>
      </c>
      <c r="D111" s="8">
        <f>'Price Book'!D104</f>
        <v/>
      </c>
      <c r="E111" s="8">
        <f>'Price Book'!G104</f>
        <v/>
      </c>
      <c r="F111" s="10">
        <f>'Price Book'!I104</f>
        <v/>
      </c>
      <c r="G111" s="10">
        <f>'Price Book'!L104</f>
        <v/>
      </c>
      <c r="H111" s="10">
        <f>'Price Book'!M104</f>
        <v/>
      </c>
      <c r="I111" s="11">
        <f>'Price Book'!Q104</f>
        <v/>
      </c>
      <c r="J111" s="11">
        <f>'Price Book'!R104</f>
        <v/>
      </c>
      <c r="K111" s="9" t="n">
        <v>1</v>
      </c>
      <c r="L111" s="12">
        <f>IFERROR(F111*K111,"")</f>
        <v/>
      </c>
      <c r="M111" s="12">
        <f>IFERROR(G111*K111,"")</f>
        <v/>
      </c>
      <c r="N111" s="12">
        <f>IF(H111="","",H111*K111)</f>
        <v/>
      </c>
      <c r="O111" s="8">
        <f>'Price Book'!AG104</f>
        <v/>
      </c>
    </row>
    <row r="112">
      <c r="A112" s="8">
        <f>'Price Book'!A105</f>
        <v/>
      </c>
      <c r="B112" s="8">
        <f>'Price Book'!B105</f>
        <v/>
      </c>
      <c r="C112" s="8">
        <f>'Price Book'!C105</f>
        <v/>
      </c>
      <c r="D112" s="8">
        <f>'Price Book'!D105</f>
        <v/>
      </c>
      <c r="E112" s="8">
        <f>'Price Book'!G105</f>
        <v/>
      </c>
      <c r="F112" s="10">
        <f>'Price Book'!I105</f>
        <v/>
      </c>
      <c r="G112" s="10">
        <f>'Price Book'!L105</f>
        <v/>
      </c>
      <c r="H112" s="10">
        <f>'Price Book'!M105</f>
        <v/>
      </c>
      <c r="I112" s="11">
        <f>'Price Book'!Q105</f>
        <v/>
      </c>
      <c r="J112" s="11">
        <f>'Price Book'!R105</f>
        <v/>
      </c>
      <c r="K112" s="9" t="n">
        <v>1</v>
      </c>
      <c r="L112" s="12">
        <f>IFERROR(F112*K112,"")</f>
        <v/>
      </c>
      <c r="M112" s="12">
        <f>IFERROR(G112*K112,"")</f>
        <v/>
      </c>
      <c r="N112" s="12">
        <f>IF(H112="","",H112*K112)</f>
        <v/>
      </c>
      <c r="O112" s="8">
        <f>'Price Book'!AG105</f>
        <v/>
      </c>
    </row>
    <row r="113">
      <c r="A113" s="8">
        <f>'Price Book'!A106</f>
        <v/>
      </c>
      <c r="B113" s="8">
        <f>'Price Book'!B106</f>
        <v/>
      </c>
      <c r="C113" s="8">
        <f>'Price Book'!C106</f>
        <v/>
      </c>
      <c r="D113" s="8">
        <f>'Price Book'!D106</f>
        <v/>
      </c>
      <c r="E113" s="8">
        <f>'Price Book'!G106</f>
        <v/>
      </c>
      <c r="F113" s="10">
        <f>'Price Book'!I106</f>
        <v/>
      </c>
      <c r="G113" s="10">
        <f>'Price Book'!L106</f>
        <v/>
      </c>
      <c r="H113" s="10">
        <f>'Price Book'!M106</f>
        <v/>
      </c>
      <c r="I113" s="11">
        <f>'Price Book'!Q106</f>
        <v/>
      </c>
      <c r="J113" s="11">
        <f>'Price Book'!R106</f>
        <v/>
      </c>
      <c r="K113" s="9" t="n">
        <v>1</v>
      </c>
      <c r="L113" s="12">
        <f>IFERROR(F113*K113,"")</f>
        <v/>
      </c>
      <c r="M113" s="12">
        <f>IFERROR(G113*K113,"")</f>
        <v/>
      </c>
      <c r="N113" s="12">
        <f>IF(H113="","",H113*K113)</f>
        <v/>
      </c>
      <c r="O113" s="8">
        <f>'Price Book'!AG106</f>
        <v/>
      </c>
    </row>
    <row r="114">
      <c r="A114" s="8">
        <f>'Price Book'!A107</f>
        <v/>
      </c>
      <c r="B114" s="8">
        <f>'Price Book'!B107</f>
        <v/>
      </c>
      <c r="C114" s="8">
        <f>'Price Book'!C107</f>
        <v/>
      </c>
      <c r="D114" s="8">
        <f>'Price Book'!D107</f>
        <v/>
      </c>
      <c r="E114" s="8">
        <f>'Price Book'!G107</f>
        <v/>
      </c>
      <c r="F114" s="10">
        <f>'Price Book'!I107</f>
        <v/>
      </c>
      <c r="G114" s="10">
        <f>'Price Book'!L107</f>
        <v/>
      </c>
      <c r="H114" s="10">
        <f>'Price Book'!M107</f>
        <v/>
      </c>
      <c r="I114" s="11">
        <f>'Price Book'!Q107</f>
        <v/>
      </c>
      <c r="J114" s="11">
        <f>'Price Book'!R107</f>
        <v/>
      </c>
      <c r="K114" s="9" t="n">
        <v>1</v>
      </c>
      <c r="L114" s="12">
        <f>IFERROR(F114*K114,"")</f>
        <v/>
      </c>
      <c r="M114" s="12">
        <f>IFERROR(G114*K114,"")</f>
        <v/>
      </c>
      <c r="N114" s="12">
        <f>IF(H114="","",H114*K114)</f>
        <v/>
      </c>
      <c r="O114" s="8">
        <f>'Price Book'!AG107</f>
        <v/>
      </c>
    </row>
    <row r="115">
      <c r="A115" s="8">
        <f>'Price Book'!A108</f>
        <v/>
      </c>
      <c r="B115" s="8">
        <f>'Price Book'!B108</f>
        <v/>
      </c>
      <c r="C115" s="8">
        <f>'Price Book'!C108</f>
        <v/>
      </c>
      <c r="D115" s="8">
        <f>'Price Book'!D108</f>
        <v/>
      </c>
      <c r="E115" s="8">
        <f>'Price Book'!G108</f>
        <v/>
      </c>
      <c r="F115" s="10">
        <f>'Price Book'!I108</f>
        <v/>
      </c>
      <c r="G115" s="10">
        <f>'Price Book'!L108</f>
        <v/>
      </c>
      <c r="H115" s="10">
        <f>'Price Book'!M108</f>
        <v/>
      </c>
      <c r="I115" s="11">
        <f>'Price Book'!Q108</f>
        <v/>
      </c>
      <c r="J115" s="11">
        <f>'Price Book'!R108</f>
        <v/>
      </c>
      <c r="K115" s="9" t="n">
        <v>1</v>
      </c>
      <c r="L115" s="12">
        <f>IFERROR(F115*K115,"")</f>
        <v/>
      </c>
      <c r="M115" s="12">
        <f>IFERROR(G115*K115,"")</f>
        <v/>
      </c>
      <c r="N115" s="12">
        <f>IF(H115="","",H115*K115)</f>
        <v/>
      </c>
      <c r="O115" s="8">
        <f>'Price Book'!AG108</f>
        <v/>
      </c>
    </row>
    <row r="116">
      <c r="A116" s="8">
        <f>'Price Book'!A109</f>
        <v/>
      </c>
      <c r="B116" s="8">
        <f>'Price Book'!B109</f>
        <v/>
      </c>
      <c r="C116" s="8">
        <f>'Price Book'!C109</f>
        <v/>
      </c>
      <c r="D116" s="8">
        <f>'Price Book'!D109</f>
        <v/>
      </c>
      <c r="E116" s="8">
        <f>'Price Book'!G109</f>
        <v/>
      </c>
      <c r="F116" s="10">
        <f>'Price Book'!I109</f>
        <v/>
      </c>
      <c r="G116" s="10">
        <f>'Price Book'!L109</f>
        <v/>
      </c>
      <c r="H116" s="10">
        <f>'Price Book'!M109</f>
        <v/>
      </c>
      <c r="I116" s="11">
        <f>'Price Book'!Q109</f>
        <v/>
      </c>
      <c r="J116" s="11">
        <f>'Price Book'!R109</f>
        <v/>
      </c>
      <c r="K116" s="9" t="n">
        <v>1</v>
      </c>
      <c r="L116" s="12">
        <f>IFERROR(F116*K116,"")</f>
        <v/>
      </c>
      <c r="M116" s="12">
        <f>IFERROR(G116*K116,"")</f>
        <v/>
      </c>
      <c r="N116" s="12">
        <f>IF(H116="","",H116*K116)</f>
        <v/>
      </c>
      <c r="O116" s="8">
        <f>'Price Book'!AG109</f>
        <v/>
      </c>
    </row>
    <row r="117">
      <c r="A117" s="8">
        <f>'Price Book'!A110</f>
        <v/>
      </c>
      <c r="B117" s="8">
        <f>'Price Book'!B110</f>
        <v/>
      </c>
      <c r="C117" s="8">
        <f>'Price Book'!C110</f>
        <v/>
      </c>
      <c r="D117" s="8">
        <f>'Price Book'!D110</f>
        <v/>
      </c>
      <c r="E117" s="8">
        <f>'Price Book'!G110</f>
        <v/>
      </c>
      <c r="F117" s="10">
        <f>'Price Book'!I110</f>
        <v/>
      </c>
      <c r="G117" s="10">
        <f>'Price Book'!L110</f>
        <v/>
      </c>
      <c r="H117" s="10">
        <f>'Price Book'!M110</f>
        <v/>
      </c>
      <c r="I117" s="11">
        <f>'Price Book'!Q110</f>
        <v/>
      </c>
      <c r="J117" s="11">
        <f>'Price Book'!R110</f>
        <v/>
      </c>
      <c r="K117" s="9" t="n">
        <v>1</v>
      </c>
      <c r="L117" s="12">
        <f>IFERROR(F117*K117,"")</f>
        <v/>
      </c>
      <c r="M117" s="12">
        <f>IFERROR(G117*K117,"")</f>
        <v/>
      </c>
      <c r="N117" s="12">
        <f>IF(H117="","",H117*K117)</f>
        <v/>
      </c>
      <c r="O117" s="8">
        <f>'Price Book'!AG110</f>
        <v/>
      </c>
    </row>
    <row r="118">
      <c r="A118" s="8">
        <f>'Price Book'!A111</f>
        <v/>
      </c>
      <c r="B118" s="8">
        <f>'Price Book'!B111</f>
        <v/>
      </c>
      <c r="C118" s="8">
        <f>'Price Book'!C111</f>
        <v/>
      </c>
      <c r="D118" s="8">
        <f>'Price Book'!D111</f>
        <v/>
      </c>
      <c r="E118" s="8">
        <f>'Price Book'!G111</f>
        <v/>
      </c>
      <c r="F118" s="10">
        <f>'Price Book'!I111</f>
        <v/>
      </c>
      <c r="G118" s="10">
        <f>'Price Book'!L111</f>
        <v/>
      </c>
      <c r="H118" s="10">
        <f>'Price Book'!M111</f>
        <v/>
      </c>
      <c r="I118" s="11">
        <f>'Price Book'!Q111</f>
        <v/>
      </c>
      <c r="J118" s="11">
        <f>'Price Book'!R111</f>
        <v/>
      </c>
      <c r="K118" s="9" t="n">
        <v>1</v>
      </c>
      <c r="L118" s="12">
        <f>IFERROR(F118*K118,"")</f>
        <v/>
      </c>
      <c r="M118" s="12">
        <f>IFERROR(G118*K118,"")</f>
        <v/>
      </c>
      <c r="N118" s="12">
        <f>IF(H118="","",H118*K118)</f>
        <v/>
      </c>
      <c r="O118" s="8">
        <f>'Price Book'!AG111</f>
        <v/>
      </c>
    </row>
    <row r="119">
      <c r="A119" s="8">
        <f>'Price Book'!A112</f>
        <v/>
      </c>
      <c r="B119" s="8">
        <f>'Price Book'!B112</f>
        <v/>
      </c>
      <c r="C119" s="8">
        <f>'Price Book'!C112</f>
        <v/>
      </c>
      <c r="D119" s="8">
        <f>'Price Book'!D112</f>
        <v/>
      </c>
      <c r="E119" s="8">
        <f>'Price Book'!G112</f>
        <v/>
      </c>
      <c r="F119" s="10">
        <f>'Price Book'!I112</f>
        <v/>
      </c>
      <c r="G119" s="10">
        <f>'Price Book'!L112</f>
        <v/>
      </c>
      <c r="H119" s="10">
        <f>'Price Book'!M112</f>
        <v/>
      </c>
      <c r="I119" s="11">
        <f>'Price Book'!Q112</f>
        <v/>
      </c>
      <c r="J119" s="11">
        <f>'Price Book'!R112</f>
        <v/>
      </c>
      <c r="K119" s="9" t="n">
        <v>1</v>
      </c>
      <c r="L119" s="12">
        <f>IFERROR(F119*K119,"")</f>
        <v/>
      </c>
      <c r="M119" s="12">
        <f>IFERROR(G119*K119,"")</f>
        <v/>
      </c>
      <c r="N119" s="12">
        <f>IF(H119="","",H119*K119)</f>
        <v/>
      </c>
      <c r="O119" s="8">
        <f>'Price Book'!AG112</f>
        <v/>
      </c>
    </row>
    <row r="120">
      <c r="A120" s="8">
        <f>'Price Book'!A113</f>
        <v/>
      </c>
      <c r="B120" s="8">
        <f>'Price Book'!B113</f>
        <v/>
      </c>
      <c r="C120" s="8">
        <f>'Price Book'!C113</f>
        <v/>
      </c>
      <c r="D120" s="8">
        <f>'Price Book'!D113</f>
        <v/>
      </c>
      <c r="E120" s="8">
        <f>'Price Book'!G113</f>
        <v/>
      </c>
      <c r="F120" s="10">
        <f>'Price Book'!I113</f>
        <v/>
      </c>
      <c r="G120" s="10">
        <f>'Price Book'!L113</f>
        <v/>
      </c>
      <c r="H120" s="10">
        <f>'Price Book'!M113</f>
        <v/>
      </c>
      <c r="I120" s="11">
        <f>'Price Book'!Q113</f>
        <v/>
      </c>
      <c r="J120" s="11">
        <f>'Price Book'!R113</f>
        <v/>
      </c>
      <c r="K120" s="9" t="n">
        <v>1</v>
      </c>
      <c r="L120" s="12">
        <f>IFERROR(F120*K120,"")</f>
        <v/>
      </c>
      <c r="M120" s="12">
        <f>IFERROR(G120*K120,"")</f>
        <v/>
      </c>
      <c r="N120" s="12">
        <f>IF(H120="","",H120*K120)</f>
        <v/>
      </c>
      <c r="O120" s="8">
        <f>'Price Book'!AG113</f>
        <v/>
      </c>
    </row>
    <row r="121">
      <c r="A121" s="8">
        <f>'Price Book'!A114</f>
        <v/>
      </c>
      <c r="B121" s="8">
        <f>'Price Book'!B114</f>
        <v/>
      </c>
      <c r="C121" s="8">
        <f>'Price Book'!C114</f>
        <v/>
      </c>
      <c r="D121" s="8">
        <f>'Price Book'!D114</f>
        <v/>
      </c>
      <c r="E121" s="8">
        <f>'Price Book'!G114</f>
        <v/>
      </c>
      <c r="F121" s="10">
        <f>'Price Book'!I114</f>
        <v/>
      </c>
      <c r="G121" s="10">
        <f>'Price Book'!L114</f>
        <v/>
      </c>
      <c r="H121" s="10">
        <f>'Price Book'!M114</f>
        <v/>
      </c>
      <c r="I121" s="11">
        <f>'Price Book'!Q114</f>
        <v/>
      </c>
      <c r="J121" s="11">
        <f>'Price Book'!R114</f>
        <v/>
      </c>
      <c r="K121" s="9" t="n">
        <v>1</v>
      </c>
      <c r="L121" s="12">
        <f>IFERROR(F121*K121,"")</f>
        <v/>
      </c>
      <c r="M121" s="12">
        <f>IFERROR(G121*K121,"")</f>
        <v/>
      </c>
      <c r="N121" s="12">
        <f>IF(H121="","",H121*K121)</f>
        <v/>
      </c>
      <c r="O121" s="8">
        <f>'Price Book'!AG114</f>
        <v/>
      </c>
    </row>
  </sheetData>
  <autoFilter ref="A11:O121"/>
  <mergeCells count="2">
    <mergeCell ref="A1:O1"/>
    <mergeCell ref="A2:O2"/>
  </mergeCells>
  <pageMargins left="0.2" right="0.2" top="0.35" bottom="0.35" header="0.5" footer="0.5"/>
  <pageSetup orientation="landscape" paperSize="8" fitToHeight="1" fitToWidth="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Commercial Operations</dc:creator>
  <dc:title>Circularo Internal Annual Price Book</dc:title>
  <dc:description>Internal pricing governance workbook generated from canonical/partner-management/pricing-book/plan.md.</dc:description>
  <dc:subject>Commercial Pricing Engine</dc:subject>
  <dcterms:created xsi:type="dcterms:W3CDTF">2026-07-11T16:12:47Z</dcterms:created>
  <dcterms:modified xsi:type="dcterms:W3CDTF">2026-07-11T16:12:48Z</dcterms:modified>
</cp:coreProperties>
</file>